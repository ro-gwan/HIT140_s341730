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ie\Desktop\HIT140 - Foundations of Data Science\Final project\"/>
    </mc:Choice>
  </mc:AlternateContent>
  <xr:revisionPtr revIDLastSave="0" documentId="13_ncr:1_{60ED1A62-822A-4E36-8923-D1AD0F5E331B}" xr6:coauthVersionLast="47" xr6:coauthVersionMax="47" xr10:uidLastSave="{00000000-0000-0000-0000-000000000000}"/>
  <bookViews>
    <workbookView xWindow="-28920" yWindow="-120" windowWidth="29040" windowHeight="15720" activeTab="3" xr2:uid="{16FF69D2-3A20-446C-ABDE-CE4F9416CD13}"/>
  </bookViews>
  <sheets>
    <sheet name="Model_1_test18" sheetId="5" r:id="rId1"/>
    <sheet name="Final_48_team_stats" sheetId="6" r:id="rId2"/>
    <sheet name="UPDATEDAppend_48_ANA" sheetId="10" r:id="rId3"/>
    <sheet name="squad_48_teams_2" sheetId="11" r:id="rId4"/>
    <sheet name="Team Ranking" sheetId="2" r:id="rId5"/>
    <sheet name="Coach Salary" sheetId="3" r:id="rId6"/>
    <sheet name="208Team_match_stat" sheetId="4" r:id="rId7"/>
    <sheet name="Transfer report25" sheetId="7" r:id="rId8"/>
    <sheet name="CountryANA" sheetId="8" r:id="rId9"/>
    <sheet name="Round number" sheetId="9" r:id="rId10"/>
    <sheet name="Fifa_team_variables_ro" sheetId="1" r:id="rId11"/>
  </sheets>
  <externalReferences>
    <externalReference r:id="rId12"/>
  </externalReferences>
  <definedNames>
    <definedName name="ExternalData_2" localSheetId="2" hidden="1">UPDATEDAppend_48_ANA!$A$1:$L$1249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9" i="6" l="1"/>
  <c r="Q48" i="6"/>
  <c r="Q47" i="6"/>
  <c r="Q46" i="6"/>
  <c r="Q45" i="6"/>
  <c r="Q44" i="6"/>
  <c r="Q43" i="6"/>
  <c r="Q42" i="6"/>
  <c r="Q41" i="6"/>
  <c r="Q40" i="6"/>
  <c r="Q39" i="6"/>
  <c r="Q38" i="6"/>
  <c r="Q37" i="6"/>
  <c r="Q36" i="6"/>
  <c r="Q35" i="6"/>
  <c r="Q34" i="6"/>
  <c r="Q33" i="6"/>
  <c r="Q32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" i="6"/>
  <c r="Q2" i="6"/>
  <c r="N105" i="5"/>
  <c r="M105" i="5"/>
  <c r="L105" i="5"/>
  <c r="K105" i="5"/>
  <c r="F105" i="5"/>
  <c r="E105" i="5"/>
  <c r="D105" i="5"/>
  <c r="N104" i="5"/>
  <c r="M104" i="5"/>
  <c r="L104" i="5"/>
  <c r="K104" i="5"/>
  <c r="F104" i="5"/>
  <c r="E104" i="5"/>
  <c r="D104" i="5"/>
  <c r="N103" i="5"/>
  <c r="M103" i="5"/>
  <c r="L103" i="5"/>
  <c r="K103" i="5"/>
  <c r="F103" i="5"/>
  <c r="E103" i="5"/>
  <c r="D103" i="5"/>
  <c r="N102" i="5"/>
  <c r="M102" i="5"/>
  <c r="L102" i="5"/>
  <c r="K102" i="5"/>
  <c r="F102" i="5"/>
  <c r="E102" i="5"/>
  <c r="D102" i="5"/>
  <c r="N101" i="5"/>
  <c r="M101" i="5"/>
  <c r="L101" i="5"/>
  <c r="K101" i="5"/>
  <c r="F101" i="5"/>
  <c r="E101" i="5"/>
  <c r="D101" i="5"/>
  <c r="N100" i="5"/>
  <c r="M100" i="5"/>
  <c r="L100" i="5"/>
  <c r="K100" i="5"/>
  <c r="F100" i="5"/>
  <c r="E100" i="5"/>
  <c r="D100" i="5"/>
  <c r="N99" i="5"/>
  <c r="M99" i="5"/>
  <c r="L99" i="5"/>
  <c r="K99" i="5"/>
  <c r="F99" i="5"/>
  <c r="E99" i="5"/>
  <c r="D99" i="5"/>
  <c r="N98" i="5"/>
  <c r="M98" i="5"/>
  <c r="L98" i="5"/>
  <c r="K98" i="5"/>
  <c r="F98" i="5"/>
  <c r="E98" i="5"/>
  <c r="D98" i="5"/>
  <c r="N97" i="5"/>
  <c r="M97" i="5"/>
  <c r="L97" i="5"/>
  <c r="K97" i="5"/>
  <c r="F97" i="5"/>
  <c r="E97" i="5"/>
  <c r="D97" i="5"/>
  <c r="N96" i="5"/>
  <c r="M96" i="5"/>
  <c r="L96" i="5"/>
  <c r="K96" i="5"/>
  <c r="F96" i="5"/>
  <c r="E96" i="5"/>
  <c r="D96" i="5"/>
  <c r="N95" i="5"/>
  <c r="M95" i="5"/>
  <c r="L95" i="5"/>
  <c r="K95" i="5"/>
  <c r="F95" i="5"/>
  <c r="E95" i="5"/>
  <c r="D95" i="5"/>
  <c r="N94" i="5"/>
  <c r="M94" i="5"/>
  <c r="L94" i="5"/>
  <c r="K94" i="5"/>
  <c r="F94" i="5"/>
  <c r="E94" i="5"/>
  <c r="D94" i="5"/>
  <c r="N93" i="5"/>
  <c r="M93" i="5"/>
  <c r="L93" i="5"/>
  <c r="K93" i="5"/>
  <c r="F93" i="5"/>
  <c r="E93" i="5"/>
  <c r="D93" i="5"/>
  <c r="N92" i="5"/>
  <c r="M92" i="5"/>
  <c r="L92" i="5"/>
  <c r="K92" i="5"/>
  <c r="F92" i="5"/>
  <c r="E92" i="5"/>
  <c r="D92" i="5"/>
  <c r="N91" i="5"/>
  <c r="M91" i="5"/>
  <c r="L91" i="5"/>
  <c r="K91" i="5"/>
  <c r="F91" i="5"/>
  <c r="E91" i="5"/>
  <c r="D91" i="5"/>
  <c r="N90" i="5"/>
  <c r="M90" i="5"/>
  <c r="L90" i="5"/>
  <c r="K90" i="5"/>
  <c r="F90" i="5"/>
  <c r="E90" i="5"/>
  <c r="D90" i="5"/>
  <c r="N89" i="5"/>
  <c r="M89" i="5"/>
  <c r="L89" i="5"/>
  <c r="K89" i="5"/>
  <c r="F89" i="5"/>
  <c r="E89" i="5"/>
  <c r="D89" i="5"/>
  <c r="N88" i="5"/>
  <c r="M88" i="5"/>
  <c r="L88" i="5"/>
  <c r="K88" i="5"/>
  <c r="F88" i="5"/>
  <c r="E88" i="5"/>
  <c r="D88" i="5"/>
  <c r="N87" i="5"/>
  <c r="M87" i="5"/>
  <c r="L87" i="5"/>
  <c r="K87" i="5"/>
  <c r="F87" i="5"/>
  <c r="E87" i="5"/>
  <c r="D87" i="5"/>
  <c r="N86" i="5"/>
  <c r="M86" i="5"/>
  <c r="L86" i="5"/>
  <c r="K86" i="5"/>
  <c r="F86" i="5"/>
  <c r="E86" i="5"/>
  <c r="D86" i="5"/>
  <c r="N85" i="5"/>
  <c r="M85" i="5"/>
  <c r="L85" i="5"/>
  <c r="K85" i="5"/>
  <c r="F85" i="5"/>
  <c r="E85" i="5"/>
  <c r="D85" i="5"/>
  <c r="N84" i="5"/>
  <c r="M84" i="5"/>
  <c r="L84" i="5"/>
  <c r="K84" i="5"/>
  <c r="F84" i="5"/>
  <c r="E84" i="5"/>
  <c r="D84" i="5"/>
  <c r="N83" i="5"/>
  <c r="M83" i="5"/>
  <c r="L83" i="5"/>
  <c r="K83" i="5"/>
  <c r="F83" i="5"/>
  <c r="E83" i="5"/>
  <c r="D83" i="5"/>
  <c r="N82" i="5"/>
  <c r="M82" i="5"/>
  <c r="L82" i="5"/>
  <c r="K82" i="5"/>
  <c r="F82" i="5"/>
  <c r="E82" i="5"/>
  <c r="D82" i="5"/>
  <c r="N81" i="5"/>
  <c r="M81" i="5"/>
  <c r="L81" i="5"/>
  <c r="K81" i="5"/>
  <c r="F81" i="5"/>
  <c r="E81" i="5"/>
  <c r="D81" i="5"/>
  <c r="N80" i="5"/>
  <c r="M80" i="5"/>
  <c r="L80" i="5"/>
  <c r="K80" i="5"/>
  <c r="F80" i="5"/>
  <c r="E80" i="5"/>
  <c r="D80" i="5"/>
  <c r="N79" i="5"/>
  <c r="M79" i="5"/>
  <c r="L79" i="5"/>
  <c r="K79" i="5"/>
  <c r="F79" i="5"/>
  <c r="E79" i="5"/>
  <c r="D79" i="5"/>
  <c r="N78" i="5"/>
  <c r="M78" i="5"/>
  <c r="L78" i="5"/>
  <c r="K78" i="5"/>
  <c r="F78" i="5"/>
  <c r="E78" i="5"/>
  <c r="D78" i="5"/>
  <c r="N77" i="5"/>
  <c r="M77" i="5"/>
  <c r="L77" i="5"/>
  <c r="K77" i="5"/>
  <c r="F77" i="5"/>
  <c r="E77" i="5"/>
  <c r="D77" i="5"/>
  <c r="N76" i="5"/>
  <c r="M76" i="5"/>
  <c r="L76" i="5"/>
  <c r="K76" i="5"/>
  <c r="F76" i="5"/>
  <c r="E76" i="5"/>
  <c r="D76" i="5"/>
  <c r="N75" i="5"/>
  <c r="M75" i="5"/>
  <c r="L75" i="5"/>
  <c r="K75" i="5"/>
  <c r="F75" i="5"/>
  <c r="E75" i="5"/>
  <c r="D75" i="5"/>
  <c r="N74" i="5"/>
  <c r="M74" i="5"/>
  <c r="L74" i="5"/>
  <c r="K74" i="5"/>
  <c r="F74" i="5"/>
  <c r="E74" i="5"/>
  <c r="D74" i="5"/>
  <c r="N73" i="5"/>
  <c r="M73" i="5"/>
  <c r="L73" i="5"/>
  <c r="K73" i="5"/>
  <c r="F73" i="5"/>
  <c r="E73" i="5"/>
  <c r="D73" i="5"/>
  <c r="N72" i="5"/>
  <c r="M72" i="5"/>
  <c r="L72" i="5"/>
  <c r="K72" i="5"/>
  <c r="F72" i="5"/>
  <c r="E72" i="5"/>
  <c r="D72" i="5"/>
  <c r="N71" i="5"/>
  <c r="M71" i="5"/>
  <c r="L71" i="5"/>
  <c r="K71" i="5"/>
  <c r="F71" i="5"/>
  <c r="E71" i="5"/>
  <c r="D71" i="5"/>
  <c r="N70" i="5"/>
  <c r="M70" i="5"/>
  <c r="L70" i="5"/>
  <c r="K70" i="5"/>
  <c r="F70" i="5"/>
  <c r="E70" i="5"/>
  <c r="D70" i="5"/>
  <c r="N69" i="5"/>
  <c r="M69" i="5"/>
  <c r="L69" i="5"/>
  <c r="K69" i="5"/>
  <c r="F69" i="5"/>
  <c r="E69" i="5"/>
  <c r="D69" i="5"/>
  <c r="N68" i="5"/>
  <c r="M68" i="5"/>
  <c r="L68" i="5"/>
  <c r="K68" i="5"/>
  <c r="F68" i="5"/>
  <c r="E68" i="5"/>
  <c r="D68" i="5"/>
  <c r="N67" i="5"/>
  <c r="M67" i="5"/>
  <c r="L67" i="5"/>
  <c r="K67" i="5"/>
  <c r="F67" i="5"/>
  <c r="E67" i="5"/>
  <c r="D67" i="5"/>
  <c r="N66" i="5"/>
  <c r="M66" i="5"/>
  <c r="L66" i="5"/>
  <c r="K66" i="5"/>
  <c r="F66" i="5"/>
  <c r="E66" i="5"/>
  <c r="D66" i="5"/>
  <c r="N65" i="5"/>
  <c r="M65" i="5"/>
  <c r="L65" i="5"/>
  <c r="K65" i="5"/>
  <c r="F65" i="5"/>
  <c r="E65" i="5"/>
  <c r="D65" i="5"/>
  <c r="N64" i="5"/>
  <c r="M64" i="5"/>
  <c r="L64" i="5"/>
  <c r="K64" i="5"/>
  <c r="F64" i="5"/>
  <c r="E64" i="5"/>
  <c r="D64" i="5"/>
  <c r="N63" i="5"/>
  <c r="M63" i="5"/>
  <c r="L63" i="5"/>
  <c r="K63" i="5"/>
  <c r="F63" i="5"/>
  <c r="E63" i="5"/>
  <c r="D63" i="5"/>
  <c r="N62" i="5"/>
  <c r="M62" i="5"/>
  <c r="L62" i="5"/>
  <c r="K62" i="5"/>
  <c r="F62" i="5"/>
  <c r="E62" i="5"/>
  <c r="D62" i="5"/>
  <c r="N61" i="5"/>
  <c r="M61" i="5"/>
  <c r="L61" i="5"/>
  <c r="K61" i="5"/>
  <c r="F61" i="5"/>
  <c r="E61" i="5"/>
  <c r="D61" i="5"/>
  <c r="N60" i="5"/>
  <c r="M60" i="5"/>
  <c r="L60" i="5"/>
  <c r="K60" i="5"/>
  <c r="F60" i="5"/>
  <c r="E60" i="5"/>
  <c r="D60" i="5"/>
  <c r="N59" i="5"/>
  <c r="M59" i="5"/>
  <c r="L59" i="5"/>
  <c r="K59" i="5"/>
  <c r="F59" i="5"/>
  <c r="E59" i="5"/>
  <c r="D59" i="5"/>
  <c r="N58" i="5"/>
  <c r="M58" i="5"/>
  <c r="L58" i="5"/>
  <c r="K58" i="5"/>
  <c r="F58" i="5"/>
  <c r="E58" i="5"/>
  <c r="D58" i="5"/>
  <c r="N57" i="5"/>
  <c r="M57" i="5"/>
  <c r="L57" i="5"/>
  <c r="K57" i="5"/>
  <c r="F57" i="5"/>
  <c r="E57" i="5"/>
  <c r="D57" i="5"/>
  <c r="N56" i="5"/>
  <c r="M56" i="5"/>
  <c r="L56" i="5"/>
  <c r="K56" i="5"/>
  <c r="F56" i="5"/>
  <c r="E56" i="5"/>
  <c r="D56" i="5"/>
  <c r="N55" i="5"/>
  <c r="M55" i="5"/>
  <c r="L55" i="5"/>
  <c r="K55" i="5"/>
  <c r="F55" i="5"/>
  <c r="E55" i="5"/>
  <c r="D55" i="5"/>
  <c r="N54" i="5"/>
  <c r="M54" i="5"/>
  <c r="L54" i="5"/>
  <c r="K54" i="5"/>
  <c r="F54" i="5"/>
  <c r="E54" i="5"/>
  <c r="D54" i="5"/>
  <c r="N53" i="5"/>
  <c r="M53" i="5"/>
  <c r="L53" i="5"/>
  <c r="K53" i="5"/>
  <c r="F53" i="5"/>
  <c r="E53" i="5"/>
  <c r="D53" i="5"/>
  <c r="N52" i="5"/>
  <c r="M52" i="5"/>
  <c r="L52" i="5"/>
  <c r="K52" i="5"/>
  <c r="F52" i="5"/>
  <c r="E52" i="5"/>
  <c r="D52" i="5"/>
  <c r="N51" i="5"/>
  <c r="M51" i="5"/>
  <c r="L51" i="5"/>
  <c r="K51" i="5"/>
  <c r="F51" i="5"/>
  <c r="E51" i="5"/>
  <c r="D51" i="5"/>
  <c r="N50" i="5"/>
  <c r="M50" i="5"/>
  <c r="L50" i="5"/>
  <c r="K50" i="5"/>
  <c r="F50" i="5"/>
  <c r="E50" i="5"/>
  <c r="D50" i="5"/>
  <c r="N49" i="5"/>
  <c r="M49" i="5"/>
  <c r="L49" i="5"/>
  <c r="K49" i="5"/>
  <c r="F49" i="5"/>
  <c r="E49" i="5"/>
  <c r="D49" i="5"/>
  <c r="N48" i="5"/>
  <c r="M48" i="5"/>
  <c r="L48" i="5"/>
  <c r="K48" i="5"/>
  <c r="F48" i="5"/>
  <c r="E48" i="5"/>
  <c r="D48" i="5"/>
  <c r="N47" i="5"/>
  <c r="M47" i="5"/>
  <c r="L47" i="5"/>
  <c r="K47" i="5"/>
  <c r="F47" i="5"/>
  <c r="E47" i="5"/>
  <c r="D47" i="5"/>
  <c r="N46" i="5"/>
  <c r="M46" i="5"/>
  <c r="L46" i="5"/>
  <c r="K46" i="5"/>
  <c r="F46" i="5"/>
  <c r="E46" i="5"/>
  <c r="D46" i="5"/>
  <c r="N45" i="5"/>
  <c r="M45" i="5"/>
  <c r="L45" i="5"/>
  <c r="K45" i="5"/>
  <c r="F45" i="5"/>
  <c r="E45" i="5"/>
  <c r="D45" i="5"/>
  <c r="N44" i="5"/>
  <c r="M44" i="5"/>
  <c r="L44" i="5"/>
  <c r="K44" i="5"/>
  <c r="F44" i="5"/>
  <c r="E44" i="5"/>
  <c r="D44" i="5"/>
  <c r="N43" i="5"/>
  <c r="M43" i="5"/>
  <c r="L43" i="5"/>
  <c r="K43" i="5"/>
  <c r="F43" i="5"/>
  <c r="E43" i="5"/>
  <c r="D43" i="5"/>
  <c r="N42" i="5"/>
  <c r="M42" i="5"/>
  <c r="L42" i="5"/>
  <c r="K42" i="5"/>
  <c r="F42" i="5"/>
  <c r="E42" i="5"/>
  <c r="D42" i="5"/>
  <c r="N41" i="5"/>
  <c r="M41" i="5"/>
  <c r="L41" i="5"/>
  <c r="K41" i="5"/>
  <c r="F41" i="5"/>
  <c r="E41" i="5"/>
  <c r="D41" i="5"/>
  <c r="N40" i="5"/>
  <c r="M40" i="5"/>
  <c r="L40" i="5"/>
  <c r="K40" i="5"/>
  <c r="F40" i="5"/>
  <c r="E40" i="5"/>
  <c r="D40" i="5"/>
  <c r="N39" i="5"/>
  <c r="M39" i="5"/>
  <c r="L39" i="5"/>
  <c r="K39" i="5"/>
  <c r="F39" i="5"/>
  <c r="E39" i="5"/>
  <c r="D39" i="5"/>
  <c r="N38" i="5"/>
  <c r="M38" i="5"/>
  <c r="L38" i="5"/>
  <c r="K38" i="5"/>
  <c r="F38" i="5"/>
  <c r="E38" i="5"/>
  <c r="D38" i="5"/>
  <c r="N37" i="5"/>
  <c r="M37" i="5"/>
  <c r="L37" i="5"/>
  <c r="K37" i="5"/>
  <c r="F37" i="5"/>
  <c r="E37" i="5"/>
  <c r="D37" i="5"/>
  <c r="N36" i="5"/>
  <c r="M36" i="5"/>
  <c r="L36" i="5"/>
  <c r="K36" i="5"/>
  <c r="F36" i="5"/>
  <c r="E36" i="5"/>
  <c r="D36" i="5"/>
  <c r="N35" i="5"/>
  <c r="M35" i="5"/>
  <c r="L35" i="5"/>
  <c r="K35" i="5"/>
  <c r="F35" i="5"/>
  <c r="E35" i="5"/>
  <c r="D35" i="5"/>
  <c r="N34" i="5"/>
  <c r="M34" i="5"/>
  <c r="L34" i="5"/>
  <c r="K34" i="5"/>
  <c r="F34" i="5"/>
  <c r="E34" i="5"/>
  <c r="D34" i="5"/>
  <c r="N33" i="5"/>
  <c r="M33" i="5"/>
  <c r="L33" i="5"/>
  <c r="K33" i="5"/>
  <c r="F33" i="5"/>
  <c r="E33" i="5"/>
  <c r="D33" i="5"/>
  <c r="N32" i="5"/>
  <c r="M32" i="5"/>
  <c r="L32" i="5"/>
  <c r="K32" i="5"/>
  <c r="F32" i="5"/>
  <c r="E32" i="5"/>
  <c r="D32" i="5"/>
  <c r="N31" i="5"/>
  <c r="M31" i="5"/>
  <c r="L31" i="5"/>
  <c r="K31" i="5"/>
  <c r="F31" i="5"/>
  <c r="E31" i="5"/>
  <c r="D31" i="5"/>
  <c r="N30" i="5"/>
  <c r="M30" i="5"/>
  <c r="L30" i="5"/>
  <c r="K30" i="5"/>
  <c r="F30" i="5"/>
  <c r="E30" i="5"/>
  <c r="D30" i="5"/>
  <c r="N29" i="5"/>
  <c r="M29" i="5"/>
  <c r="L29" i="5"/>
  <c r="K29" i="5"/>
  <c r="F29" i="5"/>
  <c r="E29" i="5"/>
  <c r="D29" i="5"/>
  <c r="N28" i="5"/>
  <c r="M28" i="5"/>
  <c r="L28" i="5"/>
  <c r="K28" i="5"/>
  <c r="F28" i="5"/>
  <c r="E28" i="5"/>
  <c r="D28" i="5"/>
  <c r="N27" i="5"/>
  <c r="M27" i="5"/>
  <c r="L27" i="5"/>
  <c r="K27" i="5"/>
  <c r="F27" i="5"/>
  <c r="E27" i="5"/>
  <c r="D27" i="5"/>
  <c r="N26" i="5"/>
  <c r="M26" i="5"/>
  <c r="L26" i="5"/>
  <c r="K26" i="5"/>
  <c r="F26" i="5"/>
  <c r="E26" i="5"/>
  <c r="D26" i="5"/>
  <c r="N25" i="5"/>
  <c r="M25" i="5"/>
  <c r="L25" i="5"/>
  <c r="K25" i="5"/>
  <c r="F25" i="5"/>
  <c r="E25" i="5"/>
  <c r="D25" i="5"/>
  <c r="N24" i="5"/>
  <c r="M24" i="5"/>
  <c r="L24" i="5"/>
  <c r="K24" i="5"/>
  <c r="F24" i="5"/>
  <c r="E24" i="5"/>
  <c r="D24" i="5"/>
  <c r="N23" i="5"/>
  <c r="M23" i="5"/>
  <c r="L23" i="5"/>
  <c r="K23" i="5"/>
  <c r="F23" i="5"/>
  <c r="E23" i="5"/>
  <c r="D23" i="5"/>
  <c r="N22" i="5"/>
  <c r="M22" i="5"/>
  <c r="L22" i="5"/>
  <c r="K22" i="5"/>
  <c r="F22" i="5"/>
  <c r="E22" i="5"/>
  <c r="D22" i="5"/>
  <c r="N21" i="5"/>
  <c r="M21" i="5"/>
  <c r="L21" i="5"/>
  <c r="K21" i="5"/>
  <c r="F21" i="5"/>
  <c r="E21" i="5"/>
  <c r="D21" i="5"/>
  <c r="N20" i="5"/>
  <c r="M20" i="5"/>
  <c r="L20" i="5"/>
  <c r="K20" i="5"/>
  <c r="F20" i="5"/>
  <c r="E20" i="5"/>
  <c r="D20" i="5"/>
  <c r="N19" i="5"/>
  <c r="M19" i="5"/>
  <c r="L19" i="5"/>
  <c r="K19" i="5"/>
  <c r="F19" i="5"/>
  <c r="E19" i="5"/>
  <c r="D19" i="5"/>
  <c r="N18" i="5"/>
  <c r="M18" i="5"/>
  <c r="L18" i="5"/>
  <c r="K18" i="5"/>
  <c r="F18" i="5"/>
  <c r="E18" i="5"/>
  <c r="D18" i="5"/>
  <c r="N17" i="5"/>
  <c r="M17" i="5"/>
  <c r="L17" i="5"/>
  <c r="K17" i="5"/>
  <c r="F17" i="5"/>
  <c r="E17" i="5"/>
  <c r="D17" i="5"/>
  <c r="N16" i="5"/>
  <c r="M16" i="5"/>
  <c r="L16" i="5"/>
  <c r="K16" i="5"/>
  <c r="F16" i="5"/>
  <c r="E16" i="5"/>
  <c r="D16" i="5"/>
  <c r="N15" i="5"/>
  <c r="M15" i="5"/>
  <c r="L15" i="5"/>
  <c r="K15" i="5"/>
  <c r="F15" i="5"/>
  <c r="E15" i="5"/>
  <c r="D15" i="5"/>
  <c r="N14" i="5"/>
  <c r="M14" i="5"/>
  <c r="L14" i="5"/>
  <c r="K14" i="5"/>
  <c r="F14" i="5"/>
  <c r="E14" i="5"/>
  <c r="D14" i="5"/>
  <c r="N13" i="5"/>
  <c r="M13" i="5"/>
  <c r="L13" i="5"/>
  <c r="K13" i="5"/>
  <c r="F13" i="5"/>
  <c r="E13" i="5"/>
  <c r="D13" i="5"/>
  <c r="N12" i="5"/>
  <c r="M12" i="5"/>
  <c r="L12" i="5"/>
  <c r="K12" i="5"/>
  <c r="F12" i="5"/>
  <c r="E12" i="5"/>
  <c r="D12" i="5"/>
  <c r="N11" i="5"/>
  <c r="M11" i="5"/>
  <c r="L11" i="5"/>
  <c r="K11" i="5"/>
  <c r="F11" i="5"/>
  <c r="E11" i="5"/>
  <c r="D11" i="5"/>
  <c r="N10" i="5"/>
  <c r="M10" i="5"/>
  <c r="L10" i="5"/>
  <c r="K10" i="5"/>
  <c r="F10" i="5"/>
  <c r="E10" i="5"/>
  <c r="D10" i="5"/>
  <c r="N9" i="5"/>
  <c r="M9" i="5"/>
  <c r="L9" i="5"/>
  <c r="K9" i="5"/>
  <c r="F9" i="5"/>
  <c r="E9" i="5"/>
  <c r="D9" i="5"/>
  <c r="N8" i="5"/>
  <c r="M8" i="5"/>
  <c r="L8" i="5"/>
  <c r="K8" i="5"/>
  <c r="F8" i="5"/>
  <c r="E8" i="5"/>
  <c r="D8" i="5"/>
  <c r="N7" i="5"/>
  <c r="M7" i="5"/>
  <c r="L7" i="5"/>
  <c r="K7" i="5"/>
  <c r="F7" i="5"/>
  <c r="E7" i="5"/>
  <c r="D7" i="5"/>
  <c r="N6" i="5"/>
  <c r="M6" i="5"/>
  <c r="L6" i="5"/>
  <c r="K6" i="5"/>
  <c r="F6" i="5"/>
  <c r="E6" i="5"/>
  <c r="D6" i="5"/>
  <c r="N5" i="5"/>
  <c r="M5" i="5"/>
  <c r="L5" i="5"/>
  <c r="K5" i="5"/>
  <c r="F5" i="5"/>
  <c r="E5" i="5"/>
  <c r="D5" i="5"/>
  <c r="N4" i="5"/>
  <c r="M4" i="5"/>
  <c r="L4" i="5"/>
  <c r="K4" i="5"/>
  <c r="F4" i="5"/>
  <c r="E4" i="5"/>
  <c r="D4" i="5"/>
  <c r="N3" i="5"/>
  <c r="M3" i="5"/>
  <c r="L3" i="5"/>
  <c r="K3" i="5"/>
  <c r="F3" i="5"/>
  <c r="E3" i="5"/>
  <c r="D3" i="5"/>
  <c r="N2" i="5"/>
  <c r="M2" i="5"/>
  <c r="L2" i="5"/>
  <c r="K2" i="5"/>
  <c r="F2" i="5"/>
  <c r="E2" i="5"/>
  <c r="D2" i="5"/>
  <c r="L209" i="4"/>
  <c r="K209" i="4"/>
  <c r="J209" i="4"/>
  <c r="I209" i="4"/>
  <c r="L208" i="4"/>
  <c r="K208" i="4"/>
  <c r="J208" i="4"/>
  <c r="I208" i="4"/>
  <c r="L207" i="4"/>
  <c r="K207" i="4"/>
  <c r="J207" i="4"/>
  <c r="I207" i="4"/>
  <c r="L206" i="4"/>
  <c r="K206" i="4"/>
  <c r="J206" i="4"/>
  <c r="I206" i="4"/>
  <c r="L205" i="4"/>
  <c r="K205" i="4"/>
  <c r="J205" i="4"/>
  <c r="I205" i="4"/>
  <c r="L204" i="4"/>
  <c r="K204" i="4"/>
  <c r="J204" i="4"/>
  <c r="I204" i="4"/>
  <c r="L203" i="4"/>
  <c r="K203" i="4"/>
  <c r="J203" i="4"/>
  <c r="I203" i="4"/>
  <c r="L202" i="4"/>
  <c r="K202" i="4"/>
  <c r="J202" i="4"/>
  <c r="I202" i="4"/>
  <c r="L201" i="4"/>
  <c r="K201" i="4"/>
  <c r="J201" i="4"/>
  <c r="I201" i="4"/>
  <c r="L200" i="4"/>
  <c r="K200" i="4"/>
  <c r="J200" i="4"/>
  <c r="I200" i="4"/>
  <c r="L199" i="4"/>
  <c r="K199" i="4"/>
  <c r="J199" i="4"/>
  <c r="I199" i="4"/>
  <c r="L198" i="4"/>
  <c r="K198" i="4"/>
  <c r="J198" i="4"/>
  <c r="I198" i="4"/>
  <c r="L197" i="4"/>
  <c r="K197" i="4"/>
  <c r="J197" i="4"/>
  <c r="I197" i="4"/>
  <c r="L196" i="4"/>
  <c r="K196" i="4"/>
  <c r="J196" i="4"/>
  <c r="I196" i="4"/>
  <c r="L195" i="4"/>
  <c r="K195" i="4"/>
  <c r="J195" i="4"/>
  <c r="I195" i="4"/>
  <c r="L194" i="4"/>
  <c r="K194" i="4"/>
  <c r="J194" i="4"/>
  <c r="I194" i="4"/>
  <c r="L193" i="4"/>
  <c r="K193" i="4"/>
  <c r="J193" i="4"/>
  <c r="I193" i="4"/>
  <c r="L192" i="4"/>
  <c r="K192" i="4"/>
  <c r="J192" i="4"/>
  <c r="I192" i="4"/>
  <c r="L191" i="4"/>
  <c r="K191" i="4"/>
  <c r="J191" i="4"/>
  <c r="I191" i="4"/>
  <c r="L190" i="4"/>
  <c r="K190" i="4"/>
  <c r="J190" i="4"/>
  <c r="I190" i="4"/>
  <c r="L189" i="4"/>
  <c r="K189" i="4"/>
  <c r="J189" i="4"/>
  <c r="I189" i="4"/>
  <c r="L188" i="4"/>
  <c r="K188" i="4"/>
  <c r="J188" i="4"/>
  <c r="I188" i="4"/>
  <c r="L187" i="4"/>
  <c r="K187" i="4"/>
  <c r="J187" i="4"/>
  <c r="I187" i="4"/>
  <c r="L186" i="4"/>
  <c r="K186" i="4"/>
  <c r="J186" i="4"/>
  <c r="I186" i="4"/>
  <c r="L185" i="4"/>
  <c r="K185" i="4"/>
  <c r="J185" i="4"/>
  <c r="I185" i="4"/>
  <c r="L184" i="4"/>
  <c r="K184" i="4"/>
  <c r="J184" i="4"/>
  <c r="I184" i="4"/>
  <c r="L183" i="4"/>
  <c r="K183" i="4"/>
  <c r="J183" i="4"/>
  <c r="I183" i="4"/>
  <c r="L182" i="4"/>
  <c r="K182" i="4"/>
  <c r="J182" i="4"/>
  <c r="I182" i="4"/>
  <c r="L181" i="4"/>
  <c r="K181" i="4"/>
  <c r="J181" i="4"/>
  <c r="I181" i="4"/>
  <c r="L180" i="4"/>
  <c r="K180" i="4"/>
  <c r="J180" i="4"/>
  <c r="I180" i="4"/>
  <c r="L179" i="4"/>
  <c r="K179" i="4"/>
  <c r="J179" i="4"/>
  <c r="I179" i="4"/>
  <c r="L178" i="4"/>
  <c r="K178" i="4"/>
  <c r="J178" i="4"/>
  <c r="I178" i="4"/>
  <c r="L177" i="4"/>
  <c r="K177" i="4"/>
  <c r="J177" i="4"/>
  <c r="I177" i="4"/>
  <c r="L176" i="4"/>
  <c r="K176" i="4"/>
  <c r="J176" i="4"/>
  <c r="I176" i="4"/>
  <c r="L175" i="4"/>
  <c r="K175" i="4"/>
  <c r="J175" i="4"/>
  <c r="I175" i="4"/>
  <c r="L174" i="4"/>
  <c r="K174" i="4"/>
  <c r="J174" i="4"/>
  <c r="I174" i="4"/>
  <c r="L173" i="4"/>
  <c r="K173" i="4"/>
  <c r="J173" i="4"/>
  <c r="I173" i="4"/>
  <c r="L172" i="4"/>
  <c r="K172" i="4"/>
  <c r="J172" i="4"/>
  <c r="I172" i="4"/>
  <c r="L171" i="4"/>
  <c r="K171" i="4"/>
  <c r="J171" i="4"/>
  <c r="I171" i="4"/>
  <c r="L170" i="4"/>
  <c r="K170" i="4"/>
  <c r="J170" i="4"/>
  <c r="I170" i="4"/>
  <c r="L169" i="4"/>
  <c r="K169" i="4"/>
  <c r="J169" i="4"/>
  <c r="I169" i="4"/>
  <c r="L168" i="4"/>
  <c r="K168" i="4"/>
  <c r="J168" i="4"/>
  <c r="I168" i="4"/>
  <c r="L167" i="4"/>
  <c r="K167" i="4"/>
  <c r="J167" i="4"/>
  <c r="I167" i="4"/>
  <c r="L166" i="4"/>
  <c r="K166" i="4"/>
  <c r="J166" i="4"/>
  <c r="I166" i="4"/>
  <c r="L165" i="4"/>
  <c r="K165" i="4"/>
  <c r="J165" i="4"/>
  <c r="I165" i="4"/>
  <c r="L164" i="4"/>
  <c r="K164" i="4"/>
  <c r="J164" i="4"/>
  <c r="I164" i="4"/>
  <c r="L163" i="4"/>
  <c r="K163" i="4"/>
  <c r="J163" i="4"/>
  <c r="I163" i="4"/>
  <c r="L162" i="4"/>
  <c r="K162" i="4"/>
  <c r="J162" i="4"/>
  <c r="I162" i="4"/>
  <c r="L161" i="4"/>
  <c r="K161" i="4"/>
  <c r="J161" i="4"/>
  <c r="I161" i="4"/>
  <c r="L160" i="4"/>
  <c r="K160" i="4"/>
  <c r="J160" i="4"/>
  <c r="I160" i="4"/>
  <c r="L159" i="4"/>
  <c r="K159" i="4"/>
  <c r="J159" i="4"/>
  <c r="I159" i="4"/>
  <c r="L158" i="4"/>
  <c r="K158" i="4"/>
  <c r="J158" i="4"/>
  <c r="I158" i="4"/>
  <c r="L157" i="4"/>
  <c r="K157" i="4"/>
  <c r="J157" i="4"/>
  <c r="I157" i="4"/>
  <c r="L156" i="4"/>
  <c r="K156" i="4"/>
  <c r="J156" i="4"/>
  <c r="I156" i="4"/>
  <c r="L155" i="4"/>
  <c r="K155" i="4"/>
  <c r="J155" i="4"/>
  <c r="I155" i="4"/>
  <c r="L154" i="4"/>
  <c r="K154" i="4"/>
  <c r="J154" i="4"/>
  <c r="I154" i="4"/>
  <c r="L153" i="4"/>
  <c r="K153" i="4"/>
  <c r="J153" i="4"/>
  <c r="I153" i="4"/>
  <c r="L152" i="4"/>
  <c r="K152" i="4"/>
  <c r="J152" i="4"/>
  <c r="I152" i="4"/>
  <c r="L151" i="4"/>
  <c r="K151" i="4"/>
  <c r="J151" i="4"/>
  <c r="I151" i="4"/>
  <c r="L150" i="4"/>
  <c r="K150" i="4"/>
  <c r="J150" i="4"/>
  <c r="I150" i="4"/>
  <c r="L149" i="4"/>
  <c r="K149" i="4"/>
  <c r="J149" i="4"/>
  <c r="I149" i="4"/>
  <c r="L148" i="4"/>
  <c r="K148" i="4"/>
  <c r="J148" i="4"/>
  <c r="I148" i="4"/>
  <c r="L147" i="4"/>
  <c r="K147" i="4"/>
  <c r="J147" i="4"/>
  <c r="I147" i="4"/>
  <c r="L146" i="4"/>
  <c r="K146" i="4"/>
  <c r="J146" i="4"/>
  <c r="I146" i="4"/>
  <c r="L145" i="4"/>
  <c r="K145" i="4"/>
  <c r="J145" i="4"/>
  <c r="I145" i="4"/>
  <c r="L144" i="4"/>
  <c r="K144" i="4"/>
  <c r="J144" i="4"/>
  <c r="I144" i="4"/>
  <c r="L143" i="4"/>
  <c r="K143" i="4"/>
  <c r="J143" i="4"/>
  <c r="I143" i="4"/>
  <c r="L142" i="4"/>
  <c r="K142" i="4"/>
  <c r="J142" i="4"/>
  <c r="I142" i="4"/>
  <c r="L141" i="4"/>
  <c r="K141" i="4"/>
  <c r="J141" i="4"/>
  <c r="I141" i="4"/>
  <c r="L140" i="4"/>
  <c r="K140" i="4"/>
  <c r="J140" i="4"/>
  <c r="I140" i="4"/>
  <c r="L139" i="4"/>
  <c r="K139" i="4"/>
  <c r="J139" i="4"/>
  <c r="I139" i="4"/>
  <c r="L138" i="4"/>
  <c r="K138" i="4"/>
  <c r="J138" i="4"/>
  <c r="I138" i="4"/>
  <c r="L137" i="4"/>
  <c r="K137" i="4"/>
  <c r="J137" i="4"/>
  <c r="I137" i="4"/>
  <c r="L136" i="4"/>
  <c r="K136" i="4"/>
  <c r="J136" i="4"/>
  <c r="I136" i="4"/>
  <c r="L135" i="4"/>
  <c r="K135" i="4"/>
  <c r="J135" i="4"/>
  <c r="I135" i="4"/>
  <c r="L134" i="4"/>
  <c r="K134" i="4"/>
  <c r="J134" i="4"/>
  <c r="I134" i="4"/>
  <c r="L133" i="4"/>
  <c r="K133" i="4"/>
  <c r="J133" i="4"/>
  <c r="I133" i="4"/>
  <c r="L132" i="4"/>
  <c r="K132" i="4"/>
  <c r="J132" i="4"/>
  <c r="I132" i="4"/>
  <c r="L131" i="4"/>
  <c r="K131" i="4"/>
  <c r="J131" i="4"/>
  <c r="I131" i="4"/>
  <c r="L130" i="4"/>
  <c r="K130" i="4"/>
  <c r="J130" i="4"/>
  <c r="I130" i="4"/>
  <c r="L129" i="4"/>
  <c r="K129" i="4"/>
  <c r="J129" i="4"/>
  <c r="I129" i="4"/>
  <c r="L128" i="4"/>
  <c r="K128" i="4"/>
  <c r="J128" i="4"/>
  <c r="I128" i="4"/>
  <c r="L127" i="4"/>
  <c r="K127" i="4"/>
  <c r="J127" i="4"/>
  <c r="I127" i="4"/>
  <c r="L126" i="4"/>
  <c r="K126" i="4"/>
  <c r="J126" i="4"/>
  <c r="I126" i="4"/>
  <c r="L125" i="4"/>
  <c r="K125" i="4"/>
  <c r="J125" i="4"/>
  <c r="I125" i="4"/>
  <c r="L124" i="4"/>
  <c r="K124" i="4"/>
  <c r="J124" i="4"/>
  <c r="I124" i="4"/>
  <c r="L123" i="4"/>
  <c r="K123" i="4"/>
  <c r="J123" i="4"/>
  <c r="I123" i="4"/>
  <c r="L122" i="4"/>
  <c r="K122" i="4"/>
  <c r="J122" i="4"/>
  <c r="I122" i="4"/>
  <c r="L121" i="4"/>
  <c r="K121" i="4"/>
  <c r="J121" i="4"/>
  <c r="I121" i="4"/>
  <c r="L120" i="4"/>
  <c r="K120" i="4"/>
  <c r="J120" i="4"/>
  <c r="I120" i="4"/>
  <c r="L119" i="4"/>
  <c r="K119" i="4"/>
  <c r="J119" i="4"/>
  <c r="I119" i="4"/>
  <c r="L118" i="4"/>
  <c r="K118" i="4"/>
  <c r="J118" i="4"/>
  <c r="I118" i="4"/>
  <c r="L117" i="4"/>
  <c r="K117" i="4"/>
  <c r="J117" i="4"/>
  <c r="I117" i="4"/>
  <c r="L116" i="4"/>
  <c r="K116" i="4"/>
  <c r="J116" i="4"/>
  <c r="I116" i="4"/>
  <c r="L115" i="4"/>
  <c r="K115" i="4"/>
  <c r="J115" i="4"/>
  <c r="I115" i="4"/>
  <c r="L114" i="4"/>
  <c r="K114" i="4"/>
  <c r="J114" i="4"/>
  <c r="I114" i="4"/>
  <c r="L113" i="4"/>
  <c r="K113" i="4"/>
  <c r="J113" i="4"/>
  <c r="I113" i="4"/>
  <c r="L112" i="4"/>
  <c r="K112" i="4"/>
  <c r="J112" i="4"/>
  <c r="I112" i="4"/>
  <c r="L111" i="4"/>
  <c r="K111" i="4"/>
  <c r="J111" i="4"/>
  <c r="I111" i="4"/>
  <c r="L110" i="4"/>
  <c r="K110" i="4"/>
  <c r="J110" i="4"/>
  <c r="I110" i="4"/>
  <c r="L109" i="4"/>
  <c r="K109" i="4"/>
  <c r="J109" i="4"/>
  <c r="I109" i="4"/>
  <c r="L108" i="4"/>
  <c r="K108" i="4"/>
  <c r="J108" i="4"/>
  <c r="I108" i="4"/>
  <c r="L107" i="4"/>
  <c r="K107" i="4"/>
  <c r="J107" i="4"/>
  <c r="I107" i="4"/>
  <c r="L106" i="4"/>
  <c r="K106" i="4"/>
  <c r="J106" i="4"/>
  <c r="I106" i="4"/>
  <c r="L105" i="4"/>
  <c r="K105" i="4"/>
  <c r="J105" i="4"/>
  <c r="I105" i="4"/>
  <c r="L104" i="4"/>
  <c r="K104" i="4"/>
  <c r="J104" i="4"/>
  <c r="I104" i="4"/>
  <c r="L103" i="4"/>
  <c r="K103" i="4"/>
  <c r="J103" i="4"/>
  <c r="I103" i="4"/>
  <c r="L102" i="4"/>
  <c r="K102" i="4"/>
  <c r="J102" i="4"/>
  <c r="I102" i="4"/>
  <c r="L101" i="4"/>
  <c r="K101" i="4"/>
  <c r="J101" i="4"/>
  <c r="I101" i="4"/>
  <c r="L100" i="4"/>
  <c r="K100" i="4"/>
  <c r="J100" i="4"/>
  <c r="I100" i="4"/>
  <c r="L99" i="4"/>
  <c r="K99" i="4"/>
  <c r="J99" i="4"/>
  <c r="I99" i="4"/>
  <c r="L98" i="4"/>
  <c r="K98" i="4"/>
  <c r="J98" i="4"/>
  <c r="I98" i="4"/>
  <c r="L97" i="4"/>
  <c r="K97" i="4"/>
  <c r="J97" i="4"/>
  <c r="I97" i="4"/>
  <c r="L96" i="4"/>
  <c r="K96" i="4"/>
  <c r="J96" i="4"/>
  <c r="I96" i="4"/>
  <c r="L95" i="4"/>
  <c r="K95" i="4"/>
  <c r="J95" i="4"/>
  <c r="I95" i="4"/>
  <c r="L94" i="4"/>
  <c r="K94" i="4"/>
  <c r="J94" i="4"/>
  <c r="I94" i="4"/>
  <c r="L93" i="4"/>
  <c r="K93" i="4"/>
  <c r="J93" i="4"/>
  <c r="I93" i="4"/>
  <c r="L92" i="4"/>
  <c r="K92" i="4"/>
  <c r="J92" i="4"/>
  <c r="I92" i="4"/>
  <c r="L91" i="4"/>
  <c r="K91" i="4"/>
  <c r="J91" i="4"/>
  <c r="I91" i="4"/>
  <c r="L90" i="4"/>
  <c r="K90" i="4"/>
  <c r="J90" i="4"/>
  <c r="I90" i="4"/>
  <c r="L89" i="4"/>
  <c r="K89" i="4"/>
  <c r="J89" i="4"/>
  <c r="I89" i="4"/>
  <c r="L88" i="4"/>
  <c r="K88" i="4"/>
  <c r="J88" i="4"/>
  <c r="I88" i="4"/>
  <c r="L87" i="4"/>
  <c r="K87" i="4"/>
  <c r="J87" i="4"/>
  <c r="I87" i="4"/>
  <c r="L86" i="4"/>
  <c r="K86" i="4"/>
  <c r="J86" i="4"/>
  <c r="I86" i="4"/>
  <c r="L85" i="4"/>
  <c r="K85" i="4"/>
  <c r="J85" i="4"/>
  <c r="I85" i="4"/>
  <c r="L84" i="4"/>
  <c r="K84" i="4"/>
  <c r="J84" i="4"/>
  <c r="I84" i="4"/>
  <c r="L83" i="4"/>
  <c r="K83" i="4"/>
  <c r="J83" i="4"/>
  <c r="I83" i="4"/>
  <c r="L82" i="4"/>
  <c r="K82" i="4"/>
  <c r="J82" i="4"/>
  <c r="I82" i="4"/>
  <c r="L81" i="4"/>
  <c r="K81" i="4"/>
  <c r="J81" i="4"/>
  <c r="I81" i="4"/>
  <c r="L80" i="4"/>
  <c r="K80" i="4"/>
  <c r="J80" i="4"/>
  <c r="I80" i="4"/>
  <c r="L79" i="4"/>
  <c r="K79" i="4"/>
  <c r="J79" i="4"/>
  <c r="I79" i="4"/>
  <c r="L78" i="4"/>
  <c r="K78" i="4"/>
  <c r="J78" i="4"/>
  <c r="I78" i="4"/>
  <c r="L77" i="4"/>
  <c r="K77" i="4"/>
  <c r="J77" i="4"/>
  <c r="I77" i="4"/>
  <c r="L76" i="4"/>
  <c r="K76" i="4"/>
  <c r="J76" i="4"/>
  <c r="I76" i="4"/>
  <c r="L75" i="4"/>
  <c r="K75" i="4"/>
  <c r="J75" i="4"/>
  <c r="I75" i="4"/>
  <c r="L74" i="4"/>
  <c r="K74" i="4"/>
  <c r="J74" i="4"/>
  <c r="I74" i="4"/>
  <c r="L73" i="4"/>
  <c r="K73" i="4"/>
  <c r="J73" i="4"/>
  <c r="I73" i="4"/>
  <c r="L72" i="4"/>
  <c r="K72" i="4"/>
  <c r="J72" i="4"/>
  <c r="I72" i="4"/>
  <c r="L71" i="4"/>
  <c r="K71" i="4"/>
  <c r="J71" i="4"/>
  <c r="I71" i="4"/>
  <c r="L70" i="4"/>
  <c r="K70" i="4"/>
  <c r="J70" i="4"/>
  <c r="I70" i="4"/>
  <c r="L69" i="4"/>
  <c r="K69" i="4"/>
  <c r="J69" i="4"/>
  <c r="I69" i="4"/>
  <c r="L68" i="4"/>
  <c r="K68" i="4"/>
  <c r="J68" i="4"/>
  <c r="I68" i="4"/>
  <c r="L67" i="4"/>
  <c r="K67" i="4"/>
  <c r="J67" i="4"/>
  <c r="I67" i="4"/>
  <c r="L66" i="4"/>
  <c r="K66" i="4"/>
  <c r="J66" i="4"/>
  <c r="I66" i="4"/>
  <c r="L65" i="4"/>
  <c r="K65" i="4"/>
  <c r="J65" i="4"/>
  <c r="I65" i="4"/>
  <c r="L64" i="4"/>
  <c r="K64" i="4"/>
  <c r="J64" i="4"/>
  <c r="I64" i="4"/>
  <c r="L63" i="4"/>
  <c r="K63" i="4"/>
  <c r="J63" i="4"/>
  <c r="I63" i="4"/>
  <c r="L62" i="4"/>
  <c r="K62" i="4"/>
  <c r="J62" i="4"/>
  <c r="I62" i="4"/>
  <c r="L61" i="4"/>
  <c r="K61" i="4"/>
  <c r="J61" i="4"/>
  <c r="I61" i="4"/>
  <c r="L60" i="4"/>
  <c r="K60" i="4"/>
  <c r="J60" i="4"/>
  <c r="I60" i="4"/>
  <c r="L59" i="4"/>
  <c r="K59" i="4"/>
  <c r="J59" i="4"/>
  <c r="I59" i="4"/>
  <c r="L58" i="4"/>
  <c r="K58" i="4"/>
  <c r="J58" i="4"/>
  <c r="I58" i="4"/>
  <c r="L57" i="4"/>
  <c r="K57" i="4"/>
  <c r="J57" i="4"/>
  <c r="I57" i="4"/>
  <c r="L56" i="4"/>
  <c r="K56" i="4"/>
  <c r="J56" i="4"/>
  <c r="I56" i="4"/>
  <c r="L55" i="4"/>
  <c r="K55" i="4"/>
  <c r="J55" i="4"/>
  <c r="I55" i="4"/>
  <c r="L54" i="4"/>
  <c r="K54" i="4"/>
  <c r="J54" i="4"/>
  <c r="I54" i="4"/>
  <c r="L53" i="4"/>
  <c r="K53" i="4"/>
  <c r="J53" i="4"/>
  <c r="I53" i="4"/>
  <c r="L52" i="4"/>
  <c r="K52" i="4"/>
  <c r="J52" i="4"/>
  <c r="I52" i="4"/>
  <c r="L51" i="4"/>
  <c r="K51" i="4"/>
  <c r="J51" i="4"/>
  <c r="I51" i="4"/>
  <c r="L50" i="4"/>
  <c r="K50" i="4"/>
  <c r="J50" i="4"/>
  <c r="I50" i="4"/>
  <c r="L49" i="4"/>
  <c r="K49" i="4"/>
  <c r="J49" i="4"/>
  <c r="I49" i="4"/>
  <c r="L48" i="4"/>
  <c r="K48" i="4"/>
  <c r="J48" i="4"/>
  <c r="I48" i="4"/>
  <c r="L47" i="4"/>
  <c r="K47" i="4"/>
  <c r="J47" i="4"/>
  <c r="I47" i="4"/>
  <c r="L46" i="4"/>
  <c r="K46" i="4"/>
  <c r="J46" i="4"/>
  <c r="I46" i="4"/>
  <c r="L45" i="4"/>
  <c r="K45" i="4"/>
  <c r="J45" i="4"/>
  <c r="I45" i="4"/>
  <c r="L44" i="4"/>
  <c r="K44" i="4"/>
  <c r="J44" i="4"/>
  <c r="I44" i="4"/>
  <c r="L43" i="4"/>
  <c r="K43" i="4"/>
  <c r="J43" i="4"/>
  <c r="I43" i="4"/>
  <c r="L42" i="4"/>
  <c r="K42" i="4"/>
  <c r="J42" i="4"/>
  <c r="I42" i="4"/>
  <c r="L41" i="4"/>
  <c r="K41" i="4"/>
  <c r="J41" i="4"/>
  <c r="I41" i="4"/>
  <c r="L40" i="4"/>
  <c r="K40" i="4"/>
  <c r="J40" i="4"/>
  <c r="I40" i="4"/>
  <c r="L39" i="4"/>
  <c r="K39" i="4"/>
  <c r="J39" i="4"/>
  <c r="I39" i="4"/>
  <c r="L38" i="4"/>
  <c r="K38" i="4"/>
  <c r="J38" i="4"/>
  <c r="I38" i="4"/>
  <c r="L37" i="4"/>
  <c r="K37" i="4"/>
  <c r="J37" i="4"/>
  <c r="I37" i="4"/>
  <c r="L36" i="4"/>
  <c r="K36" i="4"/>
  <c r="J36" i="4"/>
  <c r="I36" i="4"/>
  <c r="L35" i="4"/>
  <c r="K35" i="4"/>
  <c r="J35" i="4"/>
  <c r="I35" i="4"/>
  <c r="L34" i="4"/>
  <c r="K34" i="4"/>
  <c r="J34" i="4"/>
  <c r="I34" i="4"/>
  <c r="L33" i="4"/>
  <c r="K33" i="4"/>
  <c r="J33" i="4"/>
  <c r="I33" i="4"/>
  <c r="L32" i="4"/>
  <c r="K32" i="4"/>
  <c r="J32" i="4"/>
  <c r="I32" i="4"/>
  <c r="L31" i="4"/>
  <c r="K31" i="4"/>
  <c r="J31" i="4"/>
  <c r="I31" i="4"/>
  <c r="L30" i="4"/>
  <c r="K30" i="4"/>
  <c r="J30" i="4"/>
  <c r="I30" i="4"/>
  <c r="L29" i="4"/>
  <c r="K29" i="4"/>
  <c r="J29" i="4"/>
  <c r="I29" i="4"/>
  <c r="L28" i="4"/>
  <c r="K28" i="4"/>
  <c r="J28" i="4"/>
  <c r="I28" i="4"/>
  <c r="L27" i="4"/>
  <c r="K27" i="4"/>
  <c r="J27" i="4"/>
  <c r="I27" i="4"/>
  <c r="L26" i="4"/>
  <c r="K26" i="4"/>
  <c r="J26" i="4"/>
  <c r="I26" i="4"/>
  <c r="L25" i="4"/>
  <c r="K25" i="4"/>
  <c r="J25" i="4"/>
  <c r="I25" i="4"/>
  <c r="L24" i="4"/>
  <c r="K24" i="4"/>
  <c r="J24" i="4"/>
  <c r="I24" i="4"/>
  <c r="L23" i="4"/>
  <c r="K23" i="4"/>
  <c r="J23" i="4"/>
  <c r="I23" i="4"/>
  <c r="L22" i="4"/>
  <c r="K22" i="4"/>
  <c r="J22" i="4"/>
  <c r="I22" i="4"/>
  <c r="L21" i="4"/>
  <c r="K21" i="4"/>
  <c r="J21" i="4"/>
  <c r="I21" i="4"/>
  <c r="L20" i="4"/>
  <c r="K20" i="4"/>
  <c r="J20" i="4"/>
  <c r="I20" i="4"/>
  <c r="L19" i="4"/>
  <c r="K19" i="4"/>
  <c r="J19" i="4"/>
  <c r="I19" i="4"/>
  <c r="L18" i="4"/>
  <c r="K18" i="4"/>
  <c r="J18" i="4"/>
  <c r="I18" i="4"/>
  <c r="L17" i="4"/>
  <c r="K17" i="4"/>
  <c r="J17" i="4"/>
  <c r="I17" i="4"/>
  <c r="L16" i="4"/>
  <c r="K16" i="4"/>
  <c r="J16" i="4"/>
  <c r="I16" i="4"/>
  <c r="L15" i="4"/>
  <c r="K15" i="4"/>
  <c r="J15" i="4"/>
  <c r="I15" i="4"/>
  <c r="L14" i="4"/>
  <c r="K14" i="4"/>
  <c r="J14" i="4"/>
  <c r="I14" i="4"/>
  <c r="L13" i="4"/>
  <c r="K13" i="4"/>
  <c r="J13" i="4"/>
  <c r="I13" i="4"/>
  <c r="L12" i="4"/>
  <c r="K12" i="4"/>
  <c r="J12" i="4"/>
  <c r="I12" i="4"/>
  <c r="L11" i="4"/>
  <c r="K11" i="4"/>
  <c r="J11" i="4"/>
  <c r="I11" i="4"/>
  <c r="L10" i="4"/>
  <c r="K10" i="4"/>
  <c r="J10" i="4"/>
  <c r="I10" i="4"/>
  <c r="L9" i="4"/>
  <c r="K9" i="4"/>
  <c r="J9" i="4"/>
  <c r="I9" i="4"/>
  <c r="L8" i="4"/>
  <c r="K8" i="4"/>
  <c r="J8" i="4"/>
  <c r="I8" i="4"/>
  <c r="L7" i="4"/>
  <c r="K7" i="4"/>
  <c r="J7" i="4"/>
  <c r="I7" i="4"/>
  <c r="L6" i="4"/>
  <c r="K6" i="4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  <c r="L2" i="4"/>
  <c r="K2" i="4"/>
  <c r="J2" i="4"/>
  <c r="I2" i="4"/>
  <c r="A145" i="2"/>
  <c r="A142" i="2"/>
  <c r="A139" i="2"/>
  <c r="A136" i="2"/>
  <c r="A133" i="2"/>
  <c r="A130" i="2"/>
  <c r="A127" i="2"/>
  <c r="A124" i="2"/>
  <c r="A121" i="2"/>
  <c r="A118" i="2"/>
  <c r="A115" i="2"/>
  <c r="A112" i="2"/>
  <c r="A109" i="2"/>
  <c r="A106" i="2"/>
  <c r="A103" i="2"/>
  <c r="A100" i="2"/>
  <c r="A97" i="2"/>
  <c r="A94" i="2"/>
  <c r="A91" i="2"/>
  <c r="A88" i="2"/>
  <c r="A85" i="2"/>
  <c r="A82" i="2"/>
  <c r="A79" i="2"/>
  <c r="A76" i="2"/>
  <c r="A73" i="2"/>
  <c r="A70" i="2"/>
  <c r="A67" i="2"/>
  <c r="A64" i="2"/>
  <c r="A61" i="2"/>
  <c r="A58" i="2"/>
  <c r="A55" i="2"/>
  <c r="A52" i="2"/>
  <c r="A49" i="2"/>
  <c r="A46" i="2"/>
  <c r="A43" i="2"/>
  <c r="A40" i="2"/>
  <c r="A37" i="2"/>
  <c r="A34" i="2"/>
  <c r="A31" i="2"/>
  <c r="A28" i="2"/>
  <c r="A25" i="2"/>
  <c r="A22" i="2"/>
  <c r="A19" i="2"/>
  <c r="A16" i="2"/>
  <c r="A13" i="2"/>
  <c r="A10" i="2"/>
  <c r="A7" i="2"/>
  <c r="A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A78773-DD7A-45CA-A40A-4F7175F5A157}" keepAlive="1" name="Query - Algeria (ALG) (2)" description="Connection to the 'Algeria (ALG) (2)' query in the workbook." type="5" refreshedVersion="0" background="1">
    <dbPr connection="Provider=Microsoft.Mashup.OleDb.1;Data Source=$Workbook$;Location=&quot;Algeria (ALG) (2)&quot;;Extended Properties=&quot;&quot;" command="SELECT * FROM [Algeria (ALG) (2)]"/>
  </connection>
  <connection id="2" xr16:uid="{BC6AC0E6-866D-4E5D-998E-BCB452D5093E}" keepAlive="1" name="Query - Append_48_ANA (2)" description="Connection to the 'Append_48_ANA (2)' query in the workbook." type="5" refreshedVersion="8" minRefreshableVersion="3" saveData="1">
    <dbPr connection="Provider=Microsoft.Mashup.OleDb.1;Data Source=$Workbook$;Location=&quot;Append_48_ANA (2)&quot;;Extended Properties=&quot;&quot;" command="SELECT * FROM [Append_48_ANA (2)]"/>
  </connection>
  <connection id="3" xr16:uid="{5554ED21-629F-420C-AE87-40842DC45B67}" keepAlive="1" name="Query - Argentina (ARG) (2)" description="Connection to the 'Argentina (ARG) (2)' query in the workbook." type="5" refreshedVersion="0" background="1">
    <dbPr connection="Provider=Microsoft.Mashup.OleDb.1;Data Source=$Workbook$;Location=&quot;Argentina (ARG) (2)&quot;;Extended Properties=&quot;&quot;" command="SELECT * FROM [Argentina (ARG) (2)]"/>
  </connection>
  <connection id="4" xr16:uid="{CBEB1890-1B89-425C-BB04-742D334F9D84}" keepAlive="1" name="Query - Australia (AUS) (2)" description="Connection to the 'Australia (AUS) (2)' query in the workbook." type="5" refreshedVersion="0" background="1">
    <dbPr connection="Provider=Microsoft.Mashup.OleDb.1;Data Source=$Workbook$;Location=&quot;Australia (AUS) (2)&quot;;Extended Properties=&quot;&quot;" command="SELECT * FROM [Australia (AUS) (2)]"/>
  </connection>
  <connection id="5" xr16:uid="{70516A1C-2EF1-4A7B-BB26-CB0004044ECA}" keepAlive="1" name="Query - Austria (AUT) (2)" description="Connection to the 'Austria (AUT) (2)' query in the workbook." type="5" refreshedVersion="0" background="1">
    <dbPr connection="Provider=Microsoft.Mashup.OleDb.1;Data Source=$Workbook$;Location=&quot;Austria (AUT) (2)&quot;;Extended Properties=&quot;&quot;" command="SELECT * FROM [Austria (AUT) (2)]"/>
  </connection>
  <connection id="6" xr16:uid="{3AA62580-470E-41C6-8EC6-9E5C0D721887}" keepAlive="1" name="Query - Belgium (BEL) (2)" description="Connection to the 'Belgium (BEL) (2)' query in the workbook." type="5" refreshedVersion="0" background="1">
    <dbPr connection="Provider=Microsoft.Mashup.OleDb.1;Data Source=$Workbook$;Location=&quot;Belgium (BEL) (2)&quot;;Extended Properties=&quot;&quot;" command="SELECT * FROM [Belgium (BEL) (2)]"/>
  </connection>
  <connection id="7" xr16:uid="{920312D6-4319-48B8-BA39-D7FE42BD0D41}" keepAlive="1" name="Query - Bosnia And Herzegovina (BIH) (2)" description="Connection to the 'Bosnia And Herzegovina (BIH) (2)' query in the workbook." type="5" refreshedVersion="0" background="1">
    <dbPr connection="Provider=Microsoft.Mashup.OleDb.1;Data Source=$Workbook$;Location=&quot;Bosnia And Herzegovina (BIH) (2)&quot;;Extended Properties=&quot;&quot;" command="SELECT * FROM [Bosnia And Herzegovina (BIH) (2)]"/>
  </connection>
  <connection id="8" xr16:uid="{DEC60CBB-A999-4ACE-9B06-AFDA6E3F6592}" keepAlive="1" name="Query - Brazil (BRA) (2)" description="Connection to the 'Brazil (BRA) (2)' query in the workbook." type="5" refreshedVersion="0" background="1">
    <dbPr connection="Provider=Microsoft.Mashup.OleDb.1;Data Source=$Workbook$;Location=&quot;Brazil (BRA) (2)&quot;;Extended Properties=&quot;&quot;" command="SELECT * FROM [Brazil (BRA) (2)]"/>
  </connection>
  <connection id="9" xr16:uid="{D457692E-6CE8-45E6-871E-376AD9940B18}" keepAlive="1" name="Query - Cabo Verde (CPV) (2)" description="Connection to the 'Cabo Verde (CPV) (2)' query in the workbook." type="5" refreshedVersion="0" background="1">
    <dbPr connection="Provider=Microsoft.Mashup.OleDb.1;Data Source=$Workbook$;Location=&quot;Cabo Verde (CPV) (2)&quot;;Extended Properties=&quot;&quot;" command="SELECT * FROM [Cabo Verde (CPV) (2)]"/>
  </connection>
  <connection id="10" xr16:uid="{BABA5AA6-8633-4408-9055-C0612EB7DD01}" keepAlive="1" name="Query - Canada (CAN) (2)" description="Connection to the 'Canada (CAN) (2)' query in the workbook." type="5" refreshedVersion="0" background="1">
    <dbPr connection="Provider=Microsoft.Mashup.OleDb.1;Data Source=$Workbook$;Location=&quot;Canada (CAN) (2)&quot;;Extended Properties=&quot;&quot;" command="SELECT * FROM [Canada (CAN) (2)]"/>
  </connection>
  <connection id="11" xr16:uid="{494C0B78-316C-432E-BAAF-ECAC704259EF}" keepAlive="1" name="Query - Colombia (COL) (2)" description="Connection to the 'Colombia (COL) (2)' query in the workbook." type="5" refreshedVersion="0" background="1">
    <dbPr connection="Provider=Microsoft.Mashup.OleDb.1;Data Source=$Workbook$;Location=&quot;Colombia (COL) (2)&quot;;Extended Properties=&quot;&quot;" command="SELECT * FROM [Colombia (COL) (2)]"/>
  </connection>
  <connection id="12" xr16:uid="{6767390D-9F67-4548-A333-19E2F747D4B2}" keepAlive="1" name="Query - Congo DR (COD) (2)" description="Connection to the 'Congo DR (COD) (2)' query in the workbook." type="5" refreshedVersion="0" background="1">
    <dbPr connection="Provider=Microsoft.Mashup.OleDb.1;Data Source=$Workbook$;Location=&quot;Congo DR (COD) (2)&quot;;Extended Properties=&quot;&quot;" command="SELECT * FROM [Congo DR (COD) (2)]"/>
  </connection>
  <connection id="13" xr16:uid="{C63F8135-3F67-4168-9905-F1D2877719C6}" keepAlive="1" name="Query - Côte D'Ivoire (CIV) (2)" description="Connection to the 'Côte D'Ivoire (CIV) (2)' query in the workbook." type="5" refreshedVersion="0" background="1">
    <dbPr connection="Provider=Microsoft.Mashup.OleDb.1;Data Source=$Workbook$;Location=&quot;Côte D'Ivoire (CIV) (2)&quot;;Extended Properties=&quot;&quot;" command="SELECT * FROM [Côte D'Ivoire (CIV) (2)]"/>
  </connection>
  <connection id="14" xr16:uid="{A9309720-63DF-48A1-B62C-966DAB1CB39F}" keepAlive="1" name="Query - Croatia (CRO) (2)" description="Connection to the 'Croatia (CRO) (2)' query in the workbook." type="5" refreshedVersion="0" background="1">
    <dbPr connection="Provider=Microsoft.Mashup.OleDb.1;Data Source=$Workbook$;Location=&quot;Croatia (CRO) (2)&quot;;Extended Properties=&quot;&quot;" command="SELECT * FROM [Croatia (CRO) (2)]"/>
  </connection>
  <connection id="15" xr16:uid="{A69A9266-6D13-425D-9948-01EA3EFED909}" keepAlive="1" name="Query - Curaçao (CUW) (2)" description="Connection to the 'Curaçao (CUW) (2)' query in the workbook." type="5" refreshedVersion="0" background="1">
    <dbPr connection="Provider=Microsoft.Mashup.OleDb.1;Data Source=$Workbook$;Location=&quot;Curaçao (CUW) (2)&quot;;Extended Properties=&quot;&quot;" command="SELECT * FROM [Curaçao (CUW) (2)]"/>
  </connection>
  <connection id="16" xr16:uid="{114DF23A-2E09-4264-8ADD-A2296BFF613A}" keepAlive="1" name="Query - Czechia (CZE) (2)" description="Connection to the 'Czechia (CZE) (2)' query in the workbook." type="5" refreshedVersion="0" background="1">
    <dbPr connection="Provider=Microsoft.Mashup.OleDb.1;Data Source=$Workbook$;Location=&quot;Czechia (CZE) (2)&quot;;Extended Properties=&quot;&quot;" command="SELECT * FROM [Czechia (CZE) (2)]"/>
  </connection>
  <connection id="17" xr16:uid="{8E970345-77CE-4B2A-BCFB-B8D4E39B0A16}" keepAlive="1" name="Query - Ecuador (ECU) (2)" description="Connection to the 'Ecuador (ECU) (2)' query in the workbook." type="5" refreshedVersion="0" background="1">
    <dbPr connection="Provider=Microsoft.Mashup.OleDb.1;Data Source=$Workbook$;Location=&quot;Ecuador (ECU) (2)&quot;;Extended Properties=&quot;&quot;" command="SELECT * FROM [Ecuador (ECU) (2)]"/>
  </connection>
  <connection id="18" xr16:uid="{88374CB6-F08B-400E-A1CE-AA777699856D}" keepAlive="1" name="Query - Egypt (EGY) (2)" description="Connection to the 'Egypt (EGY) (2)' query in the workbook." type="5" refreshedVersion="0" background="1">
    <dbPr connection="Provider=Microsoft.Mashup.OleDb.1;Data Source=$Workbook$;Location=&quot;Egypt (EGY) (2)&quot;;Extended Properties=&quot;&quot;" command="SELECT * FROM [Egypt (EGY) (2)]"/>
  </connection>
  <connection id="19" xr16:uid="{15FE8680-6AA9-4C12-8F46-D5D17518FAF2}" keepAlive="1" name="Query - England (ENG) (2)" description="Connection to the 'England (ENG) (2)' query in the workbook." type="5" refreshedVersion="0" background="1">
    <dbPr connection="Provider=Microsoft.Mashup.OleDb.1;Data Source=$Workbook$;Location=&quot;England (ENG) (2)&quot;;Extended Properties=&quot;&quot;" command="SELECT * FROM [England (ENG) (2)]"/>
  </connection>
  <connection id="20" xr16:uid="{86E68F6F-6B23-4D29-B39C-5E0C6FFBFA33}" keepAlive="1" name="Query - France (FRA) (2)" description="Connection to the 'France (FRA) (2)' query in the workbook." type="5" refreshedVersion="0" background="1">
    <dbPr connection="Provider=Microsoft.Mashup.OleDb.1;Data Source=$Workbook$;Location=&quot;France (FRA) (2)&quot;;Extended Properties=&quot;&quot;" command="SELECT * FROM [France (FRA) (2)]"/>
  </connection>
  <connection id="21" xr16:uid="{ECF540FF-504E-476B-BCC2-60D0F9FD5DC6}" keepAlive="1" name="Query - Germany (GER) (2)" description="Connection to the 'Germany (GER) (2)' query in the workbook." type="5" refreshedVersion="0" background="1">
    <dbPr connection="Provider=Microsoft.Mashup.OleDb.1;Data Source=$Workbook$;Location=&quot;Germany (GER) (2)&quot;;Extended Properties=&quot;&quot;" command="SELECT * FROM [Germany (GER) (2)]"/>
  </connection>
  <connection id="22" xr16:uid="{8481E584-210D-484A-A5E8-10577DAE03BB}" keepAlive="1" name="Query - Ghana (GHA) (2)" description="Connection to the 'Ghana (GHA) (2)' query in the workbook." type="5" refreshedVersion="0" background="1">
    <dbPr connection="Provider=Microsoft.Mashup.OleDb.1;Data Source=$Workbook$;Location=&quot;Ghana (GHA) (2)&quot;;Extended Properties=&quot;&quot;" command="SELECT * FROM [Ghana (GHA) (2)]"/>
  </connection>
  <connection id="23" xr16:uid="{223A9A2A-1CF7-49BC-9E47-9462CEFF3317}" keepAlive="1" name="Query - Haiti (HAI) (2)" description="Connection to the 'Haiti (HAI) (2)' query in the workbook." type="5" refreshedVersion="0" background="1">
    <dbPr connection="Provider=Microsoft.Mashup.OleDb.1;Data Source=$Workbook$;Location=&quot;Haiti (HAI) (2)&quot;;Extended Properties=&quot;&quot;" command="SELECT * FROM [Haiti (HAI) (2)]"/>
  </connection>
  <connection id="24" xr16:uid="{7CC4F8F3-F05C-40E0-8599-C1FFF57A20C3}" keepAlive="1" name="Query - IR Iran (IRN) (2)" description="Connection to the 'IR Iran (IRN) (2)' query in the workbook." type="5" refreshedVersion="0" background="1">
    <dbPr connection="Provider=Microsoft.Mashup.OleDb.1;Data Source=$Workbook$;Location=&quot;IR Iran (IRN) (2)&quot;;Extended Properties=&quot;&quot;" command="SELECT * FROM [IR Iran (IRN) (2)]"/>
  </connection>
  <connection id="25" xr16:uid="{70A095D9-AB39-45C1-AC51-ECC3782B184C}" keepAlive="1" name="Query - Iraq (IRQ) (2)" description="Connection to the 'Iraq (IRQ) (2)' query in the workbook." type="5" refreshedVersion="0" background="1">
    <dbPr connection="Provider=Microsoft.Mashup.OleDb.1;Data Source=$Workbook$;Location=&quot;Iraq (IRQ) (2)&quot;;Extended Properties=&quot;&quot;" command="SELECT * FROM [Iraq (IRQ) (2)]"/>
  </connection>
  <connection id="26" xr16:uid="{31B9AE56-7625-4990-8A58-5C494C4D58B4}" keepAlive="1" name="Query - Japan (JPN) (2)" description="Connection to the 'Japan (JPN) (2)' query in the workbook." type="5" refreshedVersion="0" background="1">
    <dbPr connection="Provider=Microsoft.Mashup.OleDb.1;Data Source=$Workbook$;Location=&quot;Japan (JPN) (2)&quot;;Extended Properties=&quot;&quot;" command="SELECT * FROM [Japan (JPN) (2)]"/>
  </connection>
  <connection id="27" xr16:uid="{F95EC3B5-2462-4E2F-800D-087D6E906A27}" keepAlive="1" name="Query - Jordan (JOR) (2)" description="Connection to the 'Jordan (JOR) (2)' query in the workbook." type="5" refreshedVersion="0" background="1">
    <dbPr connection="Provider=Microsoft.Mashup.OleDb.1;Data Source=$Workbook$;Location=&quot;Jordan (JOR) (2)&quot;;Extended Properties=&quot;&quot;" command="SELECT * FROM [Jordan (JOR) (2)]"/>
  </connection>
  <connection id="28" xr16:uid="{F26AEE1D-9891-4BCA-80B2-ECADF79BCCC5}" keepAlive="1" name="Query - Korea Republic (KOR) (2)" description="Connection to the 'Korea Republic (KOR) (2)' query in the workbook." type="5" refreshedVersion="0" background="1">
    <dbPr connection="Provider=Microsoft.Mashup.OleDb.1;Data Source=$Workbook$;Location=&quot;Korea Republic (KOR) (2)&quot;;Extended Properties=&quot;&quot;" command="SELECT * FROM [Korea Republic (KOR) (2)]"/>
  </connection>
  <connection id="29" xr16:uid="{FA9987F4-7689-421A-8F57-05571777F103}" keepAlive="1" name="Query - Mexico (MEX) (2)" description="Connection to the 'Mexico (MEX) (2)' query in the workbook." type="5" refreshedVersion="0" background="1">
    <dbPr connection="Provider=Microsoft.Mashup.OleDb.1;Data Source=$Workbook$;Location=&quot;Mexico (MEX) (2)&quot;;Extended Properties=&quot;&quot;" command="SELECT * FROM [Mexico (MEX) (2)]"/>
  </connection>
  <connection id="30" xr16:uid="{86D4679B-192B-4A1A-80CF-FB1C54811082}" keepAlive="1" name="Query - Morocco (MAR) (2)" description="Connection to the 'Morocco (MAR) (2)' query in the workbook." type="5" refreshedVersion="0" background="1">
    <dbPr connection="Provider=Microsoft.Mashup.OleDb.1;Data Source=$Workbook$;Location=&quot;Morocco (MAR) (2)&quot;;Extended Properties=&quot;&quot;" command="SELECT * FROM [Morocco (MAR) (2)]"/>
  </connection>
  <connection id="31" xr16:uid="{DF24A6B4-6A83-4B12-BE27-2C32F0DF691B}" keepAlive="1" name="Query - Netherlands (NED) (2)" description="Connection to the 'Netherlands (NED) (2)' query in the workbook." type="5" refreshedVersion="0" background="1">
    <dbPr connection="Provider=Microsoft.Mashup.OleDb.1;Data Source=$Workbook$;Location=&quot;Netherlands (NED) (2)&quot;;Extended Properties=&quot;&quot;" command="SELECT * FROM [Netherlands (NED) (2)]"/>
  </connection>
  <connection id="32" xr16:uid="{C4FA95E6-87FC-4A69-BA05-60F0000C8BF1}" keepAlive="1" name="Query - New Zealand (NZL) (2)" description="Connection to the 'New Zealand (NZL) (2)' query in the workbook." type="5" refreshedVersion="0" background="1">
    <dbPr connection="Provider=Microsoft.Mashup.OleDb.1;Data Source=$Workbook$;Location=&quot;New Zealand (NZL) (2)&quot;;Extended Properties=&quot;&quot;" command="SELECT * FROM [New Zealand (NZL) (2)]"/>
  </connection>
  <connection id="33" xr16:uid="{43CC0CF3-5E2D-4436-A4FD-D2EECEC3025E}" keepAlive="1" name="Query - Norway (NOR) (2)" description="Connection to the 'Norway (NOR) (2)' query in the workbook." type="5" refreshedVersion="0" background="1">
    <dbPr connection="Provider=Microsoft.Mashup.OleDb.1;Data Source=$Workbook$;Location=&quot;Norway (NOR) (2)&quot;;Extended Properties=&quot;&quot;" command="SELECT * FROM [Norway (NOR) (2)]"/>
  </connection>
  <connection id="34" xr16:uid="{9FC258C5-2EB8-405C-947A-86B310EF4B50}" keepAlive="1" name="Query - Panama (PAN) (2)" description="Connection to the 'Panama (PAN) (2)' query in the workbook." type="5" refreshedVersion="0" background="1">
    <dbPr connection="Provider=Microsoft.Mashup.OleDb.1;Data Source=$Workbook$;Location=&quot;Panama (PAN) (2)&quot;;Extended Properties=&quot;&quot;" command="SELECT * FROM [Panama (PAN) (2)]"/>
  </connection>
  <connection id="35" xr16:uid="{7EB8E7F8-9597-4C63-94BD-69EFEA24C399}" keepAlive="1" name="Query - Paraguay (PAR) (2)" description="Connection to the 'Paraguay (PAR) (2)' query in the workbook." type="5" refreshedVersion="0" background="1">
    <dbPr connection="Provider=Microsoft.Mashup.OleDb.1;Data Source=$Workbook$;Location=&quot;Paraguay (PAR) (2)&quot;;Extended Properties=&quot;&quot;" command="SELECT * FROM [Paraguay (PAR) (2)]"/>
  </connection>
  <connection id="36" xr16:uid="{CD479552-667B-4373-992D-F38233A61C23}" keepAlive="1" name="Query - Portugal (POR) (2)" description="Connection to the 'Portugal (POR) (2)' query in the workbook." type="5" refreshedVersion="0" background="1">
    <dbPr connection="Provider=Microsoft.Mashup.OleDb.1;Data Source=$Workbook$;Location=&quot;Portugal (POR) (2)&quot;;Extended Properties=&quot;&quot;" command="SELECT * FROM [Portugal (POR) (2)]"/>
  </connection>
  <connection id="37" xr16:uid="{070AFF83-A6F5-4A93-A16D-E53C2B5E185C}" keepAlive="1" name="Query - Qatar (QAT) (2)" description="Connection to the 'Qatar (QAT) (2)' query in the workbook." type="5" refreshedVersion="0" background="1">
    <dbPr connection="Provider=Microsoft.Mashup.OleDb.1;Data Source=$Workbook$;Location=&quot;Qatar (QAT) (2)&quot;;Extended Properties=&quot;&quot;" command="SELECT * FROM [Qatar (QAT) (2)]"/>
  </connection>
  <connection id="38" xr16:uid="{AED89677-C82D-458F-8A3E-C8833E217B37}" keepAlive="1" name="Query - Saudi Arabia (KSA) (2)" description="Connection to the 'Saudi Arabia (KSA) (2)' query in the workbook." type="5" refreshedVersion="0" background="1">
    <dbPr connection="Provider=Microsoft.Mashup.OleDb.1;Data Source=$Workbook$;Location=&quot;Saudi Arabia (KSA) (2)&quot;;Extended Properties=&quot;&quot;" command="SELECT * FROM [Saudi Arabia (KSA) (2)]"/>
  </connection>
  <connection id="39" xr16:uid="{466A53D4-7443-4683-A499-11B26D84EE25}" keepAlive="1" name="Query - Scotland (SCO) (2)" description="Connection to the 'Scotland (SCO) (2)' query in the workbook." type="5" refreshedVersion="0" background="1">
    <dbPr connection="Provider=Microsoft.Mashup.OleDb.1;Data Source=$Workbook$;Location=&quot;Scotland (SCO) (2)&quot;;Extended Properties=&quot;&quot;" command="SELECT * FROM [Scotland (SCO) (2)]"/>
  </connection>
  <connection id="40" xr16:uid="{8CFF1323-F505-4778-B3AC-1FA33CAAA8E5}" keepAlive="1" name="Query - Senegal (SEN) (2)" description="Connection to the 'Senegal (SEN) (2)' query in the workbook." type="5" refreshedVersion="0" background="1">
    <dbPr connection="Provider=Microsoft.Mashup.OleDb.1;Data Source=$Workbook$;Location=&quot;Senegal (SEN) (2)&quot;;Extended Properties=&quot;&quot;" command="SELECT * FROM [Senegal (SEN) (2)]"/>
  </connection>
  <connection id="41" xr16:uid="{D53D7A5F-F417-431B-8ABD-224A627CB707}" keepAlive="1" name="Query - South Africa (RSA) (2)" description="Connection to the 'South Africa (RSA) (2)' query in the workbook." type="5" refreshedVersion="0" background="1">
    <dbPr connection="Provider=Microsoft.Mashup.OleDb.1;Data Source=$Workbook$;Location=&quot;South Africa (RSA) (2)&quot;;Extended Properties=&quot;&quot;" command="SELECT * FROM [South Africa (RSA) (2)]"/>
  </connection>
  <connection id="42" xr16:uid="{F71C1522-950A-433A-A7DD-4F2169EEF109}" keepAlive="1" name="Query - Spain (ESP) (2)" description="Connection to the 'Spain (ESP) (2)' query in the workbook." type="5" refreshedVersion="0" background="1">
    <dbPr connection="Provider=Microsoft.Mashup.OleDb.1;Data Source=$Workbook$;Location=&quot;Spain (ESP) (2)&quot;;Extended Properties=&quot;&quot;" command="SELECT * FROM [Spain (ESP) (2)]"/>
  </connection>
  <connection id="43" xr16:uid="{400989D2-ED6D-4611-9B82-E485CC93ED2E}" keepAlive="1" name="Query - Sweden (SWE) (2)" description="Connection to the 'Sweden (SWE) (2)' query in the workbook." type="5" refreshedVersion="0" background="1">
    <dbPr connection="Provider=Microsoft.Mashup.OleDb.1;Data Source=$Workbook$;Location=&quot;Sweden (SWE) (2)&quot;;Extended Properties=&quot;&quot;" command="SELECT * FROM [Sweden (SWE) (2)]"/>
  </connection>
  <connection id="44" xr16:uid="{8575F963-1A50-4FF9-A978-82BB013BD97E}" keepAlive="1" name="Query - Switzerland (SUI) (2)" description="Connection to the 'Switzerland (SUI) (2)' query in the workbook." type="5" refreshedVersion="0" background="1">
    <dbPr connection="Provider=Microsoft.Mashup.OleDb.1;Data Source=$Workbook$;Location=&quot;Switzerland (SUI) (2)&quot;;Extended Properties=&quot;&quot;" command="SELECT * FROM [Switzerland (SUI) (2)]"/>
  </connection>
  <connection id="45" xr16:uid="{722A8A2B-7EC9-4EC7-8618-572A8B45ED14}" keepAlive="1" name="Query - Tunisia (TUN) (2)" description="Connection to the 'Tunisia (TUN) (2)' query in the workbook." type="5" refreshedVersion="0" background="1">
    <dbPr connection="Provider=Microsoft.Mashup.OleDb.1;Data Source=$Workbook$;Location=&quot;Tunisia (TUN) (2)&quot;;Extended Properties=&quot;&quot;" command="SELECT * FROM [Tunisia (TUN) (2)]"/>
  </connection>
  <connection id="46" xr16:uid="{F9490750-C4FD-48F4-B1B1-0CA99679664F}" keepAlive="1" name="Query - Türkiye (TUR) (2)" description="Connection to the 'Türkiye (TUR) (2)' query in the workbook." type="5" refreshedVersion="0" background="1">
    <dbPr connection="Provider=Microsoft.Mashup.OleDb.1;Data Source=$Workbook$;Location=&quot;Türkiye (TUR) (2)&quot;;Extended Properties=&quot;&quot;" command="SELECT * FROM [Türkiye (TUR) (2)]"/>
  </connection>
  <connection id="47" xr16:uid="{7720F996-692D-4901-97FD-0E655675B80E}" keepAlive="1" name="Query - Uruguay (URU) (2)" description="Connection to the 'Uruguay (URU) (2)' query in the workbook." type="5" refreshedVersion="0" background="1">
    <dbPr connection="Provider=Microsoft.Mashup.OleDb.1;Data Source=$Workbook$;Location=&quot;Uruguay (URU) (2)&quot;;Extended Properties=&quot;&quot;" command="SELECT * FROM [Uruguay (URU) (2)]"/>
  </connection>
  <connection id="48" xr16:uid="{FEE431B2-2402-443A-8108-6DEAC9167770}" keepAlive="1" name="Query - USA (USA) (2)" description="Connection to the 'USA (USA) (2)' query in the workbook." type="5" refreshedVersion="0" background="1">
    <dbPr connection="Provider=Microsoft.Mashup.OleDb.1;Data Source=$Workbook$;Location=&quot;USA (USA) (2)&quot;;Extended Properties=&quot;&quot;" command="SELECT * FROM [USA (USA) (2)]"/>
  </connection>
  <connection id="49" xr16:uid="{3C258DCC-67E1-4D94-8415-696FC8ACDEF3}" keepAlive="1" name="Query - Uzbekistan (UZB) (2)" description="Connection to the 'Uzbekistan (UZB) (2)' query in the workbook." type="5" refreshedVersion="0" background="1">
    <dbPr connection="Provider=Microsoft.Mashup.OleDb.1;Data Source=$Workbook$;Location=&quot;Uzbekistan (UZB) (2)&quot;;Extended Properties=&quot;&quot;" command="SELECT * FROM [Uzbekistan (UZB) (2)]"/>
  </connection>
</connections>
</file>

<file path=xl/sharedStrings.xml><?xml version="1.0" encoding="utf-8"?>
<sst xmlns="http://schemas.openxmlformats.org/spreadsheetml/2006/main" count="18757" uniqueCount="5212">
  <si>
    <t>Teams</t>
  </si>
  <si>
    <t>International player contract transfers (incoming+ outgoing) 2025</t>
  </si>
  <si>
    <t>Coach Salary (EURO)</t>
  </si>
  <si>
    <t>Ranking (April 2026)</t>
  </si>
  <si>
    <t>International Player Transfer fees spent (USD) (Fifa Global Transfer Report 2025)</t>
  </si>
  <si>
    <t>Mexico</t>
  </si>
  <si>
    <t>South Korea</t>
  </si>
  <si>
    <t>Canada</t>
  </si>
  <si>
    <t>USA</t>
  </si>
  <si>
    <t>Qatar</t>
  </si>
  <si>
    <t>Brazil</t>
  </si>
  <si>
    <t>Haiti</t>
  </si>
  <si>
    <t>Australia</t>
  </si>
  <si>
    <t>Germany</t>
  </si>
  <si>
    <t>Netherlands</t>
  </si>
  <si>
    <t>Saudi Arabia</t>
  </si>
  <si>
    <t>Belgium</t>
  </si>
  <si>
    <t>Sweden</t>
  </si>
  <si>
    <t>Ivory Coast</t>
  </si>
  <si>
    <t>Spain</t>
  </si>
  <si>
    <t>Iran</t>
  </si>
  <si>
    <t>France</t>
  </si>
  <si>
    <t>Iraq</t>
  </si>
  <si>
    <t>Argentina</t>
  </si>
  <si>
    <t>Austria</t>
  </si>
  <si>
    <t>Portugal</t>
  </si>
  <si>
    <t>England</t>
  </si>
  <si>
    <t>Switzerland</t>
  </si>
  <si>
    <t>Uzbekistan</t>
  </si>
  <si>
    <t>Ghana</t>
  </si>
  <si>
    <t>Czech Republic</t>
  </si>
  <si>
    <t>Scotland</t>
  </si>
  <si>
    <t>Turkey</t>
  </si>
  <si>
    <t>Uruguay</t>
  </si>
  <si>
    <t>Tunisia</t>
  </si>
  <si>
    <t>Ecuador</t>
  </si>
  <si>
    <t>New Zealand</t>
  </si>
  <si>
    <t>Norway</t>
  </si>
  <si>
    <t>Jordan</t>
  </si>
  <si>
    <t>Morocco</t>
  </si>
  <si>
    <t>Colombia</t>
  </si>
  <si>
    <t>Panama</t>
  </si>
  <si>
    <t>Bosnia &amp; Herzegovina</t>
  </si>
  <si>
    <t>South Africa</t>
  </si>
  <si>
    <t>Curacao</t>
  </si>
  <si>
    <t>Senegal</t>
  </si>
  <si>
    <t>Japan</t>
  </si>
  <si>
    <t>Paraguay</t>
  </si>
  <si>
    <t>Cape Verde</t>
  </si>
  <si>
    <t>Egypt</t>
  </si>
  <si>
    <t>Croatia</t>
  </si>
  <si>
    <t>D.R. Congo</t>
  </si>
  <si>
    <t>Algeria</t>
  </si>
  <si>
    <t xml:space="preserve">Last updated: Apr 01, 2026 </t>
  </si>
  <si>
    <t>https://worldcupstats.football/teams/#sort=delta_points%2Cdesc</t>
  </si>
  <si>
    <t>Sort</t>
  </si>
  <si>
    <t>by:</t>
  </si>
  <si>
    <t>Rank</t>
  </si>
  <si>
    <t>Points</t>
  </si>
  <si>
    <t>Trend</t>
  </si>
  <si>
    <t>Δ</t>
  </si>
  <si>
    <t>Name</t>
  </si>
  <si>
    <t>Bosnia</t>
  </si>
  <si>
    <t>&amp;</t>
  </si>
  <si>
    <t>Herzegovina</t>
  </si>
  <si>
    <t>flag</t>
  </si>
  <si>
    <t>#65</t>
  </si>
  <si>
    <t>▲6</t>
  </si>
  <si>
    <t>pts</t>
  </si>
  <si>
    <t>UEFA</t>
  </si>
  <si>
    <t>·</t>
  </si>
  <si>
    <t>B</t>
  </si>
  <si>
    <t>#38</t>
  </si>
  <si>
    <t>▲5</t>
  </si>
  <si>
    <t>F</t>
  </si>
  <si>
    <t>#22</t>
  </si>
  <si>
    <t>▲3</t>
  </si>
  <si>
    <t>D</t>
  </si>
  <si>
    <t>Ivory</t>
  </si>
  <si>
    <t>Coast</t>
  </si>
  <si>
    <t>#34</t>
  </si>
  <si>
    <t>CAF</t>
  </si>
  <si>
    <t>E</t>
  </si>
  <si>
    <t>#44</t>
  </si>
  <si>
    <t>#1</t>
  </si>
  <si>
    <t>▲2</t>
  </si>
  <si>
    <t>I</t>
  </si>
  <si>
    <t>DR</t>
  </si>
  <si>
    <t>Congo</t>
  </si>
  <si>
    <t>#46</t>
  </si>
  <si>
    <t>K</t>
  </si>
  <si>
    <t>#50</t>
  </si>
  <si>
    <t>AFC</t>
  </si>
  <si>
    <t>#5</t>
  </si>
  <si>
    <t>▲1</t>
  </si>
  <si>
    <t>🪙</t>
  </si>
  <si>
    <t>$POR</t>
  </si>
  <si>
    <t>#13</t>
  </si>
  <si>
    <t>CONMEBOL</t>
  </si>
  <si>
    <t>#15</t>
  </si>
  <si>
    <t>CONCACAF</t>
  </si>
  <si>
    <t>A</t>
  </si>
  <si>
    <t>#18</t>
  </si>
  <si>
    <t>#29</t>
  </si>
  <si>
    <t>G</t>
  </si>
  <si>
    <t>#31</t>
  </si>
  <si>
    <t>Czech</t>
  </si>
  <si>
    <t>Republic</t>
  </si>
  <si>
    <t>#41</t>
  </si>
  <si>
    <t>#55</t>
  </si>
  <si>
    <t>#57</t>
  </si>
  <si>
    <t>#63</t>
  </si>
  <si>
    <t>J</t>
  </si>
  <si>
    <t>#4</t>
  </si>
  <si>
    <t>—</t>
  </si>
  <si>
    <t>L</t>
  </si>
  <si>
    <t>#7</t>
  </si>
  <si>
    <t>#8</t>
  </si>
  <si>
    <t>C</t>
  </si>
  <si>
    <t>#9</t>
  </si>
  <si>
    <t>#10</t>
  </si>
  <si>
    <t>#11</t>
  </si>
  <si>
    <t>$VATRENI</t>
  </si>
  <si>
    <t>#17</t>
  </si>
  <si>
    <t>H</t>
  </si>
  <si>
    <t>#23</t>
  </si>
  <si>
    <t>#24</t>
  </si>
  <si>
    <t>#27</t>
  </si>
  <si>
    <t>#28</t>
  </si>
  <si>
    <t>#33</t>
  </si>
  <si>
    <t>#40</t>
  </si>
  <si>
    <t>South</t>
  </si>
  <si>
    <t>Africa</t>
  </si>
  <si>
    <t>#60</t>
  </si>
  <si>
    <t>Saudi</t>
  </si>
  <si>
    <t>Arabia</t>
  </si>
  <si>
    <t>#61</t>
  </si>
  <si>
    <t>#83</t>
  </si>
  <si>
    <t>New</t>
  </si>
  <si>
    <t>Zealand</t>
  </si>
  <si>
    <t>#85</t>
  </si>
  <si>
    <t>OFC</t>
  </si>
  <si>
    <t>#2</t>
  </si>
  <si>
    <t>▼1</t>
  </si>
  <si>
    <t>$SNFT</t>
  </si>
  <si>
    <t>#3</t>
  </si>
  <si>
    <t>$ARG</t>
  </si>
  <si>
    <t>#6</t>
  </si>
  <si>
    <t>$BFT</t>
  </si>
  <si>
    <t>United</t>
  </si>
  <si>
    <t>States</t>
  </si>
  <si>
    <t>#16</t>
  </si>
  <si>
    <t>#19</t>
  </si>
  <si>
    <t>#21</t>
  </si>
  <si>
    <t>#30</t>
  </si>
  <si>
    <t>Cape</t>
  </si>
  <si>
    <t>Verde</t>
  </si>
  <si>
    <t>#69</t>
  </si>
  <si>
    <t>#82</t>
  </si>
  <si>
    <t>#14</t>
  </si>
  <si>
    <t>▼2</t>
  </si>
  <si>
    <t>#74</t>
  </si>
  <si>
    <t>Korea</t>
  </si>
  <si>
    <t>#25</t>
  </si>
  <si>
    <t>▼3</t>
  </si>
  <si>
    <t>#43</t>
  </si>
  <si>
    <t>▼5</t>
  </si>
  <si>
    <t>Country</t>
  </si>
  <si>
    <t>Coach</t>
  </si>
  <si>
    <t>Annual Salary</t>
  </si>
  <si>
    <t>https://www.salaryleaks.com/blogs/world-cup-2026-coach-salary-rankings</t>
  </si>
  <si>
    <t>Carlo Ancelotti</t>
  </si>
  <si>
    <t>€9.50m</t>
  </si>
  <si>
    <t>Thomas Tuchel</t>
  </si>
  <si>
    <t>€5.80m</t>
  </si>
  <si>
    <t>United States</t>
  </si>
  <si>
    <t>Mauricio Pochettino</t>
  </si>
  <si>
    <t>€5.20m</t>
  </si>
  <si>
    <t>Julian Nagelsmann</t>
  </si>
  <si>
    <t>€4.80m</t>
  </si>
  <si>
    <t>Roberto Martinez</t>
  </si>
  <si>
    <t>€4.00m</t>
  </si>
  <si>
    <t>Fabio Cannavaro</t>
  </si>
  <si>
    <t>Didier Deschamps</t>
  </si>
  <si>
    <t>€3.80m</t>
  </si>
  <si>
    <t>Lionel Scaloni</t>
  </si>
  <si>
    <t>€3.00m</t>
  </si>
  <si>
    <t>Ronald Koeman</t>
  </si>
  <si>
    <t>Marcelo Bielsa</t>
  </si>
  <si>
    <t>Jesse Marsch</t>
  </si>
  <si>
    <t>€2.50m</t>
  </si>
  <si>
    <t>Javier Aguirre</t>
  </si>
  <si>
    <t>Gustavo Alfaro</t>
  </si>
  <si>
    <t>Julen Lopetegui</t>
  </si>
  <si>
    <t>€2.40m</t>
  </si>
  <si>
    <t>Türkiye</t>
  </si>
  <si>
    <t>Vincenzo Montella</t>
  </si>
  <si>
    <t>€2.20m</t>
  </si>
  <si>
    <t>Korea Republic</t>
  </si>
  <si>
    <t>Hong Myung-bo</t>
  </si>
  <si>
    <t>€2.16m</t>
  </si>
  <si>
    <t>Nestor Lorenzo</t>
  </si>
  <si>
    <t>€2.00m</t>
  </si>
  <si>
    <t>Sebastian Beccacece</t>
  </si>
  <si>
    <t>Luis de la Fuente</t>
  </si>
  <si>
    <t>Rudi Garcia</t>
  </si>
  <si>
    <t>€1.70m</t>
  </si>
  <si>
    <t>Murat Yakin</t>
  </si>
  <si>
    <t>€1.60m</t>
  </si>
  <si>
    <t>Ralf Rangnick</t>
  </si>
  <si>
    <t>€1.50m</t>
  </si>
  <si>
    <t>Zlatko Dalic</t>
  </si>
  <si>
    <t>Vladimir Petkovic</t>
  </si>
  <si>
    <t>€1.38m</t>
  </si>
  <si>
    <t>Herve Renard</t>
  </si>
  <si>
    <t>€1.04m</t>
  </si>
  <si>
    <t>Carlos Queiroz</t>
  </si>
  <si>
    <t>€935k</t>
  </si>
  <si>
    <t>Pape Thiaw</t>
  </si>
  <si>
    <t>€920k</t>
  </si>
  <si>
    <t>Hugo Broos</t>
  </si>
  <si>
    <t>€900k</t>
  </si>
  <si>
    <t>Hajime Moriyasu</t>
  </si>
  <si>
    <t>€865k</t>
  </si>
  <si>
    <t>Côte d'Ivoire</t>
  </si>
  <si>
    <t>Emerse Fae</t>
  </si>
  <si>
    <t>€820k</t>
  </si>
  <si>
    <t>Walid Regragui</t>
  </si>
  <si>
    <t>€775k</t>
  </si>
  <si>
    <t>Thomas Christiansen</t>
  </si>
  <si>
    <t>€725k</t>
  </si>
  <si>
    <t>Tony Popovic</t>
  </si>
  <si>
    <t>€605k</t>
  </si>
  <si>
    <t>Graham Arnold</t>
  </si>
  <si>
    <t>Graham Potter</t>
  </si>
  <si>
    <t>€580k</t>
  </si>
  <si>
    <t>Stale Solbakken</t>
  </si>
  <si>
    <t>€575k</t>
  </si>
  <si>
    <t>Steve Clarke</t>
  </si>
  <si>
    <t>€500k</t>
  </si>
  <si>
    <t>Congo DR</t>
  </si>
  <si>
    <t>Sebastien Desabre</t>
  </si>
  <si>
    <t>€430k</t>
  </si>
  <si>
    <t>Sabri Lamouchi</t>
  </si>
  <si>
    <t>€350k</t>
  </si>
  <si>
    <t>IR Iran</t>
  </si>
  <si>
    <t>Amir Ghalenoei</t>
  </si>
  <si>
    <t>€330k</t>
  </si>
  <si>
    <t>Jamal Sellami</t>
  </si>
  <si>
    <t>€300k</t>
  </si>
  <si>
    <t>Sergej Barbarez</t>
  </si>
  <si>
    <t>€230k</t>
  </si>
  <si>
    <t>Sebastien Migne</t>
  </si>
  <si>
    <t>€190k</t>
  </si>
  <si>
    <t>Czechia</t>
  </si>
  <si>
    <t>Miroslav Koubek</t>
  </si>
  <si>
    <t>€180k</t>
  </si>
  <si>
    <t>Hossam Hassan</t>
  </si>
  <si>
    <t>€156k</t>
  </si>
  <si>
    <t>Darren Bazeley</t>
  </si>
  <si>
    <t>€130k</t>
  </si>
  <si>
    <t>Cabo Verde</t>
  </si>
  <si>
    <t>Bubista</t>
  </si>
  <si>
    <t>€110k</t>
  </si>
  <si>
    <t>Curaçao</t>
  </si>
  <si>
    <t>Dick Advocaat</t>
  </si>
  <si>
    <t>€96k</t>
  </si>
  <si>
    <t>Date</t>
  </si>
  <si>
    <t>Team</t>
  </si>
  <si>
    <t>Team_ANA</t>
  </si>
  <si>
    <t xml:space="preserve"> (X1) International player contract transfers (incoming+ outgoing) 2025</t>
  </si>
  <si>
    <t>(X2) Coach Salary (EURO)</t>
  </si>
  <si>
    <t>(X3) Ranking (April 2026)</t>
  </si>
  <si>
    <t>(X4) FW Goal rate</t>
  </si>
  <si>
    <t>(X5) Squad Goals</t>
  </si>
  <si>
    <t>(X6) FW Goal Avg</t>
  </si>
  <si>
    <t xml:space="preserve">(X7) FW Mean cap </t>
  </si>
  <si>
    <t>(X8) MF Mean cap</t>
  </si>
  <si>
    <t>Xgoals</t>
  </si>
  <si>
    <t>( Y ) Goals Scored</t>
  </si>
  <si>
    <t>MEX</t>
  </si>
  <si>
    <t>KOR</t>
  </si>
  <si>
    <t>CAN</t>
  </si>
  <si>
    <t>QAT</t>
  </si>
  <si>
    <t>BRA</t>
  </si>
  <si>
    <t>HAI</t>
  </si>
  <si>
    <t>AUS</t>
  </si>
  <si>
    <t>GER</t>
  </si>
  <si>
    <t>NED</t>
  </si>
  <si>
    <t>RSA</t>
  </si>
  <si>
    <t>BEL</t>
  </si>
  <si>
    <t>SWE</t>
  </si>
  <si>
    <t>CIV</t>
  </si>
  <si>
    <t>ESP</t>
  </si>
  <si>
    <t>IRN</t>
  </si>
  <si>
    <t>FRA</t>
  </si>
  <si>
    <t>IRQ</t>
  </si>
  <si>
    <t>ARG</t>
  </si>
  <si>
    <t>AUT</t>
  </si>
  <si>
    <t>POR</t>
  </si>
  <si>
    <t>ENG</t>
  </si>
  <si>
    <t>SUI</t>
  </si>
  <si>
    <t>UZB</t>
  </si>
  <si>
    <t>GHA</t>
  </si>
  <si>
    <t>CZE</t>
  </si>
  <si>
    <t>SCO</t>
  </si>
  <si>
    <t>TUR</t>
  </si>
  <si>
    <t>URU</t>
  </si>
  <si>
    <t>TUN</t>
  </si>
  <si>
    <t>ECU</t>
  </si>
  <si>
    <t>NZL</t>
  </si>
  <si>
    <t>NOR</t>
  </si>
  <si>
    <t>JOR</t>
  </si>
  <si>
    <t>MAR</t>
  </si>
  <si>
    <t>COL</t>
  </si>
  <si>
    <t>PAN</t>
  </si>
  <si>
    <t>BIH</t>
  </si>
  <si>
    <t>CUW</t>
  </si>
  <si>
    <t>SEN</t>
  </si>
  <si>
    <t>JPN</t>
  </si>
  <si>
    <t>PAR</t>
  </si>
  <si>
    <t>CPV</t>
  </si>
  <si>
    <t>EGY</t>
  </si>
  <si>
    <t>CRO</t>
  </si>
  <si>
    <t>COD</t>
  </si>
  <si>
    <t>ALG</t>
  </si>
  <si>
    <t>Match</t>
  </si>
  <si>
    <t>T1_ANA</t>
  </si>
  <si>
    <t>T2_ANA</t>
  </si>
  <si>
    <t>FW_mean_goal_diff</t>
  </si>
  <si>
    <t>GK_Cap_Difference</t>
  </si>
  <si>
    <t>MF_Avg_cap_diff</t>
  </si>
  <si>
    <t>Round_category</t>
  </si>
  <si>
    <t>Coach Salary Difference (EURO)</t>
  </si>
  <si>
    <t>Ranking Difference (April 2026)</t>
  </si>
  <si>
    <t>xG difference</t>
  </si>
  <si>
    <t>FW_avg_Cap_Difference</t>
  </si>
  <si>
    <t>DF_Avg_cap_diff</t>
  </si>
  <si>
    <t>Squad Goal Rate Difference</t>
  </si>
  <si>
    <t>MedianAge diff</t>
  </si>
  <si>
    <t>Y_Goal_difference</t>
  </si>
  <si>
    <t>Mexico vs South Africa</t>
  </si>
  <si>
    <t>South Korea vs Czech Republic</t>
  </si>
  <si>
    <t>Canada vs Bosnia &amp; Herzegovina</t>
  </si>
  <si>
    <t>USA vs Paraguay</t>
  </si>
  <si>
    <t>Qatar vs Switzerland</t>
  </si>
  <si>
    <t>Brazil vs Morocco</t>
  </si>
  <si>
    <t>Haiti vs Scotland</t>
  </si>
  <si>
    <t>Australia vs Turkey</t>
  </si>
  <si>
    <t>Germany vs Curacao</t>
  </si>
  <si>
    <t>Netherlands vs Japan</t>
  </si>
  <si>
    <t>Saudi Arabia vs Uruguay</t>
  </si>
  <si>
    <t>KSA</t>
  </si>
  <si>
    <t>Belgium vs Egypt</t>
  </si>
  <si>
    <t>Sweden vs Tunisia</t>
  </si>
  <si>
    <t>Ivory Coast vs Ecuador</t>
  </si>
  <si>
    <t>Spain vs Cape Verde</t>
  </si>
  <si>
    <t>Iran vs New Zealand</t>
  </si>
  <si>
    <t>France vs Senegal</t>
  </si>
  <si>
    <t>Iraq vs Norway</t>
  </si>
  <si>
    <t>Argentina vs Algeria</t>
  </si>
  <si>
    <t>Austria vs Jordan</t>
  </si>
  <si>
    <t>Portugal vs D.R. Congo</t>
  </si>
  <si>
    <t>England vs Croatia</t>
  </si>
  <si>
    <t>Canada vs Qatar</t>
  </si>
  <si>
    <t>Switzerland vs Bosnia &amp; Herzegovina</t>
  </si>
  <si>
    <t>Uzbekistan vs Colombia</t>
  </si>
  <si>
    <t>Ghana vs Panama</t>
  </si>
  <si>
    <t>Czech Republic vs South Africa</t>
  </si>
  <si>
    <t>Mexico vs South Korea</t>
  </si>
  <si>
    <t>USA vs Australia</t>
  </si>
  <si>
    <t>Scotland vs Morocco</t>
  </si>
  <si>
    <t>Brazil vs Haiti</t>
  </si>
  <si>
    <t>Turkey vs Paraguay</t>
  </si>
  <si>
    <t>Netherlands vs Sweden</t>
  </si>
  <si>
    <t>Germany vs Ivory Coast</t>
  </si>
  <si>
    <t>Spain vs Saudi Arabia</t>
  </si>
  <si>
    <t>Uruguay vs Cape Verde</t>
  </si>
  <si>
    <t>Belgium vs Iran</t>
  </si>
  <si>
    <t>Tunisia vs Japan</t>
  </si>
  <si>
    <t>Ecuador vs Curacao</t>
  </si>
  <si>
    <t>New Zealand vs Egypt</t>
  </si>
  <si>
    <t>Argentina vs Austria</t>
  </si>
  <si>
    <t>France vs Iraq</t>
  </si>
  <si>
    <t>Norway vs Senegal</t>
  </si>
  <si>
    <t>Jordan vs Algeria</t>
  </si>
  <si>
    <t>Portugal vs Uzbekistan</t>
  </si>
  <si>
    <t>England vs Ghana</t>
  </si>
  <si>
    <t>Morocco vs Haiti</t>
  </si>
  <si>
    <t>Switzerland vs Canada</t>
  </si>
  <si>
    <t>Scotland vs Brazil</t>
  </si>
  <si>
    <t>Colombia vs D.R. Congo</t>
  </si>
  <si>
    <t>Panama vs Croatia</t>
  </si>
  <si>
    <t>Bosnia &amp; Herzegovina vs Qatar</t>
  </si>
  <si>
    <t>Czech Republic vs Mexico</t>
  </si>
  <si>
    <t>South Africa vs South Korea</t>
  </si>
  <si>
    <t>Curacao vs Ivory Coast</t>
  </si>
  <si>
    <t>Ecuador vs Germany</t>
  </si>
  <si>
    <t>Norway vs France</t>
  </si>
  <si>
    <t>Turkey vs USA</t>
  </si>
  <si>
    <t>Senegal vs Iraq</t>
  </si>
  <si>
    <t>Tunisia vs Netherlands</t>
  </si>
  <si>
    <t>Japan vs Sweden</t>
  </si>
  <si>
    <t>Paraguay vs Australia</t>
  </si>
  <si>
    <t>Cape Verde vs Saudi Arabia</t>
  </si>
  <si>
    <t>Uruguay vs Spain</t>
  </si>
  <si>
    <t>Egypt vs Iran</t>
  </si>
  <si>
    <t>New Zealand vs Belgium</t>
  </si>
  <si>
    <t>Croatia vs Ghana</t>
  </si>
  <si>
    <t>Panama vs England</t>
  </si>
  <si>
    <t>South Africa vs Canada</t>
  </si>
  <si>
    <t>Colombia vs Portugal</t>
  </si>
  <si>
    <t>D.R. Congo vs Uzbekistan</t>
  </si>
  <si>
    <t>Algeria vs Austria</t>
  </si>
  <si>
    <t>Jordan vs Argentina</t>
  </si>
  <si>
    <t>Germany vs Paraguay</t>
  </si>
  <si>
    <t>Netherlands vs Morocco</t>
  </si>
  <si>
    <t>Brazil vs Japan</t>
  </si>
  <si>
    <t>Ivory Coast vs Norway</t>
  </si>
  <si>
    <t>France vs Sweden</t>
  </si>
  <si>
    <t>Mexico vs Ecuador</t>
  </si>
  <si>
    <t>England vs D.R. Congo</t>
  </si>
  <si>
    <t>Belgium vs Senegal</t>
  </si>
  <si>
    <t>USA vs Bosnia &amp; Herzegovina</t>
  </si>
  <si>
    <t>Spain vs Austria</t>
  </si>
  <si>
    <t>Portugal vs Croatia</t>
  </si>
  <si>
    <t>Switzerland vs Algeria</t>
  </si>
  <si>
    <t>Colombia vs Ghana</t>
  </si>
  <si>
    <t>Australia vs Egypt</t>
  </si>
  <si>
    <t>Argentina vs Cape Verde</t>
  </si>
  <si>
    <t>Paraguay vs France</t>
  </si>
  <si>
    <t>Canada vs Morocco</t>
  </si>
  <si>
    <t>Brazil vs Norway</t>
  </si>
  <si>
    <t>Mexico vs England</t>
  </si>
  <si>
    <t>Portugal vs Spain</t>
  </si>
  <si>
    <t>USA vs Belgium</t>
  </si>
  <si>
    <t>Argentina vs Egypt</t>
  </si>
  <si>
    <t>Switzerland vs Colombia</t>
  </si>
  <si>
    <t>France vs Morocco</t>
  </si>
  <si>
    <t>Spain vs Belgium</t>
  </si>
  <si>
    <t>Norway vs England</t>
  </si>
  <si>
    <t>Argentina vs Switzerland</t>
  </si>
  <si>
    <t>France vs Spain</t>
  </si>
  <si>
    <t>England vs Argentina</t>
  </si>
  <si>
    <t>England vs France</t>
  </si>
  <si>
    <t>Spain vs Argentina</t>
  </si>
  <si>
    <t>m</t>
  </si>
  <si>
    <t>CAPS_total</t>
  </si>
  <si>
    <t>GOALS_total</t>
  </si>
  <si>
    <t>CAPS_average</t>
  </si>
  <si>
    <t>GOALS_average</t>
  </si>
  <si>
    <t>Age_median</t>
  </si>
  <si>
    <t>CAPS_DF_mean</t>
  </si>
  <si>
    <t>CAPS_FW_mean</t>
  </si>
  <si>
    <t>CAPS_GK_mean</t>
  </si>
  <si>
    <t>CAPS_MF_mean</t>
  </si>
  <si>
    <t>GOALS_DF_mean</t>
  </si>
  <si>
    <t>GOALS_FW_mean</t>
  </si>
  <si>
    <t>GOALS_GK_mean</t>
  </si>
  <si>
    <t>GOALS_MF_mean</t>
  </si>
  <si>
    <t>Squag goal rate- Goal/cap</t>
  </si>
  <si>
    <t>Fifa Global Transfer Report 2025</t>
  </si>
  <si>
    <t xml:space="preserve">CHOOSE TRANSFER REPORTS 23-25 AS THERE WAS A REFORM OF THE SYSTEM IN 2023 </t>
  </si>
  <si>
    <t>Member association</t>
  </si>
  <si>
    <t>Confederation</t>
  </si>
  <si>
    <t>Incoming transfers</t>
  </si>
  <si>
    <t>Outgoing transfers</t>
  </si>
  <si>
    <t>Transfer fees spent (USD)</t>
  </si>
  <si>
    <t>Transfer fees received (USD)</t>
  </si>
  <si>
    <t>Growth rate incoming transfers</t>
  </si>
  <si>
    <t>Growth rate outgoing transfers</t>
  </si>
  <si>
    <t>CHOOSE TO LOOK AT TRANSFER REPORTS AS AN INDICATOR OF GOAL DIFFERENCE PREDICTOR- AGGRESSIVE SPENDING ON  INTERNATIONAL PLAYER TRANSFER MAY INDICATE AMORE AGGRESSIVESTYLE  OF PLAYOR THAT MONEY WAS SPENT ON TOP GOAL  SCORERS</t>
  </si>
  <si>
    <t>Afghanistan</t>
  </si>
  <si>
    <t>CHOOSE CUMULATIVE SPENDING SINCE LAST WORK CUP</t>
  </si>
  <si>
    <t>Albania</t>
  </si>
  <si>
    <t>https://inside.fifa.co</t>
  </si>
  <si>
    <t>/transfer-syste</t>
  </si>
  <si>
    <t>/transfer-reports</t>
  </si>
  <si>
    <t>American Samoa</t>
  </si>
  <si>
    <t>Andorra</t>
  </si>
  <si>
    <t>Angola</t>
  </si>
  <si>
    <t>Anguilla</t>
  </si>
  <si>
    <t>Concacaf</t>
  </si>
  <si>
    <t>Antigua and Barbuda</t>
  </si>
  <si>
    <t>Armenia</t>
  </si>
  <si>
    <t>Aruba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</si>
  <si>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</si>
  <si>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</si>
  <si>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</si>
  <si>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</si>
  <si>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</si>
  <si>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</si>
  <si>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</si>
  <si>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</si>
  <si>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</si>
  <si>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</si>
  <si>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Bolivia</t>
  </si>
  <si>
    <t>Bosnia and Herzegovina</t>
  </si>
  <si>
    <t>Botswana</t>
  </si>
  <si>
    <t>British Virgin Islands</t>
  </si>
  <si>
    <t>Brunei Darussalam</t>
  </si>
  <si>
    <t>Bulgaria</t>
  </si>
  <si>
    <t>Burkina Faso</t>
  </si>
  <si>
    <t>Burundi</t>
  </si>
  <si>
    <t>CÃ´te d'Ivoire</t>
  </si>
  <si>
    <t>Cambodia</t>
  </si>
  <si>
    <t>Cameroon</t>
  </si>
  <si>
    <t>Cayman Islands</t>
  </si>
  <si>
    <t>Central African Republic</t>
  </si>
  <si>
    <t>Chad</t>
  </si>
  <si>
    <t>Chile</t>
  </si>
  <si>
    <t>China PR</t>
  </si>
  <si>
    <t>Chinese Taipei</t>
  </si>
  <si>
    <t>Comoros</t>
  </si>
  <si>
    <t>Cook Islands</t>
  </si>
  <si>
    <t>Costa Rica</t>
  </si>
  <si>
    <t>Cuba</t>
  </si>
  <si>
    <t>CuraÃ§ao</t>
  </si>
  <si>
    <t>Cyprus</t>
  </si>
  <si>
    <t>Denmark</t>
  </si>
  <si>
    <t>Djibouti</t>
  </si>
  <si>
    <t>Dominica</t>
  </si>
  <si>
    <t>Dominican Republic</t>
  </si>
  <si>
    <t>DPR Korea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</si>
  <si>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</si>
  <si>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</si>
  <si>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</si>
  <si>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</si>
  <si>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</si>
  <si>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</si>
  <si>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</si>
  <si>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</si>
  <si>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</si>
  <si>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Gabon</t>
  </si>
  <si>
    <t>Georgia</t>
  </si>
  <si>
    <t>Gibraltar</t>
  </si>
  <si>
    <t>Greece</t>
  </si>
  <si>
    <t>Grenada</t>
  </si>
  <si>
    <t>Guam</t>
  </si>
  <si>
    <t>Guatemala</t>
  </si>
  <si>
    <t>Guinea</t>
  </si>
  <si>
    <t>Guinea-Bissau</t>
  </si>
  <si>
    <t>Guyana</t>
  </si>
  <si>
    <t>Honduras</t>
  </si>
  <si>
    <t>Hong Kong</t>
  </si>
  <si>
    <t>Hungary</t>
  </si>
  <si>
    <t>Iceland</t>
  </si>
  <si>
    <t>India</t>
  </si>
  <si>
    <t>Indonesia</t>
  </si>
  <si>
    <t>Israel</t>
  </si>
  <si>
    <t>Italy</t>
  </si>
  <si>
    <t>Jamaica</t>
  </si>
  <si>
    <t>Kazakhstan</t>
  </si>
  <si>
    <t>Kenya</t>
  </si>
  <si>
    <t>Kosovo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</si>
  <si>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</si>
  <si>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</si>
  <si>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</si>
  <si>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</si>
  <si>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</si>
  <si>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</si>
  <si>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</si>
  <si>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</si>
  <si>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</si>
  <si>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</si>
  <si>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</si>
  <si>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 China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</si>
  <si>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</si>
  <si>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</si>
  <si>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</si>
  <si>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</si>
  <si>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</si>
  <si>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</si>
  <si>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</si>
  <si>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</si>
  <si>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Moldova</t>
  </si>
  <si>
    <t>Mongolia</t>
  </si>
  <si>
    <t>Montenegro</t>
  </si>
  <si>
    <t>Montserrat</t>
  </si>
  <si>
    <t>Mozambique</t>
  </si>
  <si>
    <t>Myanmar</t>
  </si>
  <si>
    <t>Namibia</t>
  </si>
  <si>
    <t>Nepal</t>
  </si>
  <si>
    <t>New Caledonia</t>
  </si>
  <si>
    <t>Nicaragua</t>
  </si>
  <si>
    <t>Niger</t>
  </si>
  <si>
    <t>Nigeria</t>
  </si>
  <si>
    <t>North Macedonia</t>
  </si>
  <si>
    <t>Northern Ireland</t>
  </si>
  <si>
    <t>Oman</t>
  </si>
  <si>
    <t>Pakistan</t>
  </si>
  <si>
    <t>Palestine</t>
  </si>
  <si>
    <t>Papua New Guinea</t>
  </si>
  <si>
    <t>Peru</t>
  </si>
  <si>
    <t>Philippines</t>
  </si>
  <si>
    <t>Poland</t>
  </si>
  <si>
    <t>Puerto Rico</t>
  </si>
  <si>
    <t>Republic of Ireland</t>
  </si>
  <si>
    <t>Romania</t>
  </si>
  <si>
    <t>Russia</t>
  </si>
  <si>
    <t>Rwanda</t>
  </si>
  <si>
    <t>SÃ£o TomÃ© and PrÃ­ncipe</t>
  </si>
  <si>
    <t>Samoa</t>
  </si>
  <si>
    <t>San Marino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</si>
  <si>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</si>
  <si>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</si>
  <si>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</si>
  <si>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</si>
  <si>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</si>
  <si>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</si>
  <si>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</si>
  <si>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</si>
  <si>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Sudan</t>
  </si>
  <si>
    <t>Sri Lanka</t>
  </si>
  <si>
    <t>St Kitts and Nevis</t>
  </si>
  <si>
    <t>St Lucia</t>
  </si>
  <si>
    <t>St Vincent and the Grenadines</t>
  </si>
  <si>
    <t>Sudan</t>
  </si>
  <si>
    <t>Suriname</t>
  </si>
  <si>
    <t>Syria</t>
  </si>
  <si>
    <t>TÃ¼rkiye</t>
  </si>
  <si>
    <t>Tahiti</t>
  </si>
  <si>
    <t>Tajikistan</t>
  </si>
  <si>
    <t>Tanzania</t>
  </si>
  <si>
    <t>Thailand</t>
  </si>
  <si>
    <t>The Gambia</t>
  </si>
  <si>
    <t>Timor-Leste</t>
  </si>
  <si>
    <t>Togo</t>
  </si>
  <si>
    <t>Tonga</t>
  </si>
  <si>
    <t>Trinidad and Tobago</t>
  </si>
  <si>
    <t>Turkmenistan</t>
  </si>
  <si>
    <t>Turks and Caicos Islands</t>
  </si>
  <si>
    <t>Uganda</t>
  </si>
  <si>
    <t>Ukraine</t>
  </si>
  <si>
    <t>United Arab Emirates</t>
  </si>
  <si>
    <t>US Virgin Islands</t>
  </si>
  <si>
    <t>Vanuatu</t>
  </si>
  <si>
    <t>Venezuela</t>
  </si>
  <si>
    <t>Vietnam</t>
  </si>
  <si>
    <t>Wales</t>
  </si>
  <si>
    <t>Yemen</t>
  </si>
  <si>
    <t>Zambia</t>
  </si>
  <si>
    <t>Zimbabwe</t>
  </si>
  <si>
    <t>Country ANA</t>
  </si>
  <si>
    <t>Round category</t>
  </si>
  <si>
    <t>Round Number</t>
  </si>
  <si>
    <t>Home Team</t>
  </si>
  <si>
    <t>Away Team</t>
  </si>
  <si>
    <t>Round of 32</t>
  </si>
  <si>
    <t>Round of 16</t>
  </si>
  <si>
    <t>Quarter Finals</t>
  </si>
  <si>
    <t>Semi Finals</t>
  </si>
  <si>
    <t>Finals</t>
  </si>
  <si>
    <t>#</t>
  </si>
  <si>
    <t>POS</t>
  </si>
  <si>
    <t>PLAYER NAME</t>
  </si>
  <si>
    <t>FIRST NAME(S)</t>
  </si>
  <si>
    <t>NAME ON SHIRT</t>
  </si>
  <si>
    <t>DOB</t>
  </si>
  <si>
    <t>CLUB</t>
  </si>
  <si>
    <t>HEIGHT (CM)</t>
  </si>
  <si>
    <t>CAPS</t>
  </si>
  <si>
    <t>GOALS</t>
  </si>
  <si>
    <t>LAST NAME(S)</t>
  </si>
  <si>
    <t>GK</t>
  </si>
  <si>
    <t>MASTIL Melvin</t>
  </si>
  <si>
    <t>Melvin Feycal</t>
  </si>
  <si>
    <t>MASTIL</t>
  </si>
  <si>
    <t>FC Stade Nyonnais (SUI)</t>
  </si>
  <si>
    <t>DF</t>
  </si>
  <si>
    <t>MANDI Aissa</t>
  </si>
  <si>
    <t>Aissa</t>
  </si>
  <si>
    <t>MANDI</t>
  </si>
  <si>
    <t>Lille OSC (FRA)</t>
  </si>
  <si>
    <t>ABADA Achref</t>
  </si>
  <si>
    <t>Achref</t>
  </si>
  <si>
    <t>ABADA</t>
  </si>
  <si>
    <t>USM Alger (ALG)</t>
  </si>
  <si>
    <t>TOUGAI Mohamed Amine</t>
  </si>
  <si>
    <t>Mohamed Amine</t>
  </si>
  <si>
    <t>TOUGAI</t>
  </si>
  <si>
    <t>Espérance De Tunisie (TUN)</t>
  </si>
  <si>
    <t>BELAID Zineddine</t>
  </si>
  <si>
    <t>Zineddine</t>
  </si>
  <si>
    <t>BELAID</t>
  </si>
  <si>
    <t>JS Kabylie (ALG)</t>
  </si>
  <si>
    <t>MF</t>
  </si>
  <si>
    <t>ZERROUKI Ramiz</t>
  </si>
  <si>
    <t>Ramiz Larbi</t>
  </si>
  <si>
    <t>ZERROUKI</t>
  </si>
  <si>
    <t>FC Twente (NED)</t>
  </si>
  <si>
    <t>FW</t>
  </si>
  <si>
    <t>MAHREZ Riyad</t>
  </si>
  <si>
    <t>Riyad Karim</t>
  </si>
  <si>
    <t>MAHREZ</t>
  </si>
  <si>
    <t>Al Ahli FC (KSA)</t>
  </si>
  <si>
    <t>AOUAR Houssem</t>
  </si>
  <si>
    <t>Houssem-Eddine Chaabane</t>
  </si>
  <si>
    <t>AOUAR</t>
  </si>
  <si>
    <t>Al Ittihad (KSA)</t>
  </si>
  <si>
    <t>GOUIRI Amine</t>
  </si>
  <si>
    <t>Amine Ferid</t>
  </si>
  <si>
    <t>GOUIRI</t>
  </si>
  <si>
    <t>Olympique Marseille (FRA)</t>
  </si>
  <si>
    <t>CHAIBI Fares</t>
  </si>
  <si>
    <t>Fares</t>
  </si>
  <si>
    <t>CHAIBI</t>
  </si>
  <si>
    <t>Eintracht Frankfurt (GER)</t>
  </si>
  <si>
    <t>HADJ MOUSSA Anis</t>
  </si>
  <si>
    <t>Anis</t>
  </si>
  <si>
    <t>HADJ MOUSSA</t>
  </si>
  <si>
    <t>Feyenoord Rotterdam (NED)</t>
  </si>
  <si>
    <t>BENBOUALI Nadhir</t>
  </si>
  <si>
    <t>Ahmed Nadhir</t>
  </si>
  <si>
    <t>BENBOUALI</t>
  </si>
  <si>
    <t>Györi ETO FC (HUN)</t>
  </si>
  <si>
    <t>HADJAM Jaouen</t>
  </si>
  <si>
    <t>Jaouen Djimmy</t>
  </si>
  <si>
    <t>HADJAM</t>
  </si>
  <si>
    <t>BSC Young Boys (SUI)</t>
  </si>
  <si>
    <t>BOUDAOUI Hicham</t>
  </si>
  <si>
    <t>Hicham</t>
  </si>
  <si>
    <t>BOUDAOUI</t>
  </si>
  <si>
    <t>OGC Nice (FRA)</t>
  </si>
  <si>
    <t>AIT-NOURI Rayan</t>
  </si>
  <si>
    <t>Rayan</t>
  </si>
  <si>
    <t>AIT NOURI</t>
  </si>
  <si>
    <t>Manchester City FC (ENG)</t>
  </si>
  <si>
    <t>BENBOT Oussama</t>
  </si>
  <si>
    <t>Oussama</t>
  </si>
  <si>
    <t>BENBOT</t>
  </si>
  <si>
    <t>BELGHALI Rak</t>
  </si>
  <si>
    <t>Rak</t>
  </si>
  <si>
    <t>BELGHALI</t>
  </si>
  <si>
    <t>Hellas Verona FC (ITA)</t>
  </si>
  <si>
    <t>AMOURA Mohamed</t>
  </si>
  <si>
    <t>Mohammed Elamine</t>
  </si>
  <si>
    <t>AMOURA</t>
  </si>
  <si>
    <t>VfL Wolfsburg (GER)</t>
  </si>
  <si>
    <t>BENTALEB Nabil</t>
  </si>
  <si>
    <t>Nabil</t>
  </si>
  <si>
    <t>BENTALEB</t>
  </si>
  <si>
    <t>BOULBINA Adil</t>
  </si>
  <si>
    <t>Adil</t>
  </si>
  <si>
    <t>BOULBINA</t>
  </si>
  <si>
    <t>Al Duhail SC (QAT)</t>
  </si>
  <si>
    <t>BENSEBAINI Ramy</t>
  </si>
  <si>
    <t>Amir Selmane Rami</t>
  </si>
  <si>
    <t>BENSEBAINI</t>
  </si>
  <si>
    <t>Borussia Dortmund (GER)</t>
  </si>
  <si>
    <t>MAZA Ibrahim</t>
  </si>
  <si>
    <t>Ibrahim</t>
  </si>
  <si>
    <t>MAZA</t>
  </si>
  <si>
    <t>Bayer 04 Leverkusen (GER)</t>
  </si>
  <si>
    <t>ZIDANE Luca</t>
  </si>
  <si>
    <t>Luca Zinedine</t>
  </si>
  <si>
    <t>ZIDANE</t>
  </si>
  <si>
    <t>Granada CF (ESP)</t>
  </si>
  <si>
    <t>TITRAOUI Yassine</t>
  </si>
  <si>
    <t>Yassine M E G</t>
  </si>
  <si>
    <t>TITRAOUI</t>
  </si>
  <si>
    <t>Sporting Charleroi (BEL)</t>
  </si>
  <si>
    <t>GHEDJEMIS Fares</t>
  </si>
  <si>
    <t>GHEDJEMIS</t>
  </si>
  <si>
    <t>Frosinone (ITA)</t>
  </si>
  <si>
    <t>CHERGUI Samir</t>
  </si>
  <si>
    <t>Samir Sophian</t>
  </si>
  <si>
    <t>CHERGUI</t>
  </si>
  <si>
    <t>Paris FC (FRA)</t>
  </si>
  <si>
    <t>RYAN Mathew</t>
  </si>
  <si>
    <t>Mathew David</t>
  </si>
  <si>
    <t>RYAN</t>
  </si>
  <si>
    <t>Levante UD (ESP)</t>
  </si>
  <si>
    <t>DEGENEK Milos</t>
  </si>
  <si>
    <t>Milos</t>
  </si>
  <si>
    <t>DEGENEK</t>
  </si>
  <si>
    <t>APOEL FC (CYP)</t>
  </si>
  <si>
    <t>CIRCATI Alessandro</t>
  </si>
  <si>
    <t>Alessandro</t>
  </si>
  <si>
    <t>CIRCATI</t>
  </si>
  <si>
    <t>Parma (ITA)</t>
  </si>
  <si>
    <t>ITALIANO Jacob</t>
  </si>
  <si>
    <t>Jacob Michael</t>
  </si>
  <si>
    <t>ITALIANO</t>
  </si>
  <si>
    <t>Grazer AK (AUT)</t>
  </si>
  <si>
    <t>BOS Jordan</t>
  </si>
  <si>
    <t>Jordan Jacob</t>
  </si>
  <si>
    <t>BOS</t>
  </si>
  <si>
    <t>GERIA Jason</t>
  </si>
  <si>
    <t>Jason Kato</t>
  </si>
  <si>
    <t>GERIA</t>
  </si>
  <si>
    <t>Albirex Niigata (JPN)</t>
  </si>
  <si>
    <t>LECKIE Mathew</t>
  </si>
  <si>
    <t>Mathew Allan</t>
  </si>
  <si>
    <t>LECKIE</t>
  </si>
  <si>
    <t>Melbourne City FC (AUS)</t>
  </si>
  <si>
    <t>METCALFE Connor</t>
  </si>
  <si>
    <t>Connor Isaac</t>
  </si>
  <si>
    <t>METCALFE</t>
  </si>
  <si>
    <t>FC St. Pauli (GER)</t>
  </si>
  <si>
    <t>TOURE Mohamed</t>
  </si>
  <si>
    <t>Mohamed A</t>
  </si>
  <si>
    <t>TOURE</t>
  </si>
  <si>
    <t>Norwich City FC (ENG)</t>
  </si>
  <si>
    <t>HRUSTIC Ajdin</t>
  </si>
  <si>
    <t>Ajdin</t>
  </si>
  <si>
    <t>HRUSTIC</t>
  </si>
  <si>
    <t>SC Heracles Almelo (NED)</t>
  </si>
  <si>
    <t>MABIL Awer</t>
  </si>
  <si>
    <t>Awer Bul</t>
  </si>
  <si>
    <t>MABIL</t>
  </si>
  <si>
    <t>CD Castellón (ESP)</t>
  </si>
  <si>
    <t>IZZO Paul</t>
  </si>
  <si>
    <t>Paul David</t>
  </si>
  <si>
    <t>IZZO</t>
  </si>
  <si>
    <t>Randers FC (DEN)</t>
  </si>
  <si>
    <t>ONEILL Aiden</t>
  </si>
  <si>
    <t>Aiden Connor</t>
  </si>
  <si>
    <t>O'NEILL</t>
  </si>
  <si>
    <t>New York City FC (USA)</t>
  </si>
  <si>
    <t>DEVLIN Cameron</t>
  </si>
  <si>
    <t>Cameron Peter</t>
  </si>
  <si>
    <t>DEVLIN</t>
  </si>
  <si>
    <t>Heart Of Midlothian FC (SCO)</t>
  </si>
  <si>
    <t>TREWIN Kai</t>
  </si>
  <si>
    <t>Kai Clifton</t>
  </si>
  <si>
    <t>TREWIN</t>
  </si>
  <si>
    <t>BEHICH Aziz</t>
  </si>
  <si>
    <t>Aziz</t>
  </si>
  <si>
    <t>BEHICH</t>
  </si>
  <si>
    <t>IRANKUNDA Nestory</t>
  </si>
  <si>
    <t>Nestory</t>
  </si>
  <si>
    <t>IRANKUNDA</t>
  </si>
  <si>
    <t>Watford FC (ENG)</t>
  </si>
  <si>
    <t>BEACH Patrick</t>
  </si>
  <si>
    <t>Patrick Thomas</t>
  </si>
  <si>
    <t>BEACH</t>
  </si>
  <si>
    <t>SOUTTAR Harry</t>
  </si>
  <si>
    <t>Harry James</t>
  </si>
  <si>
    <t>SOUTTAR</t>
  </si>
  <si>
    <t>Leicester City FC (ENG)</t>
  </si>
  <si>
    <t>VOLPATO Cristian</t>
  </si>
  <si>
    <t>Cristian</t>
  </si>
  <si>
    <t>VOLPATO</t>
  </si>
  <si>
    <t>US Sassuolo (ITA)</t>
  </si>
  <si>
    <t>BURGESS Cameron</t>
  </si>
  <si>
    <t>Cameron Robert</t>
  </si>
  <si>
    <t>BURGESS</t>
  </si>
  <si>
    <t>Swansea City AFC (WAL)</t>
  </si>
  <si>
    <t>IRVINE Jackson</t>
  </si>
  <si>
    <t>Jackson Alexander</t>
  </si>
  <si>
    <t>IRVINE</t>
  </si>
  <si>
    <t>VELUPILLAY Nishan</t>
  </si>
  <si>
    <t>Nishan Matthew</t>
  </si>
  <si>
    <t>VELUPILLAY</t>
  </si>
  <si>
    <t>Melbourne Victory FC (AUS)</t>
  </si>
  <si>
    <t>OKON-ENGSTLER Paul</t>
  </si>
  <si>
    <t>Paul Michael Junior</t>
  </si>
  <si>
    <t>OKON-ENGSTLER</t>
  </si>
  <si>
    <t>Sydney FC (AUS)</t>
  </si>
  <si>
    <t>HERRINGTON Lucas</t>
  </si>
  <si>
    <t>Lucas</t>
  </si>
  <si>
    <t>HERRINGTON</t>
  </si>
  <si>
    <t>Colorado Rapids (USA)</t>
  </si>
  <si>
    <t>YENGI Tete</t>
  </si>
  <si>
    <t>Tete Owen</t>
  </si>
  <si>
    <t>YENGI</t>
  </si>
  <si>
    <t>FC Machida Zelvia (JPN)</t>
  </si>
  <si>
    <t>SCHLAGER Alexander</t>
  </si>
  <si>
    <t>Alexander</t>
  </si>
  <si>
    <t>SCHLAGER</t>
  </si>
  <si>
    <t>FC Red Bull Salzburg (AUT)</t>
  </si>
  <si>
    <t>AFFENGRUBER David</t>
  </si>
  <si>
    <t>David Leopold</t>
  </si>
  <si>
    <t>AFFENGRUBER</t>
  </si>
  <si>
    <t>Elche CF (ESP)</t>
  </si>
  <si>
    <t>DANSO Kevin</t>
  </si>
  <si>
    <t>Kevin</t>
  </si>
  <si>
    <t>DANSO</t>
  </si>
  <si>
    <t>Tottenham Hotspur FC (ENG)</t>
  </si>
  <si>
    <t>SCHLAGER Xaver</t>
  </si>
  <si>
    <t>Xaver</t>
  </si>
  <si>
    <t>XAVER</t>
  </si>
  <si>
    <t>RB Leipzig (GER)</t>
  </si>
  <si>
    <t>POSCH Stefan</t>
  </si>
  <si>
    <t>Stefan</t>
  </si>
  <si>
    <t>POSCH</t>
  </si>
  <si>
    <t>1. FSV Mainz 05 (GER)</t>
  </si>
  <si>
    <t>SEIWALD Nicolas</t>
  </si>
  <si>
    <t>Nicolas</t>
  </si>
  <si>
    <t>SEIWALD</t>
  </si>
  <si>
    <t>ARNAUTOVIC Marko</t>
  </si>
  <si>
    <t>Marko</t>
  </si>
  <si>
    <t>ARNAUTOVIC</t>
  </si>
  <si>
    <t>FK Crvena Zvezda (SRB)</t>
  </si>
  <si>
    <t>ALABA David</t>
  </si>
  <si>
    <t>David</t>
  </si>
  <si>
    <t>ALABA</t>
  </si>
  <si>
    <t>Real Madrid C. F. (ESP)</t>
  </si>
  <si>
    <t>SABITZER Marcel</t>
  </si>
  <si>
    <t>Marcel</t>
  </si>
  <si>
    <t>SABITZER</t>
  </si>
  <si>
    <t>GRILLITSCH Florian</t>
  </si>
  <si>
    <t>Florian</t>
  </si>
  <si>
    <t>GRILLITSCH</t>
  </si>
  <si>
    <t>SC Braga (POR)</t>
  </si>
  <si>
    <t>GREGORITSCH Michael</t>
  </si>
  <si>
    <t>Michael</t>
  </si>
  <si>
    <t>GREGORITSCH</t>
  </si>
  <si>
    <t>FC Augsburg (GER)</t>
  </si>
  <si>
    <t>WIEGELE Florian</t>
  </si>
  <si>
    <t>WIEGELE</t>
  </si>
  <si>
    <t>FC Viktoria Plzeň (CZE)</t>
  </si>
  <si>
    <t>PENTZ Patrick</t>
  </si>
  <si>
    <t>Patrick</t>
  </si>
  <si>
    <t>PENTZ</t>
  </si>
  <si>
    <t>Brøndby IF (DEN)</t>
  </si>
  <si>
    <t>KALAJDZIC Sasa</t>
  </si>
  <si>
    <t>Saša</t>
  </si>
  <si>
    <t>KALAJDZIC</t>
  </si>
  <si>
    <t>LASK Linz (AUT)</t>
  </si>
  <si>
    <t>KALAJDŽIĆ</t>
  </si>
  <si>
    <t>LIENHART Philipp</t>
  </si>
  <si>
    <t>Philipp</t>
  </si>
  <si>
    <t>LIENHART</t>
  </si>
  <si>
    <t>SC Freiburg (GER)</t>
  </si>
  <si>
    <t>MWENE Phillip</t>
  </si>
  <si>
    <t>Phillip</t>
  </si>
  <si>
    <t>MWENE</t>
  </si>
  <si>
    <t>CHUKWUEMEKA Carney</t>
  </si>
  <si>
    <t>Carney Chibueze</t>
  </si>
  <si>
    <t>CHUKWUEMEKA</t>
  </si>
  <si>
    <t>SCHMID Romano</t>
  </si>
  <si>
    <t>Romano</t>
  </si>
  <si>
    <t>SCHMID</t>
  </si>
  <si>
    <t>SV Werder Bremen (GER)</t>
  </si>
  <si>
    <t>LJUBICIC Dejan</t>
  </si>
  <si>
    <t>Dejan</t>
  </si>
  <si>
    <t>LJUBICIC</t>
  </si>
  <si>
    <t>FC Schalke 04 (GER)</t>
  </si>
  <si>
    <t>LJUBIČIĆ</t>
  </si>
  <si>
    <t>LAIMER Konrad</t>
  </si>
  <si>
    <t>Konrad</t>
  </si>
  <si>
    <t>LAIMER</t>
  </si>
  <si>
    <t>FC Bayern München (GER)</t>
  </si>
  <si>
    <t>WIMMER Patrick</t>
  </si>
  <si>
    <t>WIMMER</t>
  </si>
  <si>
    <t>PRASS Alexander</t>
  </si>
  <si>
    <t>PRASS</t>
  </si>
  <si>
    <t>TSG Hoffenheim (GER)</t>
  </si>
  <si>
    <t>FRIEDL Marco</t>
  </si>
  <si>
    <t>Marco</t>
  </si>
  <si>
    <t>FRIEDL</t>
  </si>
  <si>
    <t>WANNER Paul</t>
  </si>
  <si>
    <t>Paul</t>
  </si>
  <si>
    <t>WANNER</t>
  </si>
  <si>
    <t>PSV Eindhoven (NED)</t>
  </si>
  <si>
    <t>SVOBODA Michael</t>
  </si>
  <si>
    <t>SVOBODA</t>
  </si>
  <si>
    <t>Venezia FC (ITA)</t>
  </si>
  <si>
    <t>SCHOEPF Alessandro</t>
  </si>
  <si>
    <t>Alessandro Andre</t>
  </si>
  <si>
    <t>SCHÖPF</t>
  </si>
  <si>
    <t>Wolfsberger AC (AUT)</t>
  </si>
  <si>
    <t>COURTOIS Thibaut</t>
  </si>
  <si>
    <t>Thibaut Nicolas M</t>
  </si>
  <si>
    <t>COURTOIS</t>
  </si>
  <si>
    <t>DEBAST Zeno</t>
  </si>
  <si>
    <t>Zeno Koen</t>
  </si>
  <si>
    <t>DEBAST</t>
  </si>
  <si>
    <t>Sporting CP (POR)</t>
  </si>
  <si>
    <t>THEATE Arthur</t>
  </si>
  <si>
    <t>Arthur Nicolas R</t>
  </si>
  <si>
    <t>THEATE</t>
  </si>
  <si>
    <t>MECHELE Brandon</t>
  </si>
  <si>
    <t>Brandon Erik</t>
  </si>
  <si>
    <t>MECHELE</t>
  </si>
  <si>
    <t>Club Brugge (BEL)</t>
  </si>
  <si>
    <t>DE CUYPER Maxim</t>
  </si>
  <si>
    <t>Maxim Peter M</t>
  </si>
  <si>
    <t>DE CUYPER</t>
  </si>
  <si>
    <t>Brighton &amp; Hove Albion FC (ENG)</t>
  </si>
  <si>
    <t>WITSEL Axel</t>
  </si>
  <si>
    <t>Axel Laurent A</t>
  </si>
  <si>
    <t>WITSEL</t>
  </si>
  <si>
    <t>Girona FC (ESP)</t>
  </si>
  <si>
    <t>DE BRUYNE Kevin</t>
  </si>
  <si>
    <t>DE BRUYNE</t>
  </si>
  <si>
    <t>SSC Napoli (ITA)</t>
  </si>
  <si>
    <t>TIELEMANS Youri</t>
  </si>
  <si>
    <t>Youri Marion A</t>
  </si>
  <si>
    <t>TIELEMANS</t>
  </si>
  <si>
    <t>Aston Villa FC (ENG)</t>
  </si>
  <si>
    <t>LUKAKU Romelu</t>
  </si>
  <si>
    <t>Romelu</t>
  </si>
  <si>
    <t>LUKAKU</t>
  </si>
  <si>
    <t>LUKAKU BOLINGOLI</t>
  </si>
  <si>
    <t>TROSSARD Leandro</t>
  </si>
  <si>
    <t>Leandro</t>
  </si>
  <si>
    <t>TROSSARD</t>
  </si>
  <si>
    <t>Arsenal FC (ENG)</t>
  </si>
  <si>
    <t>DOKU Jeremy</t>
  </si>
  <si>
    <t>Jeremy Baffour</t>
  </si>
  <si>
    <t>DOKU</t>
  </si>
  <si>
    <t>LAMMENS Senne</t>
  </si>
  <si>
    <t>Senne</t>
  </si>
  <si>
    <t>LAMMENS</t>
  </si>
  <si>
    <t>Manchester United FC (ENG)</t>
  </si>
  <si>
    <t>PENDERS Mike</t>
  </si>
  <si>
    <t>Mike Louis</t>
  </si>
  <si>
    <t>PENDERS</t>
  </si>
  <si>
    <t>RC Strasbourg (FRA)</t>
  </si>
  <si>
    <t>LUKEBAKIO Dodi</t>
  </si>
  <si>
    <t>Dodi</t>
  </si>
  <si>
    <t>LUKEBAKIO</t>
  </si>
  <si>
    <t>SL Ben ca (POR)</t>
  </si>
  <si>
    <t>LUKEBAKIO NGANDOLI</t>
  </si>
  <si>
    <t>MEUNIER Thomas</t>
  </si>
  <si>
    <t>Thomas Andre A</t>
  </si>
  <si>
    <t>MEUNIER</t>
  </si>
  <si>
    <t>DE WINTER Koni</t>
  </si>
  <si>
    <t>Koni</t>
  </si>
  <si>
    <t>DE WINTER</t>
  </si>
  <si>
    <t>AC Milan (ITA)</t>
  </si>
  <si>
    <t>DE KETELAERE Charles</t>
  </si>
  <si>
    <t>Charles Marc S</t>
  </si>
  <si>
    <t>DE KETELAERE</t>
  </si>
  <si>
    <t>Atalanta Bergamo (ITA)</t>
  </si>
  <si>
    <t>SEYS Joaquin</t>
  </si>
  <si>
    <t>Joaquin Ronny</t>
  </si>
  <si>
    <t>SEYS</t>
  </si>
  <si>
    <t>MOREIRA Diego</t>
  </si>
  <si>
    <t>Diego Manuel J</t>
  </si>
  <si>
    <t>MOREIRA JR</t>
  </si>
  <si>
    <t>DA SILVA MOREIRA</t>
  </si>
  <si>
    <t>VANAKEN Hans</t>
  </si>
  <si>
    <t>Hans</t>
  </si>
  <si>
    <t>VANAKEN</t>
  </si>
  <si>
    <t>CASTAGNE Timothy</t>
  </si>
  <si>
    <t>Timothy</t>
  </si>
  <si>
    <t>CASTAGNE</t>
  </si>
  <si>
    <t>Fulham FC (ENG)</t>
  </si>
  <si>
    <t>SAELEMAEKERS Alexis</t>
  </si>
  <si>
    <t>Alexis Jesse M</t>
  </si>
  <si>
    <t>SAELEMAEKERS</t>
  </si>
  <si>
    <t>RASKIN Nicolas</t>
  </si>
  <si>
    <t>Nicolas Thierry Y</t>
  </si>
  <si>
    <t>RASKIN</t>
  </si>
  <si>
    <t>Rangers FC (SCO)</t>
  </si>
  <si>
    <t>ONANA Amadou</t>
  </si>
  <si>
    <t>Amadou Ba Z</t>
  </si>
  <si>
    <t>ONANA</t>
  </si>
  <si>
    <t>MVOM ONANA</t>
  </si>
  <si>
    <t>NGOY Nathan</t>
  </si>
  <si>
    <t>Nathan</t>
  </si>
  <si>
    <t>NGOY</t>
  </si>
  <si>
    <t>FERNANDEZ-PARDO Matias</t>
  </si>
  <si>
    <t>Matias</t>
  </si>
  <si>
    <t>FERNANDEZ-PARDO</t>
  </si>
  <si>
    <t>VASILJ Nikola</t>
  </si>
  <si>
    <t>Nikola</t>
  </si>
  <si>
    <t>VASILJ</t>
  </si>
  <si>
    <t>MUJAKIC Nihad</t>
  </si>
  <si>
    <t>Nihad</t>
  </si>
  <si>
    <t>MUJAKIĆ</t>
  </si>
  <si>
    <t>Gaziantep FK (TUR)</t>
  </si>
  <si>
    <t>HADZIKADUNIC Dennis</t>
  </si>
  <si>
    <t>Dennis</t>
  </si>
  <si>
    <t>HADŽIKADUNIĆ</t>
  </si>
  <si>
    <t>UC Sampdoria (ITA)</t>
  </si>
  <si>
    <t>MUHAREMOVIC Tarik</t>
  </si>
  <si>
    <t>Tarik</t>
  </si>
  <si>
    <t>MUHAREMOVIĆ</t>
  </si>
  <si>
    <t>KOLASINAC Sead</t>
  </si>
  <si>
    <t>Sead</t>
  </si>
  <si>
    <t>KOLAŠINAC</t>
  </si>
  <si>
    <t>TAHIROVIC Benjamin</t>
  </si>
  <si>
    <t>Benjamin</t>
  </si>
  <si>
    <t>TAHIROVIĆ</t>
  </si>
  <si>
    <t>TAHIROVIC</t>
  </si>
  <si>
    <t>DEDIC Amar</t>
  </si>
  <si>
    <t>Amar</t>
  </si>
  <si>
    <t>DEDIĆ</t>
  </si>
  <si>
    <t>SL Benca (POR)</t>
  </si>
  <si>
    <t>GIGOVIC Armin</t>
  </si>
  <si>
    <t>Armin</t>
  </si>
  <si>
    <t>GIGOVIĆ</t>
  </si>
  <si>
    <t>BAZDAR Samed</t>
  </si>
  <si>
    <t>Samed</t>
  </si>
  <si>
    <t>BAŽDAR</t>
  </si>
  <si>
    <t>Jagiellonia Białystok (POL)</t>
  </si>
  <si>
    <t>DEMIROVIC Ermedin</t>
  </si>
  <si>
    <t>Ermedin</t>
  </si>
  <si>
    <t>DEMIROVIĆ</t>
  </si>
  <si>
    <t>VfB Stuttgart (GER)</t>
  </si>
  <si>
    <t>DZEKO Edin</t>
  </si>
  <si>
    <t>Edin</t>
  </si>
  <si>
    <t>DŽEKO</t>
  </si>
  <si>
    <t>JURKAS Mladen</t>
  </si>
  <si>
    <t>Mladen</t>
  </si>
  <si>
    <t>JURKAS</t>
  </si>
  <si>
    <t>FK Borac Banja Luka (BIH)</t>
  </si>
  <si>
    <t>BASIC Ivan</t>
  </si>
  <si>
    <t>Ivan</t>
  </si>
  <si>
    <t>BAŠIĆ</t>
  </si>
  <si>
    <t>FC Astana (KAZ)</t>
  </si>
  <si>
    <t>SUNJIC Ivan</t>
  </si>
  <si>
    <t>ŠUNJIĆ</t>
  </si>
  <si>
    <t>Pafos FC (CYP)</t>
  </si>
  <si>
    <t>MEMIC Amar</t>
  </si>
  <si>
    <t>MEMIĆ</t>
  </si>
  <si>
    <t>HADZIAHMETOVIC Amir</t>
  </si>
  <si>
    <t>Amir</t>
  </si>
  <si>
    <t>HADŽIAHMETOVIĆ</t>
  </si>
  <si>
    <t>Hull City FC (ENG)</t>
  </si>
  <si>
    <t>BURNIC Dzenis</t>
  </si>
  <si>
    <t>Dženis</t>
  </si>
  <si>
    <t>BURNIĆ</t>
  </si>
  <si>
    <t>Karlsruher SC (GER)</t>
  </si>
  <si>
    <t>KATIC Nikola</t>
  </si>
  <si>
    <t>KATIĆ</t>
  </si>
  <si>
    <t>ALAJBEGOVIC Kerim</t>
  </si>
  <si>
    <t>Kerim</t>
  </si>
  <si>
    <t>ALAJBEGOVIĆ</t>
  </si>
  <si>
    <t>BAJRAKTAREVIC Esmir</t>
  </si>
  <si>
    <t>Esmir</t>
  </si>
  <si>
    <t>BAJRAKTAREVIĆ</t>
  </si>
  <si>
    <t>RADELJIC Stjepan</t>
  </si>
  <si>
    <t>Stjepan</t>
  </si>
  <si>
    <t>RADELJIĆ</t>
  </si>
  <si>
    <t>HNK Rijeka (CRO)</t>
  </si>
  <si>
    <t>ZLOMISLIC Martin</t>
  </si>
  <si>
    <t>Martin</t>
  </si>
  <si>
    <t>ZLOMISLIĆ</t>
  </si>
  <si>
    <t>TABAKOVIC Haris</t>
  </si>
  <si>
    <t>Haris</t>
  </si>
  <si>
    <t>TABAKOVIĆ</t>
  </si>
  <si>
    <t>Borussia Mönchengladbach (GER)</t>
  </si>
  <si>
    <t>MALIC Arjan</t>
  </si>
  <si>
    <t>Arjan</t>
  </si>
  <si>
    <t>MALIĆ</t>
  </si>
  <si>
    <t>SK Sturm Graz (AUT)</t>
  </si>
  <si>
    <t>LUKIC Jovo</t>
  </si>
  <si>
    <t>Jovo</t>
  </si>
  <si>
    <t>LUKIĆ</t>
  </si>
  <si>
    <t>Universitatea Cluj (ROU)</t>
  </si>
  <si>
    <t>MAHMIC Ermin</t>
  </si>
  <si>
    <t>Ermin</t>
  </si>
  <si>
    <t>MAHMIĆ</t>
  </si>
  <si>
    <t>FC Slovan Liberec (CZE)</t>
  </si>
  <si>
    <t>ALISSON</t>
  </si>
  <si>
    <t>Álisson Ramsés</t>
  </si>
  <si>
    <t>A. BECKER</t>
  </si>
  <si>
    <t>Liverpool FC (ENG)</t>
  </si>
  <si>
    <t>BECKER</t>
  </si>
  <si>
    <t>EDERSON SILVA</t>
  </si>
  <si>
    <t>Éderson José</t>
  </si>
  <si>
    <t>ÉDERSON S.</t>
  </si>
  <si>
    <t>DOS SANTOS LOURENÇO DA SILVA</t>
  </si>
  <si>
    <t>GABRIEL MAGALHAES</t>
  </si>
  <si>
    <t>Gabriel</t>
  </si>
  <si>
    <t>GABRIEL</t>
  </si>
  <si>
    <t>DOS SANTOS MAGALHÃES</t>
  </si>
  <si>
    <t>MARQUINHOS</t>
  </si>
  <si>
    <t>Marcos</t>
  </si>
  <si>
    <t>Paris Saint-Germain (FRA)</t>
  </si>
  <si>
    <t>AOAS CORREA</t>
  </si>
  <si>
    <t>CASEMIRO</t>
  </si>
  <si>
    <t>Carlos Henrique</t>
  </si>
  <si>
    <t>CASIMIRO</t>
  </si>
  <si>
    <t>ALEX SANDRO</t>
  </si>
  <si>
    <t>Alex Sandro</t>
  </si>
  <si>
    <t>CR Flamengo (BRA)</t>
  </si>
  <si>
    <t>LOBO SILVA</t>
  </si>
  <si>
    <t>VINICIUS JUNIOR</t>
  </si>
  <si>
    <t>Vinicius José</t>
  </si>
  <si>
    <t>VINI JR.</t>
  </si>
  <si>
    <t>PAIXÃO DE OLIVEIRA JÚNIOR</t>
  </si>
  <si>
    <t>BRUNO GUIMARAES</t>
  </si>
  <si>
    <t>Bruno</t>
  </si>
  <si>
    <t>BRUNO G.</t>
  </si>
  <si>
    <t>Newcastle United FC (ENG)</t>
  </si>
  <si>
    <t>GUIMARÃES RODRIGUEZ MOURA</t>
  </si>
  <si>
    <t>MATHEUS CUNHA</t>
  </si>
  <si>
    <t>Matheus</t>
  </si>
  <si>
    <t>CUNHA</t>
  </si>
  <si>
    <t>SANTOS CARNEIRO DA CUNHA</t>
  </si>
  <si>
    <t>NEYMAR JR</t>
  </si>
  <si>
    <t>Neymar</t>
  </si>
  <si>
    <t>Santos FC (BRA)</t>
  </si>
  <si>
    <t>DA SILVA SANTOS JÚNIOR</t>
  </si>
  <si>
    <t>RAPHINHA</t>
  </si>
  <si>
    <t>Raphael</t>
  </si>
  <si>
    <t>FC Barcelona (ESP)</t>
  </si>
  <si>
    <t>DIAS BELLOLI</t>
  </si>
  <si>
    <t>WEVERTON</t>
  </si>
  <si>
    <t>Weverton</t>
  </si>
  <si>
    <t>Grêmio FBPA (BRA)</t>
  </si>
  <si>
    <t>PEREIRA DA SILVA</t>
  </si>
  <si>
    <t>DANILO</t>
  </si>
  <si>
    <t>Danilo Luiz</t>
  </si>
  <si>
    <t>DA SILVA</t>
  </si>
  <si>
    <t>BREMER</t>
  </si>
  <si>
    <t>Gleison Bremer</t>
  </si>
  <si>
    <t>Juventus FC (ITA)</t>
  </si>
  <si>
    <t>SILVA NASCIMENTO</t>
  </si>
  <si>
    <t>LEO PEREIRA</t>
  </si>
  <si>
    <t>Leonardo</t>
  </si>
  <si>
    <t>LÉO PEREIRA</t>
  </si>
  <si>
    <t>PEREIRA</t>
  </si>
  <si>
    <t>DOUGLAS SANTOS</t>
  </si>
  <si>
    <t>Douglas</t>
  </si>
  <si>
    <t>DOUGLAS S.</t>
  </si>
  <si>
    <t>FC Zenit St. Petersburg (RUS)</t>
  </si>
  <si>
    <t>DOS SANTOS JUSTINO DE MELO</t>
  </si>
  <si>
    <t>FABINHO</t>
  </si>
  <si>
    <t>Fabio Henrique</t>
  </si>
  <si>
    <t>TAVARES</t>
  </si>
  <si>
    <t>DANILO SANTOS</t>
  </si>
  <si>
    <t>Danilo</t>
  </si>
  <si>
    <t>DANILO S.</t>
  </si>
  <si>
    <t>Botafogo (BRA)</t>
  </si>
  <si>
    <t>DOS SANTOS DE OLIVEIRA</t>
  </si>
  <si>
    <t>ENDRICK</t>
  </si>
  <si>
    <t>Endrick Felipe</t>
  </si>
  <si>
    <t>Olympique Lyonnais (FRA)</t>
  </si>
  <si>
    <t>MOREIRA DE SOUSA PESSOA</t>
  </si>
  <si>
    <t>LUCAS PAQUETA</t>
  </si>
  <si>
    <t>L. PAQUETÁ</t>
  </si>
  <si>
    <t>TOLENTINO COELHO DE LIMA</t>
  </si>
  <si>
    <t>LUIZ HENRIQUE</t>
  </si>
  <si>
    <t>Luiz Henrique André</t>
  </si>
  <si>
    <t>L. HENRIQUE</t>
  </si>
  <si>
    <t>ROSA DA SILVA</t>
  </si>
  <si>
    <t>GABRIEL MARTINELLI</t>
  </si>
  <si>
    <t>MARTINELLI</t>
  </si>
  <si>
    <t>TEODORO MARTINELLI SILVA</t>
  </si>
  <si>
    <t>EDERSON</t>
  </si>
  <si>
    <t>Ederson</t>
  </si>
  <si>
    <t>Fenerbahçe SK (TUR)</t>
  </si>
  <si>
    <t>SANTANA DE MORAES</t>
  </si>
  <si>
    <t>ROGER IBANEZ</t>
  </si>
  <si>
    <t>Roger</t>
  </si>
  <si>
    <t>IBAÑEZ</t>
  </si>
  <si>
    <t>IBAÑEZ DA SILVA</t>
  </si>
  <si>
    <t>IGOR THIAGO</t>
  </si>
  <si>
    <t>Igor Thiago</t>
  </si>
  <si>
    <t>THIAGO</t>
  </si>
  <si>
    <t>Brentford FC (ENG)</t>
  </si>
  <si>
    <t>NASCIMENTO RODRIGUES</t>
  </si>
  <si>
    <t>RAYAN</t>
  </si>
  <si>
    <t>Rayan Vitor</t>
  </si>
  <si>
    <t>AFC Bournemouth (ENG)</t>
  </si>
  <si>
    <t>SIMPLICIO ROCHA</t>
  </si>
  <si>
    <t>VOZINHA</t>
  </si>
  <si>
    <t>Josimar José</t>
  </si>
  <si>
    <t>GD Chaves (POR)</t>
  </si>
  <si>
    <t>ÉVORA DIAS</t>
  </si>
  <si>
    <t>STOPIRA</t>
  </si>
  <si>
    <t>Ianique</t>
  </si>
  <si>
    <t>SCU Torreense (POR)</t>
  </si>
  <si>
    <t>DOS SANTOS TAVARES</t>
  </si>
  <si>
    <t>DINEY BORGES</t>
  </si>
  <si>
    <t>Edilson Alberto</t>
  </si>
  <si>
    <t>BORGES</t>
  </si>
  <si>
    <t>Al Bataeh Club (UAE)</t>
  </si>
  <si>
    <t>MONTEIRO SANCHES BORGES</t>
  </si>
  <si>
    <t>PICO LOPES</t>
  </si>
  <si>
    <t>Roberto Carlos</t>
  </si>
  <si>
    <t>LOPES</t>
  </si>
  <si>
    <t>Shamrock Rovers FC (IRL)</t>
  </si>
  <si>
    <t>LOGAN COSTA</t>
  </si>
  <si>
    <t>Logan Evans</t>
  </si>
  <si>
    <t>COSTA</t>
  </si>
  <si>
    <t>Villarreal CF (ESP)</t>
  </si>
  <si>
    <t>KEVIN PINA</t>
  </si>
  <si>
    <t>Kevin Lenini</t>
  </si>
  <si>
    <t>KEVIN L.</t>
  </si>
  <si>
    <t>FC Krasnodar (RUS)</t>
  </si>
  <si>
    <t>GONÇALVES PEREIRA DE PINA</t>
  </si>
  <si>
    <t>JOVANE CABRAL</t>
  </si>
  <si>
    <t>Jovane Eduardo</t>
  </si>
  <si>
    <t>JOVANE</t>
  </si>
  <si>
    <t>CF Estrela Da Amadora (POR)</t>
  </si>
  <si>
    <t>BORGES CABRAL</t>
  </si>
  <si>
    <t>JOAO PAULO</t>
  </si>
  <si>
    <t>João Paulo</t>
  </si>
  <si>
    <t>JOÃO PAULO</t>
  </si>
  <si>
    <t>FC FCSB (ROU)</t>
  </si>
  <si>
    <t>MOREIRA FERNANDES</t>
  </si>
  <si>
    <t>GILSON BENCHIMOL</t>
  </si>
  <si>
    <t>Gilson</t>
  </si>
  <si>
    <t>BENCHIMOL</t>
  </si>
  <si>
    <t>FC Akron Tolyatti (RUS)</t>
  </si>
  <si>
    <t>BENCHIMOL TAVARES</t>
  </si>
  <si>
    <t>JAMIRO MONTEIRO</t>
  </si>
  <si>
    <t>Jamiro Gregory</t>
  </si>
  <si>
    <t>MONTEIRO</t>
  </si>
  <si>
    <t>PEC Zwolle (NED)</t>
  </si>
  <si>
    <t>MONTEIRO ALVARENGA</t>
  </si>
  <si>
    <t>GARRY RODRIGUES</t>
  </si>
  <si>
    <t>Garry</t>
  </si>
  <si>
    <t>RODRIGUES</t>
  </si>
  <si>
    <t>Apollon Limassol (CYP)</t>
  </si>
  <si>
    <t>MENDES RODRIGUES</t>
  </si>
  <si>
    <t>MARCIO ROSA</t>
  </si>
  <si>
    <t>Márcio Salomão</t>
  </si>
  <si>
    <t>MARCIO</t>
  </si>
  <si>
    <t>PFC Montana (BUL)</t>
  </si>
  <si>
    <t>BRAZÃO DA ROSA</t>
  </si>
  <si>
    <t>SIDNY LOPES CABRAL</t>
  </si>
  <si>
    <t>Sidny</t>
  </si>
  <si>
    <t>LOPES CABRAL</t>
  </si>
  <si>
    <t>DEROY DUARTE</t>
  </si>
  <si>
    <t>Deroy</t>
  </si>
  <si>
    <t>D. DUARTE</t>
  </si>
  <si>
    <t>PFC Ludogorets Razgrad (BUL)</t>
  </si>
  <si>
    <t>D'ENCARNAÇÃO DUARTE</t>
  </si>
  <si>
    <t>LAROS DUARTE</t>
  </si>
  <si>
    <t>Laros Michael</t>
  </si>
  <si>
    <t>L. DUARTE</t>
  </si>
  <si>
    <t>Puskás Akadémia FC (HUN)</t>
  </si>
  <si>
    <t>YANNICK SEMEDO</t>
  </si>
  <si>
    <t>Jair</t>
  </si>
  <si>
    <t>Y. SEMEDO</t>
  </si>
  <si>
    <t>SC Farense (POR)</t>
  </si>
  <si>
    <t>SEMEDO MONTEIRO</t>
  </si>
  <si>
    <t>WILLY SEMEDO</t>
  </si>
  <si>
    <t>Willy Johnson</t>
  </si>
  <si>
    <t>SEMEDO</t>
  </si>
  <si>
    <t>AC Omonia (CYP)</t>
  </si>
  <si>
    <t>SEMEDO AFONSO</t>
  </si>
  <si>
    <t>TELMO ARCANJO</t>
  </si>
  <si>
    <t>Telmo Emanuel</t>
  </si>
  <si>
    <t>ARCANJO</t>
  </si>
  <si>
    <t>Vitória SC (POR)</t>
  </si>
  <si>
    <t>GOMES ARCANJO</t>
  </si>
  <si>
    <t>DAILON LIVRAMENTO</t>
  </si>
  <si>
    <t>Dailon</t>
  </si>
  <si>
    <t>LIVRAMENTO</t>
  </si>
  <si>
    <t>Casa Pia AC (POR)</t>
  </si>
  <si>
    <t>ROCHA LIVRAMENTO</t>
  </si>
  <si>
    <t>RYAN MENDES</t>
  </si>
  <si>
    <t>Ryan Isaac</t>
  </si>
  <si>
    <t>Iğdır FK (TUR)</t>
  </si>
  <si>
    <t>DA GRACA MENDES</t>
  </si>
  <si>
    <t>NUNO DA COSTA</t>
  </si>
  <si>
    <t>Nuno Miguel</t>
  </si>
  <si>
    <t>DA COSTA</t>
  </si>
  <si>
    <t>Başakşehir FK (TUR)</t>
  </si>
  <si>
    <t>DA COSTA JOIA</t>
  </si>
  <si>
    <t>STEVEN MOREIRA</t>
  </si>
  <si>
    <t>Steven</t>
  </si>
  <si>
    <t>MOREIRA</t>
  </si>
  <si>
    <t>Columbus Crew (USA)</t>
  </si>
  <si>
    <t>CJ DOS SANTOS</t>
  </si>
  <si>
    <t>Carlos Joaquim</t>
  </si>
  <si>
    <t>DOS SANTOS</t>
  </si>
  <si>
    <t>San Diego FC (USA)</t>
  </si>
  <si>
    <t>ANTUNES DOS SANTOS</t>
  </si>
  <si>
    <t>WAGNER PINA</t>
  </si>
  <si>
    <t>Wagner Fabricio</t>
  </si>
  <si>
    <t>WAGNER P.</t>
  </si>
  <si>
    <t>Trabzonspor (TUR)</t>
  </si>
  <si>
    <t>CARDOSO DE PINA</t>
  </si>
  <si>
    <t>KELVIN PIRES</t>
  </si>
  <si>
    <t>Kelvin</t>
  </si>
  <si>
    <t>KELVIN</t>
  </si>
  <si>
    <t>SJK (FIN)</t>
  </si>
  <si>
    <t>SPENCER PIRES</t>
  </si>
  <si>
    <t>HELIO VARELA</t>
  </si>
  <si>
    <t>Hélio Sandro</t>
  </si>
  <si>
    <t>HÉLIO</t>
  </si>
  <si>
    <t>Maccabi Tel-Aviv FC (ISR)</t>
  </si>
  <si>
    <t>OLIVEIRA ALVES VARELA</t>
  </si>
  <si>
    <t>ST. CLAIR Dayne</t>
  </si>
  <si>
    <t>Dayne Tristan</t>
  </si>
  <si>
    <t>ST. CLAIR</t>
  </si>
  <si>
    <t>Inter Miami CF (USA)</t>
  </si>
  <si>
    <t>JOHNSTON Alistair</t>
  </si>
  <si>
    <t>Alistair William</t>
  </si>
  <si>
    <t>JOHNSTON</t>
  </si>
  <si>
    <t>Celtic FC (SCO)</t>
  </si>
  <si>
    <t>JONES Ale</t>
  </si>
  <si>
    <t>Ale Charles</t>
  </si>
  <si>
    <t>JONES</t>
  </si>
  <si>
    <t>Middlesbrough FC (ENG)</t>
  </si>
  <si>
    <t>DE FOUGEROLLES Luc</t>
  </si>
  <si>
    <t>Luc</t>
  </si>
  <si>
    <t>DE FOUGEROLLES</t>
  </si>
  <si>
    <t>FCV Dender EH (BEL)</t>
  </si>
  <si>
    <t>ROLLET DE FOUGEROLLES</t>
  </si>
  <si>
    <t>WATERMAN Joel</t>
  </si>
  <si>
    <t>Joel Robert</t>
  </si>
  <si>
    <t>WATERMAN</t>
  </si>
  <si>
    <t>Chicago Fire FC (USA)</t>
  </si>
  <si>
    <t>CHOINIERE Mathieu</t>
  </si>
  <si>
    <t>Mathieu</t>
  </si>
  <si>
    <t>CHOINIÈRE</t>
  </si>
  <si>
    <t>LAFC (USA)</t>
  </si>
  <si>
    <t>EUSTAQUIO Stephen</t>
  </si>
  <si>
    <t>Stephen</t>
  </si>
  <si>
    <t>EUSTÁQUIO</t>
  </si>
  <si>
    <t>EUSTAQUIO</t>
  </si>
  <si>
    <t>KONE Ismael</t>
  </si>
  <si>
    <t>Ismaël Kenneth Jordan</t>
  </si>
  <si>
    <t>KONÉ</t>
  </si>
  <si>
    <t>KONE</t>
  </si>
  <si>
    <t>LARIN Cyle</t>
  </si>
  <si>
    <t>Cyle Christopher</t>
  </si>
  <si>
    <t>LARIN</t>
  </si>
  <si>
    <t>Southampton FC (ENG)</t>
  </si>
  <si>
    <t>DAVID Jonathan</t>
  </si>
  <si>
    <t>Jonathan Christian</t>
  </si>
  <si>
    <t>J. DAVID</t>
  </si>
  <si>
    <t>DAVID</t>
  </si>
  <si>
    <t>MILLAR Liam</t>
  </si>
  <si>
    <t>Liam Alan</t>
  </si>
  <si>
    <t>MILLAR</t>
  </si>
  <si>
    <t>OLUWASEYI Tani</t>
  </si>
  <si>
    <t>Tanitoluwa Oluwatimilehin</t>
  </si>
  <si>
    <t>OLUWASEYI</t>
  </si>
  <si>
    <t>CORNELIUS Derek</t>
  </si>
  <si>
    <t>Derek Austin</t>
  </si>
  <si>
    <t>CORNELIUS</t>
  </si>
  <si>
    <t>SHAFFELBURG Jacob</t>
  </si>
  <si>
    <t>Jacob Everett</t>
  </si>
  <si>
    <t>SHAFFELBURG</t>
  </si>
  <si>
    <t>BOMBITO Moise</t>
  </si>
  <si>
    <t>Moïse Bombito</t>
  </si>
  <si>
    <t>BOMBITO</t>
  </si>
  <si>
    <t>LUMPUNGU</t>
  </si>
  <si>
    <t>CREPEAU Maxime</t>
  </si>
  <si>
    <t>Maxime</t>
  </si>
  <si>
    <t>CRÉPEAU</t>
  </si>
  <si>
    <t>Orlando City SC (USA)</t>
  </si>
  <si>
    <t>BUCHANAN Tajon</t>
  </si>
  <si>
    <t>Tajon Trevor</t>
  </si>
  <si>
    <t>BUCHANAN</t>
  </si>
  <si>
    <t>GOODMAN Owen</t>
  </si>
  <si>
    <t>Owen Olamidayo</t>
  </si>
  <si>
    <t>GOODMAN</t>
  </si>
  <si>
    <t>Barnsley (ENG)</t>
  </si>
  <si>
    <t>DAVIES Alphonso</t>
  </si>
  <si>
    <t>Alphonso Boyle</t>
  </si>
  <si>
    <t>DAVIES</t>
  </si>
  <si>
    <t>AHMED Ali</t>
  </si>
  <si>
    <t>Ali</t>
  </si>
  <si>
    <t>AHMED</t>
  </si>
  <si>
    <t>OSORIO Jonathan</t>
  </si>
  <si>
    <t>Jonathan</t>
  </si>
  <si>
    <t>OSORIO</t>
  </si>
  <si>
    <t>Toronto FC (CAN)</t>
  </si>
  <si>
    <t>LARYEA Richie</t>
  </si>
  <si>
    <t>Richmond Mamah</t>
  </si>
  <si>
    <t>LARYEA</t>
  </si>
  <si>
    <t>SIGUR Niko</t>
  </si>
  <si>
    <t>Niko Kristian</t>
  </si>
  <si>
    <t>SIGUR</t>
  </si>
  <si>
    <t>HNK Hajduk Split (CRO)</t>
  </si>
  <si>
    <t>DAVID Promise</t>
  </si>
  <si>
    <t>Promise Oluwatobi Emmanuel</t>
  </si>
  <si>
    <t>PROMISE</t>
  </si>
  <si>
    <t>Royale Union Saint-Gilloise (BEL)</t>
  </si>
  <si>
    <t>SALIBA Nathan</t>
  </si>
  <si>
    <t>Nathan-Dylan</t>
  </si>
  <si>
    <t>SALIBA</t>
  </si>
  <si>
    <t>RSC Anderlecht (BEL)</t>
  </si>
  <si>
    <t>NELSON Jayden</t>
  </si>
  <si>
    <t>Jayden</t>
  </si>
  <si>
    <t>NELSON</t>
  </si>
  <si>
    <t>Austin FC (USA)</t>
  </si>
  <si>
    <t>MUSSO Juan</t>
  </si>
  <si>
    <t>Juan Agustín</t>
  </si>
  <si>
    <t>MUSSO</t>
  </si>
  <si>
    <t>Atlético De Madrid (ESP)</t>
  </si>
  <si>
    <t>SENESI Marcos</t>
  </si>
  <si>
    <t>Marcos Nicolás</t>
  </si>
  <si>
    <t>SENESI</t>
  </si>
  <si>
    <t>SENESI BARON</t>
  </si>
  <si>
    <t>TAGLIAFICO Nicolas</t>
  </si>
  <si>
    <t>Nicolás Alejandro</t>
  </si>
  <si>
    <t>TAGLIAFICO</t>
  </si>
  <si>
    <t>MONTIEL Gonzalo</t>
  </si>
  <si>
    <t>Gonzalo Ariel</t>
  </si>
  <si>
    <t>MONTIEL</t>
  </si>
  <si>
    <t>CA River Plate (ARG)</t>
  </si>
  <si>
    <t>PAREDES Leandro</t>
  </si>
  <si>
    <t>Leandro Daniel</t>
  </si>
  <si>
    <t>PAREDES</t>
  </si>
  <si>
    <t>CA Boca Juniors (ARG)</t>
  </si>
  <si>
    <t>MARTINEZ Lisandro</t>
  </si>
  <si>
    <t>Lisandro</t>
  </si>
  <si>
    <t>MARTÍNEZ</t>
  </si>
  <si>
    <t>DE PAUL Rodrigo</t>
  </si>
  <si>
    <t>Rodrigo Javier</t>
  </si>
  <si>
    <t>DE PAUL</t>
  </si>
  <si>
    <t>BARCO Valentin</t>
  </si>
  <si>
    <t>Valentin</t>
  </si>
  <si>
    <t>BARCO</t>
  </si>
  <si>
    <t>ALVAREZ Julian</t>
  </si>
  <si>
    <t>Julián</t>
  </si>
  <si>
    <t>J. ALVAREZ</t>
  </si>
  <si>
    <t>ÁLVAREZ</t>
  </si>
  <si>
    <t>MESSI Lionel</t>
  </si>
  <si>
    <t>Lionel Andrés</t>
  </si>
  <si>
    <t>MESSI</t>
  </si>
  <si>
    <t>LO CELSO Giovani</t>
  </si>
  <si>
    <t>Giovani</t>
  </si>
  <si>
    <t>LO CELSO</t>
  </si>
  <si>
    <t>Real Betis (ESP)</t>
  </si>
  <si>
    <t>RULLI Geronimo</t>
  </si>
  <si>
    <t>Geronimo</t>
  </si>
  <si>
    <t>RULLI</t>
  </si>
  <si>
    <t>ROMERO Cristian</t>
  </si>
  <si>
    <t>Cristian Gabriel</t>
  </si>
  <si>
    <t>ROMERO</t>
  </si>
  <si>
    <t>PALACIOS Exequiel</t>
  </si>
  <si>
    <t>Exequiel Alejandro</t>
  </si>
  <si>
    <t>PALACIOS</t>
  </si>
  <si>
    <t>GONZALEZ Nico</t>
  </si>
  <si>
    <t>Nicolas Ivan</t>
  </si>
  <si>
    <t>N. GONZALEZ</t>
  </si>
  <si>
    <t>GONZALEZ</t>
  </si>
  <si>
    <t>ALMADA Thiago</t>
  </si>
  <si>
    <t>Thiago Ezequiel</t>
  </si>
  <si>
    <t>ALMADA</t>
  </si>
  <si>
    <t>SIMEONE Giuliano</t>
  </si>
  <si>
    <t>Giuliano</t>
  </si>
  <si>
    <t>SIMEONE</t>
  </si>
  <si>
    <t>PAZ Nico</t>
  </si>
  <si>
    <t>NICO PAZ</t>
  </si>
  <si>
    <t>Como (ITA)</t>
  </si>
  <si>
    <t>PAZ MARTÍNEZ</t>
  </si>
  <si>
    <t>OTAMENDI Nicolas</t>
  </si>
  <si>
    <t>Nicolas Hernan Gonzalo</t>
  </si>
  <si>
    <t>OTAMENDI</t>
  </si>
  <si>
    <t>MAC ALLISTER Alexis</t>
  </si>
  <si>
    <t>Alexis</t>
  </si>
  <si>
    <t>MAC ALLISTER</t>
  </si>
  <si>
    <t>LOPEZ Jose Manuel</t>
  </si>
  <si>
    <t>Jose Manuel Alberto</t>
  </si>
  <si>
    <t>LOPEZ</t>
  </si>
  <si>
    <t>SE Palmeiras (BRA)</t>
  </si>
  <si>
    <t>MARTINEZ Lautaro</t>
  </si>
  <si>
    <t>Lautaro Javier</t>
  </si>
  <si>
    <t>L. MARTINEZ</t>
  </si>
  <si>
    <t>FC Internazionale Milano (ITA)</t>
  </si>
  <si>
    <t>MARTINEZ Emiliano</t>
  </si>
  <si>
    <t>Damián Emiliano</t>
  </si>
  <si>
    <t>E. MARTINEZ</t>
  </si>
  <si>
    <t>FERNANDEZ Enzo</t>
  </si>
  <si>
    <t>Enzo Jeremías</t>
  </si>
  <si>
    <t>E. FERNANDEZ</t>
  </si>
  <si>
    <t>Chelsea FC (ENG)</t>
  </si>
  <si>
    <t>FERNÁNDEZ</t>
  </si>
  <si>
    <t>MEDINA Facundo</t>
  </si>
  <si>
    <t>Facundo Axel</t>
  </si>
  <si>
    <t>MEDINA</t>
  </si>
  <si>
    <t>MOLINA Nahuel</t>
  </si>
  <si>
    <t>Nahuel</t>
  </si>
  <si>
    <t>MOLINA</t>
  </si>
  <si>
    <t>MOLINA LUCERO</t>
  </si>
  <si>
    <t>OSPINA David</t>
  </si>
  <si>
    <t>OSPINA</t>
  </si>
  <si>
    <t>Atlético Nacional (COL)</t>
  </si>
  <si>
    <t>OSPINA RAMIREZ</t>
  </si>
  <si>
    <t>MUNOZ Daniel</t>
  </si>
  <si>
    <t>Daniel</t>
  </si>
  <si>
    <t>D. MUÑOZ</t>
  </si>
  <si>
    <t>Crystal Palace FC (ENG)</t>
  </si>
  <si>
    <t>MUÑOZ MEJIA</t>
  </si>
  <si>
    <t>LUCUMI Jhon</t>
  </si>
  <si>
    <t>Jhon Janer</t>
  </si>
  <si>
    <t>J. LUCUMI</t>
  </si>
  <si>
    <t>Bologna FC (ITA)</t>
  </si>
  <si>
    <t>LUCUMI BONILLA</t>
  </si>
  <si>
    <t>ARIAS Santiago</t>
  </si>
  <si>
    <t>Santiago</t>
  </si>
  <si>
    <t>ARIAS</t>
  </si>
  <si>
    <t>CA Independiente (ARG)</t>
  </si>
  <si>
    <t>ARIAS NARANJO</t>
  </si>
  <si>
    <t>CASTANO Kevin</t>
  </si>
  <si>
    <t>Kevin Duvan</t>
  </si>
  <si>
    <t>K. CASTAÑO</t>
  </si>
  <si>
    <t>CASTAÑO GIL</t>
  </si>
  <si>
    <t>RIOS Richard</t>
  </si>
  <si>
    <t>Richard</t>
  </si>
  <si>
    <t>RICHARD RIOS</t>
  </si>
  <si>
    <t>RÍOS MONTOYA</t>
  </si>
  <si>
    <t>DIAZ Luis</t>
  </si>
  <si>
    <t>Luis Fernando</t>
  </si>
  <si>
    <t>LUIS DIAZ</t>
  </si>
  <si>
    <t>DÍAZ MARULANDA</t>
  </si>
  <si>
    <t>CARRASCAL Jorge</t>
  </si>
  <si>
    <t>Jorge Andres</t>
  </si>
  <si>
    <t>CARRASCAL</t>
  </si>
  <si>
    <t>CARRASCAL GUARDO</t>
  </si>
  <si>
    <t>CORDOBA Jhon</t>
  </si>
  <si>
    <t>Jhon Andrés</t>
  </si>
  <si>
    <t>CORDOBA</t>
  </si>
  <si>
    <t>CÓRDOBA COPETE</t>
  </si>
  <si>
    <t>RODRIGUEZ James</t>
  </si>
  <si>
    <t>James David</t>
  </si>
  <si>
    <t>JAMES</t>
  </si>
  <si>
    <t>Minnesota United FC (USA)</t>
  </si>
  <si>
    <t>RODRÍGUEZ RUBIO</t>
  </si>
  <si>
    <t>ARIAS Jhon</t>
  </si>
  <si>
    <t>Jhon Adolfo</t>
  </si>
  <si>
    <t>J. ARIAS</t>
  </si>
  <si>
    <t>ARIAS ANDRADE</t>
  </si>
  <si>
    <t>VARGAS Camilo</t>
  </si>
  <si>
    <t>Camilo Andres</t>
  </si>
  <si>
    <t>C. VARGAS</t>
  </si>
  <si>
    <t>Atlas FC (MEX)</t>
  </si>
  <si>
    <t>VARGAS GIL</t>
  </si>
  <si>
    <t>MINA Yerry</t>
  </si>
  <si>
    <t>Yerry Fernando</t>
  </si>
  <si>
    <t>Y. MINA</t>
  </si>
  <si>
    <t>Cagliari (ITA)</t>
  </si>
  <si>
    <t>MINA GONZALEZ</t>
  </si>
  <si>
    <t>PUERTA Gustavo</t>
  </si>
  <si>
    <t>Gustavo Adolfo</t>
  </si>
  <si>
    <t>PUERTA</t>
  </si>
  <si>
    <t>Racing Santander (ESP)</t>
  </si>
  <si>
    <t>PUERTA MOLANO</t>
  </si>
  <si>
    <t>PORTILLA Juan</t>
  </si>
  <si>
    <t>Juan Camilo</t>
  </si>
  <si>
    <t>PORTILLA</t>
  </si>
  <si>
    <t>Athletico Paranaense (BRA)</t>
  </si>
  <si>
    <t>PORTILLA OROZCO</t>
  </si>
  <si>
    <t>LERMA Jefferson</t>
  </si>
  <si>
    <t>Jefferson Andrés</t>
  </si>
  <si>
    <t>J. LERMA</t>
  </si>
  <si>
    <t>LERMA SOLIS</t>
  </si>
  <si>
    <t>MOJICA Johan</t>
  </si>
  <si>
    <t>Johan Andrés</t>
  </si>
  <si>
    <t>J. MOJICA</t>
  </si>
  <si>
    <t>RCD Mallorca (ESP)</t>
  </si>
  <si>
    <t>MOJICA PALACIO</t>
  </si>
  <si>
    <t>DITTA Willer</t>
  </si>
  <si>
    <t>Willer Emilio</t>
  </si>
  <si>
    <t>W. DITTA</t>
  </si>
  <si>
    <t>CF Cruz Azul (MEX)</t>
  </si>
  <si>
    <t>DITTA PEREZ</t>
  </si>
  <si>
    <t>HERNANDEZ Cucho</t>
  </si>
  <si>
    <t>C. HERNANDEZ</t>
  </si>
  <si>
    <t>HERNANDEZ SUAREZ</t>
  </si>
  <si>
    <t>QUINTERO Juan</t>
  </si>
  <si>
    <t>Juan Fernando</t>
  </si>
  <si>
    <t>QUINTERO</t>
  </si>
  <si>
    <t>QUINTERO PANIAGUA</t>
  </si>
  <si>
    <t>CAMPAZ Jaminton</t>
  </si>
  <si>
    <t>Jaminton Leandro</t>
  </si>
  <si>
    <t>CAMPAZ</t>
  </si>
  <si>
    <t>CA Rosario Central (ARG)</t>
  </si>
  <si>
    <t>MACHADO Deiver</t>
  </si>
  <si>
    <t>Deiver</t>
  </si>
  <si>
    <t>MACHADO</t>
  </si>
  <si>
    <t>FC Nantes (FRA)</t>
  </si>
  <si>
    <t>MACHADO MENA</t>
  </si>
  <si>
    <t>SANCHEZ Davinson</t>
  </si>
  <si>
    <t>Davinson</t>
  </si>
  <si>
    <t>SANCHEZ</t>
  </si>
  <si>
    <t>Galatasaray SK (TUR)</t>
  </si>
  <si>
    <t>SÁNCHEZ MINA</t>
  </si>
  <si>
    <t>MONTERO Alvaro</t>
  </si>
  <si>
    <t>Álvaro David</t>
  </si>
  <si>
    <t>MONTERO</t>
  </si>
  <si>
    <t>CA Vélez Sarseld (ARG)</t>
  </si>
  <si>
    <t>MONTERO PERALES</t>
  </si>
  <si>
    <t>SUAREZ Luis</t>
  </si>
  <si>
    <t>Luis Javier</t>
  </si>
  <si>
    <t>SUAREZ</t>
  </si>
  <si>
    <t>SUÁREZ CHARRIS</t>
  </si>
  <si>
    <t>GOMEZ Andres</t>
  </si>
  <si>
    <t>Carlos Andrés</t>
  </si>
  <si>
    <t>A. GOMEZ</t>
  </si>
  <si>
    <t>CR Vasco Da Gama (BRA)</t>
  </si>
  <si>
    <t>GÓMEZ HINESTROZA</t>
  </si>
  <si>
    <t>MPASI Lionel</t>
  </si>
  <si>
    <t>Lionel Nzau</t>
  </si>
  <si>
    <t>MPASI</t>
  </si>
  <si>
    <t>Le Havre AC (FRA)</t>
  </si>
  <si>
    <t>WAN-BISSAKA Aaron</t>
  </si>
  <si>
    <t>Wan</t>
  </si>
  <si>
    <t>WAN BISSAKA</t>
  </si>
  <si>
    <t>West Ham United FC (ENG)</t>
  </si>
  <si>
    <t>BISSAKA</t>
  </si>
  <si>
    <t>KAPUADI Steve</t>
  </si>
  <si>
    <t>Steve Nkanu</t>
  </si>
  <si>
    <t>KAPUADI</t>
  </si>
  <si>
    <t>Widzew Łódź (POL)</t>
  </si>
  <si>
    <t>TUANZEBE Axel</t>
  </si>
  <si>
    <t>Axel</t>
  </si>
  <si>
    <t>TUANZEBE</t>
  </si>
  <si>
    <t>Burnley FC (ENG)</t>
  </si>
  <si>
    <t>BATUBINSIKA Dylan</t>
  </si>
  <si>
    <t>Dylan Buduka</t>
  </si>
  <si>
    <t>BATUBINSIKA</t>
  </si>
  <si>
    <t>AEL FC (GRE)</t>
  </si>
  <si>
    <t>MUKAU Ngalayel</t>
  </si>
  <si>
    <t>Ngal’ayel</t>
  </si>
  <si>
    <t>MUKAU</t>
  </si>
  <si>
    <t>MBUKU Nathanael</t>
  </si>
  <si>
    <t>Nathanaël</t>
  </si>
  <si>
    <t>MBUKU</t>
  </si>
  <si>
    <t>Montpellier HSC (FRA)</t>
  </si>
  <si>
    <t>MOUTOUSSAMY Samuel</t>
  </si>
  <si>
    <t>Samuel Alain</t>
  </si>
  <si>
    <t>MOUTOUSSAMY</t>
  </si>
  <si>
    <t>Atromitos FC (GRE)</t>
  </si>
  <si>
    <t>CIPENGA Brian</t>
  </si>
  <si>
    <t>Kibambe Brian</t>
  </si>
  <si>
    <t>CIPENGA</t>
  </si>
  <si>
    <t>BONGONDA Theo</t>
  </si>
  <si>
    <t>Theo Mbulofeko Batombo</t>
  </si>
  <si>
    <t>BONGONDA</t>
  </si>
  <si>
    <t>FC Spartak Moscow (RUS)</t>
  </si>
  <si>
    <t>KAKUTA Gael</t>
  </si>
  <si>
    <t>Mambenga Gaël Roméo</t>
  </si>
  <si>
    <t>KAKUTA</t>
  </si>
  <si>
    <t>KAYEMBE Joris</t>
  </si>
  <si>
    <t>Joris</t>
  </si>
  <si>
    <t>J. KAYEMBE</t>
  </si>
  <si>
    <t>KRC Genk (BEL)</t>
  </si>
  <si>
    <t>KAYEMBE-DITU</t>
  </si>
  <si>
    <t>ELIA Meschack</t>
  </si>
  <si>
    <t>Meschack Lina</t>
  </si>
  <si>
    <t>MESCHACK</t>
  </si>
  <si>
    <t>Alanyaspor (TUR)</t>
  </si>
  <si>
    <t>ELIA</t>
  </si>
  <si>
    <t>SADIKI Noah</t>
  </si>
  <si>
    <t>Noah Junior</t>
  </si>
  <si>
    <t>SADIKI</t>
  </si>
  <si>
    <t>Sunderland AFC (ENG)</t>
  </si>
  <si>
    <t>TSHIBOLA Aaron</t>
  </si>
  <si>
    <t>Tshibola</t>
  </si>
  <si>
    <t>TSHIBOLA</t>
  </si>
  <si>
    <t>Kilmarnock FC (SCO)</t>
  </si>
  <si>
    <t>AARON</t>
  </si>
  <si>
    <t>FAYULU Timothy</t>
  </si>
  <si>
    <t>Timothy Bruce Munzoko</t>
  </si>
  <si>
    <t>FAYULU</t>
  </si>
  <si>
    <t>FC Noah (ARM)</t>
  </si>
  <si>
    <t>BAKAMBU Cedric</t>
  </si>
  <si>
    <t>Cedric</t>
  </si>
  <si>
    <t>BAKAMBU</t>
  </si>
  <si>
    <t>PICKEL Charles</t>
  </si>
  <si>
    <t>Charles Monginda</t>
  </si>
  <si>
    <t>PICKEL</t>
  </si>
  <si>
    <t>RCD Espanyol (ESP)</t>
  </si>
  <si>
    <t>MAYELE Fiston</t>
  </si>
  <si>
    <t>Mayele Fiston</t>
  </si>
  <si>
    <t>MAYELE</t>
  </si>
  <si>
    <t>Pyramids FC (EGY)</t>
  </si>
  <si>
    <t>KALALA</t>
  </si>
  <si>
    <t>WISSA Yoane</t>
  </si>
  <si>
    <t>Yoane</t>
  </si>
  <si>
    <t>WISSA</t>
  </si>
  <si>
    <t>EPOLO Matthieu</t>
  </si>
  <si>
    <t>Matthieu Luka</t>
  </si>
  <si>
    <t>EPOLO</t>
  </si>
  <si>
    <t>Standard Liège (BEL)</t>
  </si>
  <si>
    <t>MBEMBA Chancel</t>
  </si>
  <si>
    <t>Mangulu Chancel</t>
  </si>
  <si>
    <t>MBEMBA</t>
  </si>
  <si>
    <t>BANZA Simon</t>
  </si>
  <si>
    <t>Simon Bokote</t>
  </si>
  <si>
    <t>BANZA</t>
  </si>
  <si>
    <t>Al Jazira (UAE)</t>
  </si>
  <si>
    <t>KALULU Gedeon</t>
  </si>
  <si>
    <t>Gédéon Tchingoma Kyatengwa</t>
  </si>
  <si>
    <t>KALULU</t>
  </si>
  <si>
    <t>Aris Limassol FC (CYP)</t>
  </si>
  <si>
    <t>KAYEMBE Edo</t>
  </si>
  <si>
    <t>Edo Kayembe</t>
  </si>
  <si>
    <t>E. KAYEMBE</t>
  </si>
  <si>
    <t>KAYEMBE</t>
  </si>
  <si>
    <t>MASUAKU Arthur</t>
  </si>
  <si>
    <t>Arthur Fuka</t>
  </si>
  <si>
    <t>MASUAKU</t>
  </si>
  <si>
    <t>RC Lens (FRA)</t>
  </si>
  <si>
    <t>MASUAKU KAWELA</t>
  </si>
  <si>
    <t>FOFANA Yahia</t>
  </si>
  <si>
    <t>Yahia</t>
  </si>
  <si>
    <t>Y. FOFANA</t>
  </si>
  <si>
    <t>Çaykur Rizespor (TUR)</t>
  </si>
  <si>
    <t>FOFANA</t>
  </si>
  <si>
    <t>DIOMANDE Ousmane</t>
  </si>
  <si>
    <t>Ousmane</t>
  </si>
  <si>
    <t>O. DIOMANDE</t>
  </si>
  <si>
    <t>DIOMANDE</t>
  </si>
  <si>
    <t>KONAN Ghislain</t>
  </si>
  <si>
    <t>N'clomande Ghislain</t>
  </si>
  <si>
    <t>G. KONAN</t>
  </si>
  <si>
    <t>Gil Vicente FC (POR)</t>
  </si>
  <si>
    <t>KONAN</t>
  </si>
  <si>
    <t>SERI Jean Michael</t>
  </si>
  <si>
    <t>Jean Michael</t>
  </si>
  <si>
    <t>SERI</t>
  </si>
  <si>
    <t>NK Maribor (SVN)</t>
  </si>
  <si>
    <t>SINGO Wilfried</t>
  </si>
  <si>
    <t>Wilfried Stephane</t>
  </si>
  <si>
    <t>SINGO</t>
  </si>
  <si>
    <t>FOFANA Seko</t>
  </si>
  <si>
    <t>Seko Mohamed</t>
  </si>
  <si>
    <t>FC Porto (POR)</t>
  </si>
  <si>
    <t>KOSSOUNOU Odilon</t>
  </si>
  <si>
    <t>Kouakou Odilon Dorgeless</t>
  </si>
  <si>
    <t>KOSSOUNOU</t>
  </si>
  <si>
    <t>KESSIE Franck</t>
  </si>
  <si>
    <t>Franck Yannick</t>
  </si>
  <si>
    <t>KESSIE</t>
  </si>
  <si>
    <t>BONNY Ange-Yoan</t>
  </si>
  <si>
    <t>Ange-Yoan Laurent</t>
  </si>
  <si>
    <t>BONNY</t>
  </si>
  <si>
    <t>ADINGRA Simon</t>
  </si>
  <si>
    <t>Simon</t>
  </si>
  <si>
    <t>ADINGRA</t>
  </si>
  <si>
    <t>AS Monaco (FRA)</t>
  </si>
  <si>
    <t>DIOMANDE Yan</t>
  </si>
  <si>
    <t>Yan</t>
  </si>
  <si>
    <t>YAN DIOMANDE</t>
  </si>
  <si>
    <t>WAHI Elye</t>
  </si>
  <si>
    <t>Sepe Elye Delmas</t>
  </si>
  <si>
    <t>WAHI</t>
  </si>
  <si>
    <t>OPERI Christopher</t>
  </si>
  <si>
    <t>Christopher Tea Domoraud</t>
  </si>
  <si>
    <t>OPERI</t>
  </si>
  <si>
    <t>DIAKITE Oumar</t>
  </si>
  <si>
    <t>Oumar</t>
  </si>
  <si>
    <t>DIAKITE</t>
  </si>
  <si>
    <t>Cercle Brugge (BEL)</t>
  </si>
  <si>
    <t>DIALLO Amad</t>
  </si>
  <si>
    <t>Amad</t>
  </si>
  <si>
    <t>AMAD</t>
  </si>
  <si>
    <t>DIALLO</t>
  </si>
  <si>
    <t>KONE Mohamed</t>
  </si>
  <si>
    <t>Mohamed</t>
  </si>
  <si>
    <t>DOUE Guela</t>
  </si>
  <si>
    <t>Guela Maho-Lewis</t>
  </si>
  <si>
    <t>G. DOUE</t>
  </si>
  <si>
    <t>DOUE</t>
  </si>
  <si>
    <t>SANGARE Ibrahim</t>
  </si>
  <si>
    <t>SANGARE</t>
  </si>
  <si>
    <t>Nottingham Forest FC (ENG)</t>
  </si>
  <si>
    <t>PEPE Nicolas</t>
  </si>
  <si>
    <t>PEPE</t>
  </si>
  <si>
    <t>AGBADOU Emmanuel</t>
  </si>
  <si>
    <t>Badobre Emmanuel Elysee Djedje</t>
  </si>
  <si>
    <t>AGBADOU</t>
  </si>
  <si>
    <t>Beşiktaş JK (TUR)</t>
  </si>
  <si>
    <t>NDICKA Evan</t>
  </si>
  <si>
    <t>Obite Evan</t>
  </si>
  <si>
    <t>NDICKA</t>
  </si>
  <si>
    <t>AS Roma (ITA)</t>
  </si>
  <si>
    <t>GUESSAND Evann</t>
  </si>
  <si>
    <t>Evann Ludovic Vidjannagni</t>
  </si>
  <si>
    <t>GUESSAND</t>
  </si>
  <si>
    <t>LAFONT Alban</t>
  </si>
  <si>
    <t>Alban-Marc</t>
  </si>
  <si>
    <t>LAFONT</t>
  </si>
  <si>
    <t>Panathinaikos FC (GRE)</t>
  </si>
  <si>
    <t>TOURE Bazoumana</t>
  </si>
  <si>
    <t>Bazoumana</t>
  </si>
  <si>
    <t>GUIAGON Parfait</t>
  </si>
  <si>
    <t>Parfait</t>
  </si>
  <si>
    <t>GUIAGON</t>
  </si>
  <si>
    <t>OULAI Christ Inao</t>
  </si>
  <si>
    <t>Christ Ravynel Inao</t>
  </si>
  <si>
    <t>INAO</t>
  </si>
  <si>
    <t>OULAI</t>
  </si>
  <si>
    <t>LIVAKOVIC Dominik</t>
  </si>
  <si>
    <t>Dominik</t>
  </si>
  <si>
    <t>LIVAKOVIĆ</t>
  </si>
  <si>
    <t>GNK Dinamo Zagreb (CRO)</t>
  </si>
  <si>
    <t>STANISIC Josip</t>
  </si>
  <si>
    <t>Josip</t>
  </si>
  <si>
    <t>STANIŠIĆ</t>
  </si>
  <si>
    <t>PONGRACIC Marin</t>
  </si>
  <si>
    <t>Marin</t>
  </si>
  <si>
    <t>PONGRAČIĆ</t>
  </si>
  <si>
    <t>ACF Fiorentina (ITA)</t>
  </si>
  <si>
    <t>GVARDIOL Josko</t>
  </si>
  <si>
    <t>Joško</t>
  </si>
  <si>
    <t>GVARDIOL</t>
  </si>
  <si>
    <t>CALETA-CAR Duje</t>
  </si>
  <si>
    <t>Duje</t>
  </si>
  <si>
    <t>ĆALETA-CAR</t>
  </si>
  <si>
    <t>Real Sociedad (ESP)</t>
  </si>
  <si>
    <t>SUTALO Josip</t>
  </si>
  <si>
    <t>ŠUTALO</t>
  </si>
  <si>
    <t>AFC Ajax (NED)</t>
  </si>
  <si>
    <t>MORO Nikola</t>
  </si>
  <si>
    <t>MORO</t>
  </si>
  <si>
    <t>KOVACIC Mateo</t>
  </si>
  <si>
    <t>Mateo</t>
  </si>
  <si>
    <t>KOVAČIĆ</t>
  </si>
  <si>
    <t>KRAMARIC Andrej</t>
  </si>
  <si>
    <t>Andrej</t>
  </si>
  <si>
    <t>KRAMARIĆ</t>
  </si>
  <si>
    <t>MODRIC Luka</t>
  </si>
  <si>
    <t>Luka</t>
  </si>
  <si>
    <t>MODRIĆ</t>
  </si>
  <si>
    <t>BUDIMIR Ante</t>
  </si>
  <si>
    <t>Ante</t>
  </si>
  <si>
    <t>BUDIMIR</t>
  </si>
  <si>
    <t>CA Osasuna (ESP)</t>
  </si>
  <si>
    <t>PANDUR Ivor</t>
  </si>
  <si>
    <t>Ivor</t>
  </si>
  <si>
    <t>PANDUR</t>
  </si>
  <si>
    <t>VLASIC Nikola</t>
  </si>
  <si>
    <t>VLAŠIĆ</t>
  </si>
  <si>
    <t>Torino FC (ITA)</t>
  </si>
  <si>
    <t>PERISIC Ivan</t>
  </si>
  <si>
    <t>PERIŠIĆ</t>
  </si>
  <si>
    <t>PASALIC Mario</t>
  </si>
  <si>
    <t>Mario</t>
  </si>
  <si>
    <t>PAŠALIĆ</t>
  </si>
  <si>
    <t>BATURINA Martin</t>
  </si>
  <si>
    <t>BATURINA</t>
  </si>
  <si>
    <t>SUCIC Petar</t>
  </si>
  <si>
    <t>Petar</t>
  </si>
  <si>
    <t>P. SUČIĆ</t>
  </si>
  <si>
    <t>SUČIĆ</t>
  </si>
  <si>
    <t>JAKIC Kristijan</t>
  </si>
  <si>
    <t>Kristijan</t>
  </si>
  <si>
    <t>JAKIĆ</t>
  </si>
  <si>
    <t>FRUK Toni</t>
  </si>
  <si>
    <t>Toni</t>
  </si>
  <si>
    <t>FRUK</t>
  </si>
  <si>
    <t>MATANOVIC Igor</t>
  </si>
  <si>
    <t>Igor</t>
  </si>
  <si>
    <t>MATANOVIĆ</t>
  </si>
  <si>
    <t>SUCIC Luka</t>
  </si>
  <si>
    <t>VUSKOVIC Luka</t>
  </si>
  <si>
    <t>VUŠKOVIĆ</t>
  </si>
  <si>
    <t>Hamburger SV (GER)</t>
  </si>
  <si>
    <t>KOTARSKI Dominik</t>
  </si>
  <si>
    <t>KOTARSKI</t>
  </si>
  <si>
    <t>FC København (DEN)</t>
  </si>
  <si>
    <t>PASALIC Marco</t>
  </si>
  <si>
    <t>M. PAŠALIĆ</t>
  </si>
  <si>
    <t>ERLIC Martin</t>
  </si>
  <si>
    <t>ERLIĆ</t>
  </si>
  <si>
    <t>FC Midtjylland (DEN)</t>
  </si>
  <si>
    <t>MUSA Petar</t>
  </si>
  <si>
    <t>MUSA</t>
  </si>
  <si>
    <t>FC Dallas (USA)</t>
  </si>
  <si>
    <t>ROOM Eloy</t>
  </si>
  <si>
    <t>Eloy Victor</t>
  </si>
  <si>
    <t>ROOM</t>
  </si>
  <si>
    <t>Miami FC (USA)</t>
  </si>
  <si>
    <t>SAMBO Shurandy</t>
  </si>
  <si>
    <t>Shurandy Ruggerio</t>
  </si>
  <si>
    <t>SAMBO</t>
  </si>
  <si>
    <t>Sparta Rotterdam (NED)</t>
  </si>
  <si>
    <t>GAARI Jurien</t>
  </si>
  <si>
    <t>Juriën Godfried Juan</t>
  </si>
  <si>
    <t>GAARI</t>
  </si>
  <si>
    <t>Abha Club (KSA)</t>
  </si>
  <si>
    <t>VAN EIJMA Roshon</t>
  </si>
  <si>
    <t>Róshón Felix Romar Jordan</t>
  </si>
  <si>
    <t>VAN EIJMA</t>
  </si>
  <si>
    <t>RKC Waalwijk (NED)</t>
  </si>
  <si>
    <t>FLORANUS Sherel</t>
  </si>
  <si>
    <t>Sherel Constancio</t>
  </si>
  <si>
    <t>FLORANUS</t>
  </si>
  <si>
    <t>ROEMERATOE Godfried</t>
  </si>
  <si>
    <t>Godfried</t>
  </si>
  <si>
    <t>ROEMERATOE</t>
  </si>
  <si>
    <t>BACUNA Juninho</t>
  </si>
  <si>
    <t>Juninho Gracielo</t>
  </si>
  <si>
    <t>J. BACUNA</t>
  </si>
  <si>
    <t>FC Volendam (NED)</t>
  </si>
  <si>
    <t>BACUNA</t>
  </si>
  <si>
    <t>COMENENCIA Livano</t>
  </si>
  <si>
    <t>Livano Shyron Liomar</t>
  </si>
  <si>
    <t>COMENENCIA</t>
  </si>
  <si>
    <t>FC Zürich (SUI)</t>
  </si>
  <si>
    <t>LOCADIA Juergen</t>
  </si>
  <si>
    <t>Jürgen Leonardo</t>
  </si>
  <si>
    <t>LOCADIA</t>
  </si>
  <si>
    <t>BACUNA Leandro</t>
  </si>
  <si>
    <t>Leandro Jones Johan</t>
  </si>
  <si>
    <t>L. BACUNA</t>
  </si>
  <si>
    <t>ANTONISSE Jeremy</t>
  </si>
  <si>
    <t>Jeremy Cornelis Jacobus</t>
  </si>
  <si>
    <t>ANTONISSE</t>
  </si>
  <si>
    <t>AE Kisia FC (GRE)</t>
  </si>
  <si>
    <t>HANSEN Sontje</t>
  </si>
  <si>
    <t>Misjonne Juniffer Naigelino</t>
  </si>
  <si>
    <t>HANSEN</t>
  </si>
  <si>
    <t>NOSLIN Tyrese</t>
  </si>
  <si>
    <t>Tyrese Yurvencey</t>
  </si>
  <si>
    <t>NOSLIN</t>
  </si>
  <si>
    <t>SC Telstar (NED)</t>
  </si>
  <si>
    <t>GORRE Kenji</t>
  </si>
  <si>
    <t>Kenji Joël</t>
  </si>
  <si>
    <t>GORRÉ</t>
  </si>
  <si>
    <t>Maccabi Haifa FC (ISR)</t>
  </si>
  <si>
    <t>MARTHA Arjany</t>
  </si>
  <si>
    <t>Ar'jany Jainel Archenir</t>
  </si>
  <si>
    <t>MARTHA</t>
  </si>
  <si>
    <t>Rotherham United FC (ENG)</t>
  </si>
  <si>
    <t>MARGARITHA Jearl</t>
  </si>
  <si>
    <t>Jearl Erwin</t>
  </si>
  <si>
    <t>MARGARITHA</t>
  </si>
  <si>
    <t>SK Beveren (BEL)</t>
  </si>
  <si>
    <t>KUWAS Brandley</t>
  </si>
  <si>
    <t>Brandley Mack-Olien</t>
  </si>
  <si>
    <t>KUWAS</t>
  </si>
  <si>
    <t>OBISPO Armando</t>
  </si>
  <si>
    <t>Armando Maria</t>
  </si>
  <si>
    <t>OBISPO</t>
  </si>
  <si>
    <t>KASTANEER Gervane</t>
  </si>
  <si>
    <t>Gervane Zjandric Adonnis</t>
  </si>
  <si>
    <t>KASTANEER</t>
  </si>
  <si>
    <t>Terengganu FC (MAS)</t>
  </si>
  <si>
    <t>BRENET Joshua</t>
  </si>
  <si>
    <t>Joshua Benjamin</t>
  </si>
  <si>
    <t>BRENET</t>
  </si>
  <si>
    <t>Kayserispor (TUR)</t>
  </si>
  <si>
    <t>CHONG Tahith</t>
  </si>
  <si>
    <t>Tahith Jose Girigorio Djorkaef</t>
  </si>
  <si>
    <t>CHONG</t>
  </si>
  <si>
    <t>She eld United FC (ENG)</t>
  </si>
  <si>
    <t>FELIDA Kevin</t>
  </si>
  <si>
    <t>Kevin Antonio</t>
  </si>
  <si>
    <t>FELIDA</t>
  </si>
  <si>
    <t>FC Den Bosch (NED)</t>
  </si>
  <si>
    <t>BAZOER Riechedly</t>
  </si>
  <si>
    <t>Riechedly Guillermo</t>
  </si>
  <si>
    <t>BAZOER</t>
  </si>
  <si>
    <t>Konyaspor (TUR)</t>
  </si>
  <si>
    <t>FONVILLE Deveron</t>
  </si>
  <si>
    <t>Deveron Lenny</t>
  </si>
  <si>
    <t>FONVILLE</t>
  </si>
  <si>
    <t>NEC Nijmegen (NED)</t>
  </si>
  <si>
    <t>BODAK Tyrick</t>
  </si>
  <si>
    <t>Tyrick Jeremy</t>
  </si>
  <si>
    <t>BODAK</t>
  </si>
  <si>
    <t>DOORNBUSCH Trevor</t>
  </si>
  <si>
    <t>Trevor Irving</t>
  </si>
  <si>
    <t>DOORNBUSCH</t>
  </si>
  <si>
    <t>VVV Venlo (NED)</t>
  </si>
  <si>
    <t>KOVAR Matej</t>
  </si>
  <si>
    <t>Matěj</t>
  </si>
  <si>
    <t>KOVÁŘ</t>
  </si>
  <si>
    <t>ZIMA David</t>
  </si>
  <si>
    <t>ZIMA</t>
  </si>
  <si>
    <t>SK Slavia Praha (CZE)</t>
  </si>
  <si>
    <t>HOLES Tomas</t>
  </si>
  <si>
    <t>Tomáš</t>
  </si>
  <si>
    <t>HOLEŠ</t>
  </si>
  <si>
    <t>HRANAC Robin</t>
  </si>
  <si>
    <t>Robin</t>
  </si>
  <si>
    <t>HRANÁČ</t>
  </si>
  <si>
    <t>COUFAL Vladimir</t>
  </si>
  <si>
    <t>Vladimír</t>
  </si>
  <si>
    <t>COUFAL</t>
  </si>
  <si>
    <t>CHALOUPEK Stepan</t>
  </si>
  <si>
    <t>Štěpán</t>
  </si>
  <si>
    <t>CHALOUPEK</t>
  </si>
  <si>
    <t>KREJCI Ladislav</t>
  </si>
  <si>
    <t>Ladislav</t>
  </si>
  <si>
    <t>KREJČÍ</t>
  </si>
  <si>
    <t>Wolverhampton Wanderers FC (ENG)</t>
  </si>
  <si>
    <t>DARIDA Vladimir</t>
  </si>
  <si>
    <t>DARIDA</t>
  </si>
  <si>
    <t>FC Hradec Králové (CZE)</t>
  </si>
  <si>
    <t>HLOZEK Adam</t>
  </si>
  <si>
    <t>Adam</t>
  </si>
  <si>
    <t>HLOŽEK</t>
  </si>
  <si>
    <t>SCHICK Patrik</t>
  </si>
  <si>
    <t>Patrik</t>
  </si>
  <si>
    <t>SCHICK</t>
  </si>
  <si>
    <t>KUCHTA Jan</t>
  </si>
  <si>
    <t>Jan</t>
  </si>
  <si>
    <t>KUCHTA</t>
  </si>
  <si>
    <t>AC Sparta Praha (CZE)</t>
  </si>
  <si>
    <t>CERV Lukas</t>
  </si>
  <si>
    <t>Lukáš</t>
  </si>
  <si>
    <t>ČERV</t>
  </si>
  <si>
    <t>CHYTIL Mojmir</t>
  </si>
  <si>
    <t>Mojmír</t>
  </si>
  <si>
    <t>CHYTIL</t>
  </si>
  <si>
    <t>JURASEK David</t>
  </si>
  <si>
    <t>JURÁSEK</t>
  </si>
  <si>
    <t>SULC Pavel</t>
  </si>
  <si>
    <t>Pavel</t>
  </si>
  <si>
    <t>ŠULC</t>
  </si>
  <si>
    <t>STANEK Jindrich</t>
  </si>
  <si>
    <t>Jindřich</t>
  </si>
  <si>
    <t>STANĚK</t>
  </si>
  <si>
    <t>PROVOD Lukas</t>
  </si>
  <si>
    <t>PROVOD</t>
  </si>
  <si>
    <t>SADILEK Michal</t>
  </si>
  <si>
    <t>Michal</t>
  </si>
  <si>
    <t>SADÍLEK</t>
  </si>
  <si>
    <t>CHORY Tomas</t>
  </si>
  <si>
    <t>CHORÝ</t>
  </si>
  <si>
    <t>ZELENY Jaroslav</t>
  </si>
  <si>
    <t>Jaroslav</t>
  </si>
  <si>
    <t>ZELENÝ</t>
  </si>
  <si>
    <t>DOUDERA David</t>
  </si>
  <si>
    <t>DOUDĚRA</t>
  </si>
  <si>
    <t>SOUCEK Tomas</t>
  </si>
  <si>
    <t>SOUČEK</t>
  </si>
  <si>
    <t>HORNICEK Lukas</t>
  </si>
  <si>
    <t>HORNÍČEK</t>
  </si>
  <si>
    <t>SOJKA Alexandr</t>
  </si>
  <si>
    <t>Alexandr</t>
  </si>
  <si>
    <t>SOJKA</t>
  </si>
  <si>
    <t>SOCHUREK Hugo</t>
  </si>
  <si>
    <t>Hugo</t>
  </si>
  <si>
    <t>SOCHŮREK</t>
  </si>
  <si>
    <t>VISINSKY Denis</t>
  </si>
  <si>
    <t>Denis</t>
  </si>
  <si>
    <t>VIŠINSKÝ</t>
  </si>
  <si>
    <t>GALINDEZ Hernan</t>
  </si>
  <si>
    <t>Hernán Ismael</t>
  </si>
  <si>
    <t>GALINDEZ</t>
  </si>
  <si>
    <t>CA Huracán (ARG)</t>
  </si>
  <si>
    <t>GALÍNDEZ</t>
  </si>
  <si>
    <t>TORRES Felix</t>
  </si>
  <si>
    <t>Félix Eduardo</t>
  </si>
  <si>
    <t>TORRES</t>
  </si>
  <si>
    <t>SC Internacional (BRA)</t>
  </si>
  <si>
    <t>TORRES CAICEDO</t>
  </si>
  <si>
    <t>HINCAPIE Piero</t>
  </si>
  <si>
    <t>Piero Martin</t>
  </si>
  <si>
    <t>HINCAPIE</t>
  </si>
  <si>
    <t>HINCAPIÉ REYNA</t>
  </si>
  <si>
    <t>ORDONEZ Joel</t>
  </si>
  <si>
    <t>Joel Leandro</t>
  </si>
  <si>
    <t>ORDÓÑEZ</t>
  </si>
  <si>
    <t>ORDÓÑEZ GUERRERO</t>
  </si>
  <si>
    <t>ALCIVAR Jordy</t>
  </si>
  <si>
    <t>Jordy Jose</t>
  </si>
  <si>
    <t>ALCIVAR</t>
  </si>
  <si>
    <t>Independiente Del Valle (ECU)</t>
  </si>
  <si>
    <t>ALCÍVAR MACÍAS</t>
  </si>
  <si>
    <t>PACHO Willian</t>
  </si>
  <si>
    <t>Willian Joel</t>
  </si>
  <si>
    <t>PACHO</t>
  </si>
  <si>
    <t>PACHO TENORIO</t>
  </si>
  <si>
    <t>ESTUPINAN Pervis</t>
  </si>
  <si>
    <t>Pervis Josue</t>
  </si>
  <si>
    <t>ESTUPIÑÁN</t>
  </si>
  <si>
    <t>ESTUPIÑÁN TENORIO</t>
  </si>
  <si>
    <t>VALENCIA Anthony</t>
  </si>
  <si>
    <t>Anthony Lenin</t>
  </si>
  <si>
    <t>A. VALENCIA</t>
  </si>
  <si>
    <t>Royal Antwerp FC (BEL)</t>
  </si>
  <si>
    <t>VALENCIA BAJAÑA</t>
  </si>
  <si>
    <t>YEBOAH John</t>
  </si>
  <si>
    <t>John</t>
  </si>
  <si>
    <t>YEBOAH ZAMORA</t>
  </si>
  <si>
    <t>PAEZ Kendry</t>
  </si>
  <si>
    <t>Ray Kendry</t>
  </si>
  <si>
    <t>KENDRY</t>
  </si>
  <si>
    <t>PAEZ ANDRADE</t>
  </si>
  <si>
    <t>RODRIGUEZ Kevin</t>
  </si>
  <si>
    <t>Kevin Jose</t>
  </si>
  <si>
    <t>RODRIGUEZ</t>
  </si>
  <si>
    <t>RODRÍGUEZ CORTEZ</t>
  </si>
  <si>
    <t>RAMIREZ Moises</t>
  </si>
  <si>
    <t>Wellington Moisés</t>
  </si>
  <si>
    <t>RAMÍREZ</t>
  </si>
  <si>
    <t>RAMÍREZ PRECIADO</t>
  </si>
  <si>
    <t>VALENCIA Enner</t>
  </si>
  <si>
    <t>Enner Remberto</t>
  </si>
  <si>
    <t>E. VALENCIA</t>
  </si>
  <si>
    <t>CF Pachuca (MEX)</t>
  </si>
  <si>
    <t>VALENCIA LASTRA</t>
  </si>
  <si>
    <t>MINDA Alan</t>
  </si>
  <si>
    <t>Alan Steve</t>
  </si>
  <si>
    <t>MINDA</t>
  </si>
  <si>
    <t>Atlético Mineiro (BRA)</t>
  </si>
  <si>
    <t>MINDA GARCIA</t>
  </si>
  <si>
    <t>VITE Pedro</t>
  </si>
  <si>
    <t>Pedro Jeampierre</t>
  </si>
  <si>
    <t>VITE</t>
  </si>
  <si>
    <t>Pumas UNAM (MEX)</t>
  </si>
  <si>
    <t>VITE UCA</t>
  </si>
  <si>
    <t>CAICEDO Jordy</t>
  </si>
  <si>
    <t>Jordy Josue</t>
  </si>
  <si>
    <t>J. CAICEDO</t>
  </si>
  <si>
    <t>CAICEDO MEDINA</t>
  </si>
  <si>
    <t>PRECIADO Angelo</t>
  </si>
  <si>
    <t>Ángelo Smit</t>
  </si>
  <si>
    <t>PRECIADO</t>
  </si>
  <si>
    <t>PRECIADO QUIÑONEZ</t>
  </si>
  <si>
    <t>CASTILLO Denil</t>
  </si>
  <si>
    <t>Denil Daniel</t>
  </si>
  <si>
    <t>CASTILLO</t>
  </si>
  <si>
    <t>CASTILLO PRECIADO</t>
  </si>
  <si>
    <t>PLATA Gonzalo</t>
  </si>
  <si>
    <t>Gonzalo Jordy</t>
  </si>
  <si>
    <t>PLATA</t>
  </si>
  <si>
    <t>PLATA JIMENEZ</t>
  </si>
  <si>
    <t>ANGULO Nilson</t>
  </si>
  <si>
    <t>Nilson David</t>
  </si>
  <si>
    <t>ANGULO</t>
  </si>
  <si>
    <t>ANGULO RAMIREZ</t>
  </si>
  <si>
    <t>FRANCO Alan</t>
  </si>
  <si>
    <t>Alan Steven</t>
  </si>
  <si>
    <t>FRANCO</t>
  </si>
  <si>
    <t>FRANCO PALMA</t>
  </si>
  <si>
    <t>VALLE Gonzalo</t>
  </si>
  <si>
    <t>Gonzalo Roberto</t>
  </si>
  <si>
    <t>VALLE</t>
  </si>
  <si>
    <t>LDU Quito (ECU)</t>
  </si>
  <si>
    <t>VALLE BUSTAMANTE</t>
  </si>
  <si>
    <t>CAICEDO Moises</t>
  </si>
  <si>
    <t>Moisés Isaac</t>
  </si>
  <si>
    <t>M. CAICEDO</t>
  </si>
  <si>
    <t>CAICEDO COROZO</t>
  </si>
  <si>
    <t>AREVALO Jeremy</t>
  </si>
  <si>
    <t>Jeremy Alberto</t>
  </si>
  <si>
    <t>AREVALO</t>
  </si>
  <si>
    <t>AREVALO MERA</t>
  </si>
  <si>
    <t>POROZO Jackson</t>
  </si>
  <si>
    <t>Jackson Gabriel</t>
  </si>
  <si>
    <t>POROZO</t>
  </si>
  <si>
    <t>Club Tijuana (MEX)</t>
  </si>
  <si>
    <t>POROZO VERNAZA</t>
  </si>
  <si>
    <t>MEDINA Yaimar</t>
  </si>
  <si>
    <t>Yaimar Abel</t>
  </si>
  <si>
    <t>MEDINA ORTIZ</t>
  </si>
  <si>
    <t>MOHAMED ELSHENAWY</t>
  </si>
  <si>
    <t>Mohamed Elsayed Mohamed</t>
  </si>
  <si>
    <t>M. ELSHENAWY</t>
  </si>
  <si>
    <t>Al Ahly FC (EGY)</t>
  </si>
  <si>
    <t>ELSHENAWY GOMAA</t>
  </si>
  <si>
    <t>YASSER IBRAHIM</t>
  </si>
  <si>
    <t>Yasser Ahmed Ibrahim</t>
  </si>
  <si>
    <t>YASSER</t>
  </si>
  <si>
    <t>ELHANAFY</t>
  </si>
  <si>
    <t>MOHAMED HANY</t>
  </si>
  <si>
    <t>Mohamed Hany Gamal</t>
  </si>
  <si>
    <t>M. HANY</t>
  </si>
  <si>
    <t>ELDEMERDASH</t>
  </si>
  <si>
    <t>HOSSAM ABDELMAGUID</t>
  </si>
  <si>
    <t>Hossam Abdelmegeed Abdelsalam</t>
  </si>
  <si>
    <t>HOSSAM</t>
  </si>
  <si>
    <t>Zamalek SC (EGY)</t>
  </si>
  <si>
    <t>ABDELMEGEED</t>
  </si>
  <si>
    <t>RAMY RABIA</t>
  </si>
  <si>
    <t>Ramy Hisham Abdelaziz Moustafa</t>
  </si>
  <si>
    <t>R. RABIA</t>
  </si>
  <si>
    <t>Al Ain FC (UAE)</t>
  </si>
  <si>
    <t>RABIA</t>
  </si>
  <si>
    <t>MOHAMED ABDELMONEIM</t>
  </si>
  <si>
    <t>Mohamed Abdelmoneim Elsayed M</t>
  </si>
  <si>
    <t>M. ABDELMONIEM</t>
  </si>
  <si>
    <t>TREZEGUET</t>
  </si>
  <si>
    <t>Mahmoud Ahmed Ibrahim</t>
  </si>
  <si>
    <t>M. TREZEGUET</t>
  </si>
  <si>
    <t>HASSAN</t>
  </si>
  <si>
    <t>EMAM ASHOUR</t>
  </si>
  <si>
    <t>Emam Ashour Metwaly</t>
  </si>
  <si>
    <t>E. ASHOUR</t>
  </si>
  <si>
    <t>ABDELGHANY</t>
  </si>
  <si>
    <t>HAMZA ABDELKARIM</t>
  </si>
  <si>
    <t>Hamza Mohamed Abdelkarim E</t>
  </si>
  <si>
    <t>ABDELKARIM</t>
  </si>
  <si>
    <t>SELIM</t>
  </si>
  <si>
    <t>MOHAMED SALAH</t>
  </si>
  <si>
    <t>Mohamed Salah Hamed Mahrous</t>
  </si>
  <si>
    <t>M. SALAH</t>
  </si>
  <si>
    <t>GHALY</t>
  </si>
  <si>
    <t>MOSTAFA ZICO</t>
  </si>
  <si>
    <t>Mostafa Mohamed Zaky</t>
  </si>
  <si>
    <t>ZICO</t>
  </si>
  <si>
    <t>ABDELRAOUF</t>
  </si>
  <si>
    <t>HAISSEM HASSAN</t>
  </si>
  <si>
    <t>Haissem Yousry Fouad A</t>
  </si>
  <si>
    <t>H. HASSAN</t>
  </si>
  <si>
    <t>Real Oviedo (ESP)</t>
  </si>
  <si>
    <t>AHMED FATOUH</t>
  </si>
  <si>
    <t>Ahmed Mohamed Aboelfetouh</t>
  </si>
  <si>
    <t>A. FATOUH</t>
  </si>
  <si>
    <t>MOHAMED</t>
  </si>
  <si>
    <t>HAMDY FATHY</t>
  </si>
  <si>
    <t>Hamdy Fathy Abdelhalim</t>
  </si>
  <si>
    <t>H. FATHY</t>
  </si>
  <si>
    <t>Al Wakrah SC (QAT)</t>
  </si>
  <si>
    <t>ABDELFATTAH</t>
  </si>
  <si>
    <t>KARIM HAFEZ</t>
  </si>
  <si>
    <t>Karim Hafez Ramadan</t>
  </si>
  <si>
    <t>K. HAFEZ</t>
  </si>
  <si>
    <t>SEIFELDIN</t>
  </si>
  <si>
    <t>MAHDY SOLIMAN</t>
  </si>
  <si>
    <t>Mahdy Mohamed Soliman</t>
  </si>
  <si>
    <t>M. SOLIMAN</t>
  </si>
  <si>
    <t>IBRAHIM</t>
  </si>
  <si>
    <t>MOHANAD LASHIN</t>
  </si>
  <si>
    <t>Mohanad Mostafa Ahmed A</t>
  </si>
  <si>
    <t>M. LASHIN</t>
  </si>
  <si>
    <t>LASHIN</t>
  </si>
  <si>
    <t>NABIL DONGA</t>
  </si>
  <si>
    <t>Nabil Emad Aly Elmahdy</t>
  </si>
  <si>
    <t>DONGA</t>
  </si>
  <si>
    <t>Al Najmah SC (KSA)</t>
  </si>
  <si>
    <t>ALY</t>
  </si>
  <si>
    <t>MARAWAN ATTIA</t>
  </si>
  <si>
    <t>Marawan Attia Fahim</t>
  </si>
  <si>
    <t>M. ATTIA</t>
  </si>
  <si>
    <t>GHALLAB</t>
  </si>
  <si>
    <t>IBRAHIM ADEL</t>
  </si>
  <si>
    <t>Ibrahim Adel Aly Mohamed</t>
  </si>
  <si>
    <t>I. ADEL</t>
  </si>
  <si>
    <t>FC Nordsjælland (DEN)</t>
  </si>
  <si>
    <t>MAHMOUD SABER</t>
  </si>
  <si>
    <t>Mahmoud Saber Abdelmohsen H</t>
  </si>
  <si>
    <t>M. SABER</t>
  </si>
  <si>
    <t>ZED FC (EGY)</t>
  </si>
  <si>
    <t>ABDELMOHSEN</t>
  </si>
  <si>
    <t>OMAR MARMOUSH</t>
  </si>
  <si>
    <t>Omar Khaled Mohamed Abdelsalam</t>
  </si>
  <si>
    <t>MARMOUSH</t>
  </si>
  <si>
    <t>MOSTAFA SHOUBIR</t>
  </si>
  <si>
    <t>Mostafa Ahmed Abdelaziz Mohame</t>
  </si>
  <si>
    <t>SHOUBIR</t>
  </si>
  <si>
    <t>TAREK ALAA</t>
  </si>
  <si>
    <t>Tarek Alaa Abdelghaffar Abdel</t>
  </si>
  <si>
    <t>T. ALAA</t>
  </si>
  <si>
    <t>ELGEBALY</t>
  </si>
  <si>
    <t>ZIZO</t>
  </si>
  <si>
    <t>Ahmed Mostafa Mohamed</t>
  </si>
  <si>
    <t>SAYED</t>
  </si>
  <si>
    <t>MOHAMED ALAA</t>
  </si>
  <si>
    <t>Mohamed Alaaeldin Soliman M</t>
  </si>
  <si>
    <t>M. ALAA</t>
  </si>
  <si>
    <t>El Gouna FC (EGY)</t>
  </si>
  <si>
    <t>PICKFORD Jordan</t>
  </si>
  <si>
    <t>Jordan Lee</t>
  </si>
  <si>
    <t>PICKFORD</t>
  </si>
  <si>
    <t>Everton FC (ENG)</t>
  </si>
  <si>
    <t>KONSA Ezri</t>
  </si>
  <si>
    <t>Ezri Ngoyo</t>
  </si>
  <si>
    <t>KONSA</t>
  </si>
  <si>
    <t>OREILLY Nico</t>
  </si>
  <si>
    <t>Nico</t>
  </si>
  <si>
    <t>O'REILLY</t>
  </si>
  <si>
    <t>RICE Declan</t>
  </si>
  <si>
    <t>Declan</t>
  </si>
  <si>
    <t>RICE</t>
  </si>
  <si>
    <t>STONES John</t>
  </si>
  <si>
    <t>STONES</t>
  </si>
  <si>
    <t>GUEHI Marc</t>
  </si>
  <si>
    <t>Addji Keaninkin Marc-Isreal</t>
  </si>
  <si>
    <t>GUÉHI</t>
  </si>
  <si>
    <t>GUEHI</t>
  </si>
  <si>
    <t>SAKA Bukayo</t>
  </si>
  <si>
    <t>Bukayo Ayoyinka</t>
  </si>
  <si>
    <t>SAKA</t>
  </si>
  <si>
    <t>ANDERSON Elliot</t>
  </si>
  <si>
    <t>Elliot Junior</t>
  </si>
  <si>
    <t>ANDERSON</t>
  </si>
  <si>
    <t>KANE Harry</t>
  </si>
  <si>
    <t>Harry Edward</t>
  </si>
  <si>
    <t>KANE</t>
  </si>
  <si>
    <t>BELLINGHAM Jude</t>
  </si>
  <si>
    <t>Jude Victor William</t>
  </si>
  <si>
    <t>BELLINGHAM</t>
  </si>
  <si>
    <t>RASHFORD Marcus</t>
  </si>
  <si>
    <t>Marcus</t>
  </si>
  <si>
    <t>RASHFORD</t>
  </si>
  <si>
    <t>CHALOBAH Trevoh</t>
  </si>
  <si>
    <t>Trevoh Tom</t>
  </si>
  <si>
    <t>CHALOBAH</t>
  </si>
  <si>
    <t>HENDERSON Dean</t>
  </si>
  <si>
    <t>Dean Bradley</t>
  </si>
  <si>
    <t>D. HENDERSON</t>
  </si>
  <si>
    <t>HENDERSON</t>
  </si>
  <si>
    <t>HENDERSON Jordan</t>
  </si>
  <si>
    <t>Jordan Brian</t>
  </si>
  <si>
    <t>BURN Dan</t>
  </si>
  <si>
    <t>Daniel Johnson</t>
  </si>
  <si>
    <t>BURN</t>
  </si>
  <si>
    <t>MAINOO Kobbie</t>
  </si>
  <si>
    <t>Kobbie Boateng</t>
  </si>
  <si>
    <t>MAINOO</t>
  </si>
  <si>
    <t>ROGERS Morgan</t>
  </si>
  <si>
    <t>Morgan Elliot</t>
  </si>
  <si>
    <t>ROGERS</t>
  </si>
  <si>
    <t>GORDON Anthony</t>
  </si>
  <si>
    <t>Anthony Michael</t>
  </si>
  <si>
    <t>GORDON</t>
  </si>
  <si>
    <t>WATKINS Ollie</t>
  </si>
  <si>
    <t>Oliver George Arthur</t>
  </si>
  <si>
    <t>WATKINS</t>
  </si>
  <si>
    <t>MADUEKE Noni</t>
  </si>
  <si>
    <t>Chukwunonso Azuka Tristan</t>
  </si>
  <si>
    <t>MADUEKE</t>
  </si>
  <si>
    <t>EZE Eberechi</t>
  </si>
  <si>
    <t>Eberechi Oluchi</t>
  </si>
  <si>
    <t>EZE</t>
  </si>
  <si>
    <t>TONEY Ivan</t>
  </si>
  <si>
    <t>Ivan Benjamin Elijah</t>
  </si>
  <si>
    <t>TONEY</t>
  </si>
  <si>
    <t>TRAFFORD James</t>
  </si>
  <si>
    <t>James Harrington</t>
  </si>
  <si>
    <t>TRAFFORD</t>
  </si>
  <si>
    <t>JAMES Reece</t>
  </si>
  <si>
    <t>Reece Lewis</t>
  </si>
  <si>
    <t>SPENCE Djed</t>
  </si>
  <si>
    <t>Diop Tehuti Djed-Hotep</t>
  </si>
  <si>
    <t>SPENCE</t>
  </si>
  <si>
    <t>QUANSAH Jarell</t>
  </si>
  <si>
    <t>Jarell Amorin</t>
  </si>
  <si>
    <t>QUANSAH</t>
  </si>
  <si>
    <t>SAMBA Brice</t>
  </si>
  <si>
    <t>Brice Lauriche</t>
  </si>
  <si>
    <t>SAMBA</t>
  </si>
  <si>
    <t>Stade Rennais FC (FRA)</t>
  </si>
  <si>
    <t>GUSTO Malo</t>
  </si>
  <si>
    <t>Malo Arthur</t>
  </si>
  <si>
    <t>GUSTO</t>
  </si>
  <si>
    <t>DIGNE Lucas</t>
  </si>
  <si>
    <t>DIGNE</t>
  </si>
  <si>
    <t>UPAMECANO Dayot</t>
  </si>
  <si>
    <t>Dayotchanculle Oswald</t>
  </si>
  <si>
    <t>UPAMECANO</t>
  </si>
  <si>
    <t>KOUNDE Jules</t>
  </si>
  <si>
    <t>Jules Olivier</t>
  </si>
  <si>
    <t>KOUNDE</t>
  </si>
  <si>
    <t>KONE Manu</t>
  </si>
  <si>
    <t>Kouadio Emmanuel Boris</t>
  </si>
  <si>
    <t>DEMBELE Ousmane</t>
  </si>
  <si>
    <t>Masour Ousmane</t>
  </si>
  <si>
    <t>DEMBELE</t>
  </si>
  <si>
    <t>TCHOUAMENI Aurelien</t>
  </si>
  <si>
    <t>Aurélien Djani</t>
  </si>
  <si>
    <t>TCHOUAMENI</t>
  </si>
  <si>
    <t>THURAM Marcus</t>
  </si>
  <si>
    <t>Marcus Lilian</t>
  </si>
  <si>
    <t>THURAM</t>
  </si>
  <si>
    <t>THURAM-ULIEN</t>
  </si>
  <si>
    <t>MBAPPE Kylian</t>
  </si>
  <si>
    <t>Kylian</t>
  </si>
  <si>
    <t>MBAPPE</t>
  </si>
  <si>
    <t>MBAPPE LOTTIN</t>
  </si>
  <si>
    <t>OLISE Michael</t>
  </si>
  <si>
    <t>Michael Akpovie</t>
  </si>
  <si>
    <t>OLISE</t>
  </si>
  <si>
    <t>BARCOLA Bradley</t>
  </si>
  <si>
    <t>Bradley Jean-Manuel Essolisa A</t>
  </si>
  <si>
    <t>BARCOLA</t>
  </si>
  <si>
    <t>KANTE Ngolo</t>
  </si>
  <si>
    <t>N'golo</t>
  </si>
  <si>
    <t>KANTE</t>
  </si>
  <si>
    <t>RABIOT Adrien</t>
  </si>
  <si>
    <t>Adrien Thibault Marie</t>
  </si>
  <si>
    <t>RABIOT</t>
  </si>
  <si>
    <t>KONATE Ibrahima</t>
  </si>
  <si>
    <t>Ibrahima</t>
  </si>
  <si>
    <t>KONATE</t>
  </si>
  <si>
    <t>KONATÉ</t>
  </si>
  <si>
    <t>MAIGNAN Mike</t>
  </si>
  <si>
    <t>Mike Peterson</t>
  </si>
  <si>
    <t>MAIGNAN</t>
  </si>
  <si>
    <t>SALIBA William</t>
  </si>
  <si>
    <t>William Alain André Gabriel</t>
  </si>
  <si>
    <t>ZAIRE-EMERY Warren</t>
  </si>
  <si>
    <t>Warren Marie Jean-Pierre</t>
  </si>
  <si>
    <t>ZAIRE-EMERY</t>
  </si>
  <si>
    <t>ZAÏRE-EMERY</t>
  </si>
  <si>
    <t>HERNANDEZ Theo</t>
  </si>
  <si>
    <t>Théo Bernard François</t>
  </si>
  <si>
    <t>T. HERNANDEZ</t>
  </si>
  <si>
    <t>Al Hilal SC (KSA)</t>
  </si>
  <si>
    <t>HERNANDEZ</t>
  </si>
  <si>
    <t>DOUE Desire</t>
  </si>
  <si>
    <t>Désiré Nonka-Maho</t>
  </si>
  <si>
    <t>HERNANDEZ Lucas</t>
  </si>
  <si>
    <t>Lucas Francois Bernard</t>
  </si>
  <si>
    <t>L. HERNANDEZ</t>
  </si>
  <si>
    <t>MATETA Jean-Philippe</t>
  </si>
  <si>
    <t>Jean-Philippe</t>
  </si>
  <si>
    <t>MATETA</t>
  </si>
  <si>
    <t>RISSER Robin</t>
  </si>
  <si>
    <t>Robin François Philippe</t>
  </si>
  <si>
    <t>RISSER</t>
  </si>
  <si>
    <t>CHERKI Rayan</t>
  </si>
  <si>
    <t>Mathis Rayan</t>
  </si>
  <si>
    <t>CHERKI</t>
  </si>
  <si>
    <t>AKLIOUCHE Maghnes</t>
  </si>
  <si>
    <t>Maghnes</t>
  </si>
  <si>
    <t>AKLIOUCHE</t>
  </si>
  <si>
    <t>LACROIX Maxence</t>
  </si>
  <si>
    <t>Maxence Guy</t>
  </si>
  <si>
    <t>LACROIX</t>
  </si>
  <si>
    <t>NEUER Manuel</t>
  </si>
  <si>
    <t>Manuel Peter</t>
  </si>
  <si>
    <t>NEUER</t>
  </si>
  <si>
    <t>RUEDIGER Antonio</t>
  </si>
  <si>
    <t>Antonio</t>
  </si>
  <si>
    <t>RÜDIGER</t>
  </si>
  <si>
    <t>ANTON Waldemar</t>
  </si>
  <si>
    <t>Waldemar</t>
  </si>
  <si>
    <t>ANTON</t>
  </si>
  <si>
    <t>TAH Jonathan</t>
  </si>
  <si>
    <t>Jonathan Glao</t>
  </si>
  <si>
    <t>TAH</t>
  </si>
  <si>
    <t>PAVLOVIC Aleksandar</t>
  </si>
  <si>
    <t>Aleksandar</t>
  </si>
  <si>
    <t>PAVLOVIĆ</t>
  </si>
  <si>
    <t>KIMMICH Joshua</t>
  </si>
  <si>
    <t>Joshua Walter</t>
  </si>
  <si>
    <t>KIMMICH</t>
  </si>
  <si>
    <t>HAVERTZ Kai</t>
  </si>
  <si>
    <t>Kai Lukas</t>
  </si>
  <si>
    <t>HAVERTZ</t>
  </si>
  <si>
    <t>GORETZKA Leon</t>
  </si>
  <si>
    <t>Leon Christoph</t>
  </si>
  <si>
    <t>GORETZKA</t>
  </si>
  <si>
    <t>LEWELING Jamie</t>
  </si>
  <si>
    <t>Jamie Jaleel Jeremy</t>
  </si>
  <si>
    <t>LEWELING</t>
  </si>
  <si>
    <t>MUSIALA Jamal</t>
  </si>
  <si>
    <t>Jamal</t>
  </si>
  <si>
    <t>MUSIALA</t>
  </si>
  <si>
    <t>WOLTEMADE Nick</t>
  </si>
  <si>
    <t>Nick</t>
  </si>
  <si>
    <t>WOLTEMADE</t>
  </si>
  <si>
    <t>BAUMANN Oliver</t>
  </si>
  <si>
    <t>Oliver</t>
  </si>
  <si>
    <t>BAUMANN</t>
  </si>
  <si>
    <t>GROSS Pascal</t>
  </si>
  <si>
    <t>Pascal Alexander</t>
  </si>
  <si>
    <t>GROß</t>
  </si>
  <si>
    <t>BEIER Maximilian</t>
  </si>
  <si>
    <t>Maximilian</t>
  </si>
  <si>
    <t>BEIER</t>
  </si>
  <si>
    <t>SCHLOTTERBECK Nico</t>
  </si>
  <si>
    <t>Nico Cédric</t>
  </si>
  <si>
    <t>SCHLOTTERBECK</t>
  </si>
  <si>
    <t>STILLER Angelo</t>
  </si>
  <si>
    <t>Angelo Nicolas</t>
  </si>
  <si>
    <t>STILLER</t>
  </si>
  <si>
    <t>WIRTZ Florian</t>
  </si>
  <si>
    <t>Florian Richard</t>
  </si>
  <si>
    <t>WIRTZ</t>
  </si>
  <si>
    <t>BROWN Nathaniel</t>
  </si>
  <si>
    <t>Nathaniel Christopher</t>
  </si>
  <si>
    <t>BROWN</t>
  </si>
  <si>
    <t>SANE Leroy</t>
  </si>
  <si>
    <t>Leroy Aziz</t>
  </si>
  <si>
    <t>SANÉ</t>
  </si>
  <si>
    <t>AMIRI Nadiem</t>
  </si>
  <si>
    <t>Nadiem</t>
  </si>
  <si>
    <t>AMIRI</t>
  </si>
  <si>
    <t>NUEBEL Alexander</t>
  </si>
  <si>
    <t>NÜBEL</t>
  </si>
  <si>
    <t>RAUM David</t>
  </si>
  <si>
    <t>RAUM</t>
  </si>
  <si>
    <t>NMECHA Felix</t>
  </si>
  <si>
    <t>Felix Kalu</t>
  </si>
  <si>
    <t>NMECHA</t>
  </si>
  <si>
    <t>THIAW Malick</t>
  </si>
  <si>
    <t>Malick</t>
  </si>
  <si>
    <t>THIAW</t>
  </si>
  <si>
    <t>OUEDRAOGO Assan</t>
  </si>
  <si>
    <t>Forzan Assan</t>
  </si>
  <si>
    <t>OUÉDRAOGO</t>
  </si>
  <si>
    <t>UNDAV Deniz</t>
  </si>
  <si>
    <t>Deniz</t>
  </si>
  <si>
    <t>UNDAV</t>
  </si>
  <si>
    <t>ZIGI Lawrence Ati</t>
  </si>
  <si>
    <t>Lawrence Ati</t>
  </si>
  <si>
    <t>ZIGI</t>
  </si>
  <si>
    <t>FC St. Gallen (SUI)</t>
  </si>
  <si>
    <t>SEIDU Alidu</t>
  </si>
  <si>
    <t>Alidu</t>
  </si>
  <si>
    <t>ALIDU SEIDU</t>
  </si>
  <si>
    <t>SEIDU</t>
  </si>
  <si>
    <t>YIRENKYI Caleb</t>
  </si>
  <si>
    <t>Caleb Marfo</t>
  </si>
  <si>
    <t>YIRENKYI</t>
  </si>
  <si>
    <t>ADJETEY Jonas</t>
  </si>
  <si>
    <t>Jonas Adjei</t>
  </si>
  <si>
    <t>ADJETEY</t>
  </si>
  <si>
    <t>PARTEY Thomas</t>
  </si>
  <si>
    <t>Thomas Teye</t>
  </si>
  <si>
    <t>PARTEY</t>
  </si>
  <si>
    <t>MUMIN Abdul</t>
  </si>
  <si>
    <t>Abdul Mumin</t>
  </si>
  <si>
    <t>A. MUMIN</t>
  </si>
  <si>
    <t>Rayo Vallecano (ESP)</t>
  </si>
  <si>
    <t>SULEMAN</t>
  </si>
  <si>
    <t>FATAWU Abdul</t>
  </si>
  <si>
    <t>Abdul Fatawu</t>
  </si>
  <si>
    <t>A. FATAWU</t>
  </si>
  <si>
    <t>ISSAHAKU</t>
  </si>
  <si>
    <t>SIBO Kwasi</t>
  </si>
  <si>
    <t>Kwasi</t>
  </si>
  <si>
    <t>SIBO</t>
  </si>
  <si>
    <t>AYEW Jordan</t>
  </si>
  <si>
    <t>Jordan Pierre</t>
  </si>
  <si>
    <t>J. AYEW</t>
  </si>
  <si>
    <t>AYEW</t>
  </si>
  <si>
    <t>THOMAS-ASANTE Brandon</t>
  </si>
  <si>
    <t>Solomon Brandon Michael Clarke</t>
  </si>
  <si>
    <t>ASANTE</t>
  </si>
  <si>
    <t>Coventry City FC (ENG)</t>
  </si>
  <si>
    <t>THOMAS-ASANTE</t>
  </si>
  <si>
    <t>SEMENYO Antoine</t>
  </si>
  <si>
    <t>Antoine Serlom</t>
  </si>
  <si>
    <t>SEMENYO</t>
  </si>
  <si>
    <t>ANANG Joseph</t>
  </si>
  <si>
    <t>Joseph Tetteh</t>
  </si>
  <si>
    <t>ANANG</t>
  </si>
  <si>
    <t>St Patrick's Athletic FC (IRL)</t>
  </si>
  <si>
    <t>BONSU BAAH Christopher</t>
  </si>
  <si>
    <t>Christopher Bonsu</t>
  </si>
  <si>
    <t>BONSU BAAH</t>
  </si>
  <si>
    <t>Al Qadsiah FC (KSA)</t>
  </si>
  <si>
    <t>BAAH</t>
  </si>
  <si>
    <t>MENSAH Gideon</t>
  </si>
  <si>
    <t>Gideon</t>
  </si>
  <si>
    <t>MENSAH</t>
  </si>
  <si>
    <t>AJ Auxerre (FRA)</t>
  </si>
  <si>
    <t>OWUSU Elisha</t>
  </si>
  <si>
    <t>Elisha</t>
  </si>
  <si>
    <t>OWUSU</t>
  </si>
  <si>
    <t>ASARE Benjamin</t>
  </si>
  <si>
    <t>B. ASARE</t>
  </si>
  <si>
    <t>Hearts Of Oak SC (GHA)</t>
  </si>
  <si>
    <t>ASARE</t>
  </si>
  <si>
    <t>RAHMAN Baba</t>
  </si>
  <si>
    <t>Abdul Rahman</t>
  </si>
  <si>
    <t>BABA</t>
  </si>
  <si>
    <t>PAOK Saloniki (GRE)</t>
  </si>
  <si>
    <t>OPOKU Jerome</t>
  </si>
  <si>
    <t>Jerome</t>
  </si>
  <si>
    <t>OPOKU</t>
  </si>
  <si>
    <t>WILLIAMS Inaki</t>
  </si>
  <si>
    <t>Inaki</t>
  </si>
  <si>
    <t>WILLIAMS</t>
  </si>
  <si>
    <t>Athletic Club (ESP)</t>
  </si>
  <si>
    <t>WILLIAMS ARTHUER</t>
  </si>
  <si>
    <t>BOAKYE Augustine</t>
  </si>
  <si>
    <t>Augustine</t>
  </si>
  <si>
    <t>BOAKYE</t>
  </si>
  <si>
    <t>AS Saint-Etienne (FRA)</t>
  </si>
  <si>
    <t>OPPONG Kojo Peprah</t>
  </si>
  <si>
    <t>Kojo Peprah</t>
  </si>
  <si>
    <t>OPPONG</t>
  </si>
  <si>
    <t>SULEMANA Kamaldeen</t>
  </si>
  <si>
    <t>Kamal Deen</t>
  </si>
  <si>
    <t>KAMALDEEN</t>
  </si>
  <si>
    <t>SULEMANA</t>
  </si>
  <si>
    <t>LUCKASSEN Derrick</t>
  </si>
  <si>
    <t>Derrick</t>
  </si>
  <si>
    <t>LUCKASSEN</t>
  </si>
  <si>
    <t>NUAMAH Ernest</t>
  </si>
  <si>
    <t>Ernest Nuamah</t>
  </si>
  <si>
    <t>NUAMAH</t>
  </si>
  <si>
    <t>APPIAH</t>
  </si>
  <si>
    <t>ADU Prince</t>
  </si>
  <si>
    <t>Prince Kwabena</t>
  </si>
  <si>
    <t>PRINCE</t>
  </si>
  <si>
    <t>ADU</t>
  </si>
  <si>
    <t>SENAYA Marvin</t>
  </si>
  <si>
    <t>Marvin Elom</t>
  </si>
  <si>
    <t>SENEYA</t>
  </si>
  <si>
    <t>SENAYA</t>
  </si>
  <si>
    <t>PLACIDE Johny</t>
  </si>
  <si>
    <t>Johny</t>
  </si>
  <si>
    <t>PLACIDE</t>
  </si>
  <si>
    <t>SC Bastia (FRA)</t>
  </si>
  <si>
    <t>ARCUS Carlens</t>
  </si>
  <si>
    <t>Carlens Jean Fedlaire Ruby</t>
  </si>
  <si>
    <t>ARCUS</t>
  </si>
  <si>
    <t>Angers SCO (FRA)</t>
  </si>
  <si>
    <t>THERMONCY Keeto</t>
  </si>
  <si>
    <t>Keeto</t>
  </si>
  <si>
    <t>THERMONCY</t>
  </si>
  <si>
    <t>ADE Ricardo</t>
  </si>
  <si>
    <t>Ricardo</t>
  </si>
  <si>
    <t>ADE</t>
  </si>
  <si>
    <t>DELCROIX Hannes</t>
  </si>
  <si>
    <t>Hannes Piterson D</t>
  </si>
  <si>
    <t>DELCROIX</t>
  </si>
  <si>
    <t>FC Lugano (SUI)</t>
  </si>
  <si>
    <t>SAINTE Carl</t>
  </si>
  <si>
    <t>Carl Fred</t>
  </si>
  <si>
    <t>SAINTE</t>
  </si>
  <si>
    <t>El Paso Locomotive FC (USA)</t>
  </si>
  <si>
    <t>ETIENNE Derrick</t>
  </si>
  <si>
    <t>Derrick Burckley</t>
  </si>
  <si>
    <t>ETIENNE JR</t>
  </si>
  <si>
    <t>EXPERIENCE Martin</t>
  </si>
  <si>
    <t>Martin Yves Roberns Didier</t>
  </si>
  <si>
    <t>EXPERIENCE</t>
  </si>
  <si>
    <t>AS Nancy (FRA)</t>
  </si>
  <si>
    <t>NAZON Duckens</t>
  </si>
  <si>
    <t>Duckens</t>
  </si>
  <si>
    <t>NAZON</t>
  </si>
  <si>
    <t>Esteghlal Tehran FC (IRN)</t>
  </si>
  <si>
    <t>BELLEGARDE Jean-Ricner</t>
  </si>
  <si>
    <t>Jean Ricner</t>
  </si>
  <si>
    <t>BELLEGARDE</t>
  </si>
  <si>
    <t>DEEDSON Louicius</t>
  </si>
  <si>
    <t>Don Deedson</t>
  </si>
  <si>
    <t>LOUICIUS</t>
  </si>
  <si>
    <t>PIERRE Alexandre</t>
  </si>
  <si>
    <t>Alexandre Jr</t>
  </si>
  <si>
    <t>A. PIERRE</t>
  </si>
  <si>
    <t>FC Sochaux-Montbéliard (FRA)</t>
  </si>
  <si>
    <t>PIERRE</t>
  </si>
  <si>
    <t>LACROIX Markhus</t>
  </si>
  <si>
    <t>Markhus</t>
  </si>
  <si>
    <t>Colorado Springs Switchbacks FC (USA)</t>
  </si>
  <si>
    <t>METUSALA Garven</t>
  </si>
  <si>
    <t>Garven-Michee</t>
  </si>
  <si>
    <t>METUSALA</t>
  </si>
  <si>
    <t>PROVIDENCE Ruben</t>
  </si>
  <si>
    <t>Ruben Fritzner</t>
  </si>
  <si>
    <t>PROVIDENCE</t>
  </si>
  <si>
    <t>Almere City FC (NED)</t>
  </si>
  <si>
    <t>JOSEPH Lenny</t>
  </si>
  <si>
    <t>Lenny Alvin Pico</t>
  </si>
  <si>
    <t>JOSEPH</t>
  </si>
  <si>
    <t>Ferencvárosi TC (HUN)</t>
  </si>
  <si>
    <t>JEAN JACQUES Danley</t>
  </si>
  <si>
    <t>Danley</t>
  </si>
  <si>
    <t>JEAN-JACQUES</t>
  </si>
  <si>
    <t>Philadelphia Union (USA)</t>
  </si>
  <si>
    <t>JEAN JACQUES</t>
  </si>
  <si>
    <t>ISIDOR Wilson</t>
  </si>
  <si>
    <t>Wilson</t>
  </si>
  <si>
    <t>ISIDOR</t>
  </si>
  <si>
    <t>FORTUNE Yassin</t>
  </si>
  <si>
    <t>Yassin Enzo</t>
  </si>
  <si>
    <t>FORTUNE</t>
  </si>
  <si>
    <t>FC Vizela (POR)</t>
  </si>
  <si>
    <t>PIERROT Frantzdy</t>
  </si>
  <si>
    <t>Frantzdy</t>
  </si>
  <si>
    <t>PIERROT</t>
  </si>
  <si>
    <t>CASIMIR Josue</t>
  </si>
  <si>
    <t>Josue Jeremie</t>
  </si>
  <si>
    <t>CASIMIR</t>
  </si>
  <si>
    <t>DUVERNE Jean-Kevin</t>
  </si>
  <si>
    <t>Jean-Kévin</t>
  </si>
  <si>
    <t>DUVERNE</t>
  </si>
  <si>
    <t>KAA Gent (BEL)</t>
  </si>
  <si>
    <t>DUVERGER Josue</t>
  </si>
  <si>
    <t>Josue</t>
  </si>
  <si>
    <t>DUVERGER</t>
  </si>
  <si>
    <t>FC Cosmos Koblenz (GER)</t>
  </si>
  <si>
    <t>PAUGAIN Wilguens</t>
  </si>
  <si>
    <t>Wilguens Raphael Polynice</t>
  </si>
  <si>
    <t>PAUGAIN</t>
  </si>
  <si>
    <t>SV Zulte Waregem (BEL)</t>
  </si>
  <si>
    <t>SIMON Dominique</t>
  </si>
  <si>
    <t>Dominique Celidor</t>
  </si>
  <si>
    <t>SIMON</t>
  </si>
  <si>
    <t>FC Tatran Prešov (SVK)</t>
  </si>
  <si>
    <t>PIERRE Woodensky</t>
  </si>
  <si>
    <t>Olivier Woodensky</t>
  </si>
  <si>
    <t>W. PIERRE</t>
  </si>
  <si>
    <t>Violette AC (HAI)</t>
  </si>
  <si>
    <t>BEIRANVAND Alireza</t>
  </si>
  <si>
    <t>Ali Reza</t>
  </si>
  <si>
    <t>BEIRANVAND</t>
  </si>
  <si>
    <t>Tractor Sazi Tabriz FC (IRN)</t>
  </si>
  <si>
    <t>SAFARBEIRANVAND</t>
  </si>
  <si>
    <t>HARDANI Saleh</t>
  </si>
  <si>
    <t>Saleh</t>
  </si>
  <si>
    <t>SALEH</t>
  </si>
  <si>
    <t>HARDANI KHERAD</t>
  </si>
  <si>
    <t>HAJISAFI Ehsan</t>
  </si>
  <si>
    <t>Ehsan</t>
  </si>
  <si>
    <t>E. HAJISAFI</t>
  </si>
  <si>
    <t>Sepahan SC (IRN)</t>
  </si>
  <si>
    <t>HAJI SAFI</t>
  </si>
  <si>
    <t>KHALILZADEH Shoja</t>
  </si>
  <si>
    <t>Shojae</t>
  </si>
  <si>
    <t>SHOJA</t>
  </si>
  <si>
    <t>KHALILZADEH</t>
  </si>
  <si>
    <t>MOHAMMADI Milad</t>
  </si>
  <si>
    <t>Milad</t>
  </si>
  <si>
    <t>M. MOHAMMADI</t>
  </si>
  <si>
    <t>Persepolis FC (IRN)</t>
  </si>
  <si>
    <t>MOHAMMADIKESHMARZI</t>
  </si>
  <si>
    <t>EZATOLAHI Saeid</t>
  </si>
  <si>
    <t>Saeid</t>
  </si>
  <si>
    <t>S. EZATOLAHI</t>
  </si>
  <si>
    <t>Shabab Al Ahli Club (UAE)</t>
  </si>
  <si>
    <t>EZATOLAHI AFAGH</t>
  </si>
  <si>
    <t>JAHANBAKHSH Alireza</t>
  </si>
  <si>
    <t>Alireza</t>
  </si>
  <si>
    <t>A. JAHANBAKHSH</t>
  </si>
  <si>
    <t>JAHANBAKHSH JIRANDEH</t>
  </si>
  <si>
    <t>MOHEBBI Mohammad</t>
  </si>
  <si>
    <t>Mohammad</t>
  </si>
  <si>
    <t>M. MOHEBBI</t>
  </si>
  <si>
    <t>FC Rostov (RUS)</t>
  </si>
  <si>
    <t>MOHEBBI</t>
  </si>
  <si>
    <t>TAREMI Mehdi</t>
  </si>
  <si>
    <t>Mehdi</t>
  </si>
  <si>
    <t>TAREMI</t>
  </si>
  <si>
    <t>Olympiacos FC (GRE)</t>
  </si>
  <si>
    <t>GHAYEDI Mehdi</t>
  </si>
  <si>
    <t>MEHDI GHAYEDI</t>
  </si>
  <si>
    <t>Al Nasr SC (UAE)</t>
  </si>
  <si>
    <t>GHAYEDI</t>
  </si>
  <si>
    <t>ALIPOUR Ali</t>
  </si>
  <si>
    <t>A. ALIPOUR</t>
  </si>
  <si>
    <t>ALIPOURGHARA</t>
  </si>
  <si>
    <t>NIAZMAND Payam</t>
  </si>
  <si>
    <t>Seyedpayam</t>
  </si>
  <si>
    <t>PAYAM</t>
  </si>
  <si>
    <t>NIAZMAND</t>
  </si>
  <si>
    <t>KANANI Hossein</t>
  </si>
  <si>
    <t>Mohammadhossein</t>
  </si>
  <si>
    <t>KANANI</t>
  </si>
  <si>
    <t>KANANI ZADEGAN</t>
  </si>
  <si>
    <t>GHODDOS Saman</t>
  </si>
  <si>
    <t>Seyed Saman</t>
  </si>
  <si>
    <t>GHODDOS</t>
  </si>
  <si>
    <t>Al Ittihad Kalba SCC (UAE)</t>
  </si>
  <si>
    <t>GHODDOOS</t>
  </si>
  <si>
    <t>CHESHMI Roozbeh</t>
  </si>
  <si>
    <t>Roozbeh</t>
  </si>
  <si>
    <t>ROOZBEH</t>
  </si>
  <si>
    <t>CHESHMI</t>
  </si>
  <si>
    <t>TORABI Mehdi</t>
  </si>
  <si>
    <t>Mahdi</t>
  </si>
  <si>
    <t>M. TORABI</t>
  </si>
  <si>
    <t>TORABI</t>
  </si>
  <si>
    <t>YOUSEFI Arya</t>
  </si>
  <si>
    <t>Arya</t>
  </si>
  <si>
    <t>ARYA</t>
  </si>
  <si>
    <t>YOUSEFI</t>
  </si>
  <si>
    <t>HOSSEINZADEH Amirhossein</t>
  </si>
  <si>
    <t>Amirhossein</t>
  </si>
  <si>
    <t>AMIRHOSSEIN</t>
  </si>
  <si>
    <t>HOSSEINZADEHTAZEHGHESHLAGH</t>
  </si>
  <si>
    <t>NEMATI Ali</t>
  </si>
  <si>
    <t>ALI</t>
  </si>
  <si>
    <t>Foolad Khuzestan FC (IRN)</t>
  </si>
  <si>
    <t>NEMATI</t>
  </si>
  <si>
    <t>MOGHANLOO Shahriyar</t>
  </si>
  <si>
    <t>Shahriyar</t>
  </si>
  <si>
    <t>SHAHRIYAR</t>
  </si>
  <si>
    <t>MOGHANLOO</t>
  </si>
  <si>
    <t>GHORBANI Mohammad</t>
  </si>
  <si>
    <t>MOHAMMAD</t>
  </si>
  <si>
    <t>Al Wahda SC (UAE)</t>
  </si>
  <si>
    <t>GHORBANI</t>
  </si>
  <si>
    <t>HOSSEINI Hossein</t>
  </si>
  <si>
    <t>Seyedhossein</t>
  </si>
  <si>
    <t>HOSSEINI</t>
  </si>
  <si>
    <t>REZAEIAN Ramin</t>
  </si>
  <si>
    <t>Ramin</t>
  </si>
  <si>
    <t>RAMIN</t>
  </si>
  <si>
    <t>REZAEIANSEMESKANDI</t>
  </si>
  <si>
    <t>DARGAHI Dennis</t>
  </si>
  <si>
    <t>DARGAHI</t>
  </si>
  <si>
    <t>IRI Danial</t>
  </si>
  <si>
    <t>Danial</t>
  </si>
  <si>
    <t>DANIAL</t>
  </si>
  <si>
    <t>Malavan Anzali FC (IRN)</t>
  </si>
  <si>
    <t>IRI</t>
  </si>
  <si>
    <t>RAZAGHINIA Amirmohammad</t>
  </si>
  <si>
    <t>Amirmohammad</t>
  </si>
  <si>
    <t>RAZAGH</t>
  </si>
  <si>
    <t>RAZAGHINIA</t>
  </si>
  <si>
    <t>FAHAD TALIB</t>
  </si>
  <si>
    <t>Fahad Talib Raheem</t>
  </si>
  <si>
    <t>FAHAD</t>
  </si>
  <si>
    <t>Al Talaba SC (IRQ)</t>
  </si>
  <si>
    <t>RAHEEM</t>
  </si>
  <si>
    <t>REBIN SULAKA</t>
  </si>
  <si>
    <t>Rebin Ghareeb Solaka</t>
  </si>
  <si>
    <t>REBIN</t>
  </si>
  <si>
    <t>Port FC (THA)</t>
  </si>
  <si>
    <t>ADHAMAT</t>
  </si>
  <si>
    <t>HUSSEIN ALI</t>
  </si>
  <si>
    <t>Hussein Haydar Hussein</t>
  </si>
  <si>
    <t>HUSSEIN</t>
  </si>
  <si>
    <t>Pogoń Szczecin (POL)</t>
  </si>
  <si>
    <t>ZAID TAHSEEN</t>
  </si>
  <si>
    <t>Zaid Tahseen Abd Zaid</t>
  </si>
  <si>
    <t>ZAID T.</t>
  </si>
  <si>
    <t>Pakhtakor Tashkent FK (UZB)</t>
  </si>
  <si>
    <t>HANTOOSH</t>
  </si>
  <si>
    <t>AKAM HASHIM</t>
  </si>
  <si>
    <t>Akam Hashim Rahman</t>
  </si>
  <si>
    <t>AKAM</t>
  </si>
  <si>
    <t>Al Zawra'a SC (IRQ)</t>
  </si>
  <si>
    <t>RAHMAN</t>
  </si>
  <si>
    <t>MUNAF YOUNUS</t>
  </si>
  <si>
    <t>Munaf Younus Hashim</t>
  </si>
  <si>
    <t>MUNAF</t>
  </si>
  <si>
    <t>Al Shorta SC (IRQ)</t>
  </si>
  <si>
    <t>AL-TEKREETI</t>
  </si>
  <si>
    <t>YOUSSEF AMYN</t>
  </si>
  <si>
    <t>Youssef Wali Faeq</t>
  </si>
  <si>
    <t>YOUSSEF</t>
  </si>
  <si>
    <t>AEK Larnaca FC (CYP)</t>
  </si>
  <si>
    <t>AMYN</t>
  </si>
  <si>
    <t>IBRAHIM BAYESH</t>
  </si>
  <si>
    <t>Ibrahim Bayesh Kamil</t>
  </si>
  <si>
    <t>Al Dhafra SCC (UAE)</t>
  </si>
  <si>
    <t>AL-KAABAWI</t>
  </si>
  <si>
    <t>ALI ALHAMADI</t>
  </si>
  <si>
    <t>Ali Ibrahim Karim</t>
  </si>
  <si>
    <t>AL-HAMADI</t>
  </si>
  <si>
    <t>Luton Town FC (ENG)</t>
  </si>
  <si>
    <t>ALZUBAIDI</t>
  </si>
  <si>
    <t>MOHANAD ALI</t>
  </si>
  <si>
    <t>Mohanad Ali Kadhim</t>
  </si>
  <si>
    <t>MOHANAD</t>
  </si>
  <si>
    <t>Dibba FC (UAE)</t>
  </si>
  <si>
    <t>AL-SHAMMARI</t>
  </si>
  <si>
    <t>AHMED QASEM</t>
  </si>
  <si>
    <t>Ahmed Ihab Ahmed</t>
  </si>
  <si>
    <t>AHMED Q.</t>
  </si>
  <si>
    <t>Nashville SC (USA)</t>
  </si>
  <si>
    <t>JALAL HASSAN</t>
  </si>
  <si>
    <t>Jalal Hasan Hachim</t>
  </si>
  <si>
    <t>JALAL</t>
  </si>
  <si>
    <t>HACHIM</t>
  </si>
  <si>
    <t>ALI YOUSIF</t>
  </si>
  <si>
    <t>Ali Yousif Hashim</t>
  </si>
  <si>
    <t>ALI Y.</t>
  </si>
  <si>
    <t>NAJATEE</t>
  </si>
  <si>
    <t>ZIDANE IQBAL</t>
  </si>
  <si>
    <t>Zidane Aamar Iqbal</t>
  </si>
  <si>
    <t>Z. IQBAL</t>
  </si>
  <si>
    <t>FC Utrecht (NED)</t>
  </si>
  <si>
    <t>IQBAL</t>
  </si>
  <si>
    <t>AHMED MAKNAZI</t>
  </si>
  <si>
    <t>Ahmed Hasan Maknazi</t>
  </si>
  <si>
    <t>AHMED H.</t>
  </si>
  <si>
    <t>Al Karma SC (IRQ)</t>
  </si>
  <si>
    <t>AL-DEESHAWEE</t>
  </si>
  <si>
    <t>AMIR ALAMMARI</t>
  </si>
  <si>
    <t>Amir Fouad Aboud</t>
  </si>
  <si>
    <t>AL-AMMARI</t>
  </si>
  <si>
    <t>KS Cracovia (POL)</t>
  </si>
  <si>
    <t>ALI JASIM</t>
  </si>
  <si>
    <t>Ali Jasim Elaibi</t>
  </si>
  <si>
    <t>ALI J.</t>
  </si>
  <si>
    <t>AL-TAMEEMI</t>
  </si>
  <si>
    <t>AYMEN HUSSEIN</t>
  </si>
  <si>
    <t>Aymen Hussein Ghadhban</t>
  </si>
  <si>
    <t>AYMEN</t>
  </si>
  <si>
    <t>GHADHBAN</t>
  </si>
  <si>
    <t>KEVIN YAKOB</t>
  </si>
  <si>
    <t>Kevin Enkido Yakob William</t>
  </si>
  <si>
    <t>K. YAKOB</t>
  </si>
  <si>
    <t>Aarhus GF (DEN)</t>
  </si>
  <si>
    <t>WILLIAM</t>
  </si>
  <si>
    <t>AIMAR SHER</t>
  </si>
  <si>
    <t>Aimar Hazar Anwar</t>
  </si>
  <si>
    <t>AIMAR</t>
  </si>
  <si>
    <t>Sarpsborg 08 FF (NOR)</t>
  </si>
  <si>
    <t>SHER</t>
  </si>
  <si>
    <t>MARKO FARJI</t>
  </si>
  <si>
    <t>Marko Jabbar Hussein</t>
  </si>
  <si>
    <t>MARKO</t>
  </si>
  <si>
    <t>AHMED BASIL</t>
  </si>
  <si>
    <t>Ahmed Basil Fadhil</t>
  </si>
  <si>
    <t>AHMED B.</t>
  </si>
  <si>
    <t>AL-FADHLI</t>
  </si>
  <si>
    <t>MERCHAS DOSKI</t>
  </si>
  <si>
    <t>Merchas Ghazi Salih</t>
  </si>
  <si>
    <t>DOSKI</t>
  </si>
  <si>
    <t>SALIH</t>
  </si>
  <si>
    <t>ZAID ISMAEL</t>
  </si>
  <si>
    <t>Zaid Ismael Khaleel</t>
  </si>
  <si>
    <t>ZAID I.</t>
  </si>
  <si>
    <t>AL-DULAIMI</t>
  </si>
  <si>
    <t>MUSTAFA SAADOON</t>
  </si>
  <si>
    <t>Mustafa Saadoon Abbood</t>
  </si>
  <si>
    <t>MUSTAFA</t>
  </si>
  <si>
    <t>AL-KORJI</t>
  </si>
  <si>
    <t>FRANS PUTROS</t>
  </si>
  <si>
    <t>Frans Dhia Jirjis</t>
  </si>
  <si>
    <t>FRANS</t>
  </si>
  <si>
    <t>Persib Bandung (IDN)</t>
  </si>
  <si>
    <t>HADDAD</t>
  </si>
  <si>
    <t>SUZUKI Zion</t>
  </si>
  <si>
    <t>Zion</t>
  </si>
  <si>
    <t>SUZUKI</t>
  </si>
  <si>
    <t>SUGAWARA Yukinari</t>
  </si>
  <si>
    <t>Yukinari</t>
  </si>
  <si>
    <t>SUGAWARA</t>
  </si>
  <si>
    <t>TANIGUCHI Shogo</t>
  </si>
  <si>
    <t>Shogo</t>
  </si>
  <si>
    <t>TANIGUCHI</t>
  </si>
  <si>
    <t>Sint-Truiden VV (BEL)</t>
  </si>
  <si>
    <t>ITAKURA Kou</t>
  </si>
  <si>
    <t>Kou</t>
  </si>
  <si>
    <t>ITAKURA</t>
  </si>
  <si>
    <t>NAGATOMO Yuto</t>
  </si>
  <si>
    <t>Yuto</t>
  </si>
  <si>
    <t>NAGATOMO</t>
  </si>
  <si>
    <t>FC Tokyo (JPN)</t>
  </si>
  <si>
    <t>MACHINO Shuto</t>
  </si>
  <si>
    <t>Shuto</t>
  </si>
  <si>
    <t>MACHINO</t>
  </si>
  <si>
    <t>TANAKA Ao</t>
  </si>
  <si>
    <t>Ao</t>
  </si>
  <si>
    <t>TANAKA</t>
  </si>
  <si>
    <t>Leeds United FC (ENG)</t>
  </si>
  <si>
    <t>KUBO Takefusa</t>
  </si>
  <si>
    <t>Takefusa</t>
  </si>
  <si>
    <t>KUBO</t>
  </si>
  <si>
    <t>GOTO Keisuke</t>
  </si>
  <si>
    <t>Keisuke</t>
  </si>
  <si>
    <t>GOTO</t>
  </si>
  <si>
    <t>DOAN Ritsu</t>
  </si>
  <si>
    <t>Ritsu</t>
  </si>
  <si>
    <t>DOAN</t>
  </si>
  <si>
    <t>MAEDA Daizen</t>
  </si>
  <si>
    <t>Daizen</t>
  </si>
  <si>
    <t>DAIZEN</t>
  </si>
  <si>
    <t>MAEDA</t>
  </si>
  <si>
    <t>OSAKO Keisuke</t>
  </si>
  <si>
    <t>OSAKO</t>
  </si>
  <si>
    <t>Sanfrecce Hiroshima (JPN)</t>
  </si>
  <si>
    <t>NAKAMURA Keito</t>
  </si>
  <si>
    <t>Keito</t>
  </si>
  <si>
    <t>NAKAMURA</t>
  </si>
  <si>
    <t>Stade Reims (FRA)</t>
  </si>
  <si>
    <t>ITO Junya</t>
  </si>
  <si>
    <t>Junya</t>
  </si>
  <si>
    <t>ITO</t>
  </si>
  <si>
    <t>KAMADA Daichi</t>
  </si>
  <si>
    <t>Daichi</t>
  </si>
  <si>
    <t>KAMADA</t>
  </si>
  <si>
    <t>WATANABE Tsuyoshi</t>
  </si>
  <si>
    <t>Tsuyoshi</t>
  </si>
  <si>
    <t>WATANABE</t>
  </si>
  <si>
    <t>SUZUKI Yuito</t>
  </si>
  <si>
    <t>Yuito</t>
  </si>
  <si>
    <t>Y. SUZUKI</t>
  </si>
  <si>
    <t>UEDA Ayase</t>
  </si>
  <si>
    <t>Ayase</t>
  </si>
  <si>
    <t>AYASE</t>
  </si>
  <si>
    <t>UEDA</t>
  </si>
  <si>
    <t>OGAWA Koki</t>
  </si>
  <si>
    <t>Koki</t>
  </si>
  <si>
    <t>OGAWA</t>
  </si>
  <si>
    <t>SEKO Ayumu</t>
  </si>
  <si>
    <t>Ayumu</t>
  </si>
  <si>
    <t>SEKO</t>
  </si>
  <si>
    <t>ITO Hiroki</t>
  </si>
  <si>
    <t>Hiroki</t>
  </si>
  <si>
    <t>H. ITO</t>
  </si>
  <si>
    <t>TOMIYASU Takehiro</t>
  </si>
  <si>
    <t>Takehiro</t>
  </si>
  <si>
    <t>TOMIYASU</t>
  </si>
  <si>
    <t>HAYAKAWA Tomoki</t>
  </si>
  <si>
    <t>Tomoki</t>
  </si>
  <si>
    <t>HAYAKAWA</t>
  </si>
  <si>
    <t>Kashima Antlers (JPN)</t>
  </si>
  <si>
    <t>SANO Kaishu</t>
  </si>
  <si>
    <t>Kaishu</t>
  </si>
  <si>
    <t>SANO</t>
  </si>
  <si>
    <t>SUZUKI Junnosuke</t>
  </si>
  <si>
    <t>Junnosuke</t>
  </si>
  <si>
    <t>J. SUZUKI</t>
  </si>
  <si>
    <t>SHIOGAI Kento</t>
  </si>
  <si>
    <t>Kento</t>
  </si>
  <si>
    <t>SHIOGAI</t>
  </si>
  <si>
    <t>YAZEED ABULAILA</t>
  </si>
  <si>
    <t>Yazeed Mo'ien Hasan</t>
  </si>
  <si>
    <t>YAZEED</t>
  </si>
  <si>
    <t>Al Hussein SC (JOR)</t>
  </si>
  <si>
    <t>ABULAILA</t>
  </si>
  <si>
    <t>MOHAMMAD ABUHASHEESH</t>
  </si>
  <si>
    <t>Mohammad Ali Hasan</t>
  </si>
  <si>
    <t>ABU HASHEESH</t>
  </si>
  <si>
    <t>ABUHASHEESH</t>
  </si>
  <si>
    <t>ABDALLAH NASIB</t>
  </si>
  <si>
    <t>Abdallah Mousa Musallam</t>
  </si>
  <si>
    <t>NASIB</t>
  </si>
  <si>
    <t>HUSAM ABUDAHAB</t>
  </si>
  <si>
    <t>Husam Ali Mohammad</t>
  </si>
  <si>
    <t>ABU DAHAB</t>
  </si>
  <si>
    <t>Al Faisaly SC (JOR)</t>
  </si>
  <si>
    <t>ABUDAHAB</t>
  </si>
  <si>
    <t>YAZAN ALARAB</t>
  </si>
  <si>
    <t>Yazan Mousa Mahmoud</t>
  </si>
  <si>
    <t>ALARAB</t>
  </si>
  <si>
    <t>FC Seoul (KOR)</t>
  </si>
  <si>
    <t>AMER JAMOUS</t>
  </si>
  <si>
    <t>Amer Rasem Adel</t>
  </si>
  <si>
    <t>JAMOUS</t>
  </si>
  <si>
    <t>MOHAMMAD ABUZRAIQ</t>
  </si>
  <si>
    <t>Mohammad Faisal Yousef</t>
  </si>
  <si>
    <t>ABU ZRAIQ</t>
  </si>
  <si>
    <t>Raja Casablanca (MAR)</t>
  </si>
  <si>
    <t>NOOR ALRAWABDEH</t>
  </si>
  <si>
    <t>Noor Al-Deen Mahmoud Ali</t>
  </si>
  <si>
    <t>ALRAWABDEH</t>
  </si>
  <si>
    <t>Selangor FC (MAS)</t>
  </si>
  <si>
    <t>AL RAWABDEH</t>
  </si>
  <si>
    <t>ALI OLWAN</t>
  </si>
  <si>
    <t>Ali Iyad Ali</t>
  </si>
  <si>
    <t>OLWAN</t>
  </si>
  <si>
    <t>Al Sailiya SC (QAT)</t>
  </si>
  <si>
    <t>MOUSA ALTAMARI</t>
  </si>
  <si>
    <t>Mousa Mohammad Mousa</t>
  </si>
  <si>
    <t>ALTAMARI</t>
  </si>
  <si>
    <t>SULEIMAN</t>
  </si>
  <si>
    <t>ODEH FAKHOURY</t>
  </si>
  <si>
    <t>Odeh Burhan Shehadeh</t>
  </si>
  <si>
    <t>ODEH</t>
  </si>
  <si>
    <t>FAKHOURY</t>
  </si>
  <si>
    <t>NOUR BANIATEYAH</t>
  </si>
  <si>
    <t>Noureddin Zaid Khaleel</t>
  </si>
  <si>
    <t>BANI ATEYAH</t>
  </si>
  <si>
    <t>MAHMOUD ALMARDI</t>
  </si>
  <si>
    <t>Mahmoud Nayef Ahmad</t>
  </si>
  <si>
    <t>ALMARDI</t>
  </si>
  <si>
    <t>RAJAEI AYED</t>
  </si>
  <si>
    <t>Raja'ei Ayed Fadel</t>
  </si>
  <si>
    <t>RAJA'EI</t>
  </si>
  <si>
    <t>HASAN</t>
  </si>
  <si>
    <t>IBRAHIM SADEH</t>
  </si>
  <si>
    <t>Ibrahim Mohammad Sami</t>
  </si>
  <si>
    <t>SA'DEH</t>
  </si>
  <si>
    <t>MOHAMMAD ABUALNADI</t>
  </si>
  <si>
    <t>Mohammad Majed Jamil</t>
  </si>
  <si>
    <t>ABU ALNADI</t>
  </si>
  <si>
    <t>ABUALNADI</t>
  </si>
  <si>
    <t>SALEEM OBAID</t>
  </si>
  <si>
    <t>Saleem Amer Saleem</t>
  </si>
  <si>
    <t>SALEEM</t>
  </si>
  <si>
    <t>OBAID</t>
  </si>
  <si>
    <t>MOHAMMAD ABUGHOUSH</t>
  </si>
  <si>
    <t>Mohammad Ahmed Mohammad</t>
  </si>
  <si>
    <t>ABU GHOUSH</t>
  </si>
  <si>
    <t>TAHA</t>
  </si>
  <si>
    <t>SAED ALROSAN</t>
  </si>
  <si>
    <t>Sa'ed Ahmad Salameh</t>
  </si>
  <si>
    <t>SA'ED</t>
  </si>
  <si>
    <t>ALROSAN</t>
  </si>
  <si>
    <t>MOHANNAD ABUTAHA</t>
  </si>
  <si>
    <t>Mohannad Mahmoud Saleh</t>
  </si>
  <si>
    <t>ABU TAHA</t>
  </si>
  <si>
    <t>Al-Quwa Al-Jawiya (IRQ)</t>
  </si>
  <si>
    <t>NIZAR ALRASHDAN</t>
  </si>
  <si>
    <t>Nizar Mahmoud Ahmed</t>
  </si>
  <si>
    <t>NIZAR</t>
  </si>
  <si>
    <t>Qatar SC (QAT)</t>
  </si>
  <si>
    <t>AL-RASHDAN</t>
  </si>
  <si>
    <t>ABDALLAH ALFAKHORI</t>
  </si>
  <si>
    <t>Abdallah Ra'ed Mahmoud</t>
  </si>
  <si>
    <t>ALFAKHORI</t>
  </si>
  <si>
    <t>Al Wahdat SC (JOR)</t>
  </si>
  <si>
    <t>EHSAN HADDAD</t>
  </si>
  <si>
    <t>Ehsan Manel Farhan</t>
  </si>
  <si>
    <t>EHSAN</t>
  </si>
  <si>
    <t>ALI AZAIZEH</t>
  </si>
  <si>
    <t>Ali Ahmad Ali</t>
  </si>
  <si>
    <t>AZAIZEH</t>
  </si>
  <si>
    <t>Al Shabab FC (KSA)</t>
  </si>
  <si>
    <t>MOHAMMAD ALDAOUD</t>
  </si>
  <si>
    <t>Mohammad Ratib Mohammad</t>
  </si>
  <si>
    <t>ALDAOUD</t>
  </si>
  <si>
    <t>ANAS BADAWI</t>
  </si>
  <si>
    <t>Anas Said Ghazi</t>
  </si>
  <si>
    <t>BADAWI</t>
  </si>
  <si>
    <t>KIM Seunggyu</t>
  </si>
  <si>
    <t>Seunggyu</t>
  </si>
  <si>
    <t>SEUNGGYU</t>
  </si>
  <si>
    <t>KIM</t>
  </si>
  <si>
    <t>LEE Hanbeom</t>
  </si>
  <si>
    <t>Hanbeom</t>
  </si>
  <si>
    <t>HANBEOM</t>
  </si>
  <si>
    <t>LEE</t>
  </si>
  <si>
    <t>LEE Gihyuk</t>
  </si>
  <si>
    <t>Gihyuk</t>
  </si>
  <si>
    <t>GIHYUK</t>
  </si>
  <si>
    <t>Gangwon FC (KOR)</t>
  </si>
  <si>
    <t>KIM Minjae</t>
  </si>
  <si>
    <t>Minjae</t>
  </si>
  <si>
    <t>MINJAE</t>
  </si>
  <si>
    <t>KIM Taehyeon</t>
  </si>
  <si>
    <t>Taehyeon</t>
  </si>
  <si>
    <t>TAEHYEON</t>
  </si>
  <si>
    <t>HWANG Inbeom</t>
  </si>
  <si>
    <t>Inbeom</t>
  </si>
  <si>
    <t>INBEOM</t>
  </si>
  <si>
    <t>HWANG</t>
  </si>
  <si>
    <t>SON Heungmin</t>
  </si>
  <si>
    <t>Heung Min</t>
  </si>
  <si>
    <t>HEUNGMIN</t>
  </si>
  <si>
    <t>SON</t>
  </si>
  <si>
    <t>PAIK Seungho</t>
  </si>
  <si>
    <t>Seungho</t>
  </si>
  <si>
    <t>SEUNGHO</t>
  </si>
  <si>
    <t>Birmingham City FC (ENG)</t>
  </si>
  <si>
    <t>PAIK</t>
  </si>
  <si>
    <t>CHO Guesung</t>
  </si>
  <si>
    <t>Guesung</t>
  </si>
  <si>
    <t>GUESUNG</t>
  </si>
  <si>
    <t>CHO</t>
  </si>
  <si>
    <t>LEE Jaesung</t>
  </si>
  <si>
    <t>Jae Sung</t>
  </si>
  <si>
    <t>JAESUNG</t>
  </si>
  <si>
    <t>HWANG Heechan</t>
  </si>
  <si>
    <t>Hee Chan</t>
  </si>
  <si>
    <t>HEECHAN</t>
  </si>
  <si>
    <t>SONG Bumkeun</t>
  </si>
  <si>
    <t>Bumkeun</t>
  </si>
  <si>
    <t>BUMKEUN</t>
  </si>
  <si>
    <t>Jeonbuk Hyundai Motors FC (KOR)</t>
  </si>
  <si>
    <t>SONG</t>
  </si>
  <si>
    <t>LEE Taeseok</t>
  </si>
  <si>
    <t>Taeseok</t>
  </si>
  <si>
    <t>TAESEOK</t>
  </si>
  <si>
    <t>FK Austria Wien (AUT)</t>
  </si>
  <si>
    <t>CHO Wije</t>
  </si>
  <si>
    <t>Wije</t>
  </si>
  <si>
    <t>WIJE</t>
  </si>
  <si>
    <t>KIM Moonhwan</t>
  </si>
  <si>
    <t>Moonhwan</t>
  </si>
  <si>
    <t>MOONHWAN</t>
  </si>
  <si>
    <t>Daejeon Hana Citizen FC (KOR)</t>
  </si>
  <si>
    <t>PARK Jinseob</t>
  </si>
  <si>
    <t>Jinseob</t>
  </si>
  <si>
    <t>JINSEOB</t>
  </si>
  <si>
    <t>Zhejiang FC (CHN)</t>
  </si>
  <si>
    <t>PARK</t>
  </si>
  <si>
    <t>BAE Junho</t>
  </si>
  <si>
    <t>Junho</t>
  </si>
  <si>
    <t>JUNHO</t>
  </si>
  <si>
    <t>Stoke City FC (ENG)</t>
  </si>
  <si>
    <t>BAE</t>
  </si>
  <si>
    <t>OH Hyeongyu</t>
  </si>
  <si>
    <t>Hyeongyu</t>
  </si>
  <si>
    <t>HYEONGYU</t>
  </si>
  <si>
    <t>OH</t>
  </si>
  <si>
    <t>LEE Kangin</t>
  </si>
  <si>
    <t>Kangin</t>
  </si>
  <si>
    <t>KANGIN</t>
  </si>
  <si>
    <t>YANG Hyunjun</t>
  </si>
  <si>
    <t>Hyunjun</t>
  </si>
  <si>
    <t>HYUNJUN</t>
  </si>
  <si>
    <t>YANG</t>
  </si>
  <si>
    <t>JO Hyeonwoo</t>
  </si>
  <si>
    <t>Hyeonwoo</t>
  </si>
  <si>
    <t>HYEONWOO</t>
  </si>
  <si>
    <t>Ulsan HD (KOR)</t>
  </si>
  <si>
    <t>JO</t>
  </si>
  <si>
    <t>SEOL Youngwoo</t>
  </si>
  <si>
    <t>Youngwoo</t>
  </si>
  <si>
    <t>YOUNGWOO</t>
  </si>
  <si>
    <t>SEOL</t>
  </si>
  <si>
    <t>CASTROP Jens</t>
  </si>
  <si>
    <t>Jens</t>
  </si>
  <si>
    <t>JENS</t>
  </si>
  <si>
    <t>CASTROP</t>
  </si>
  <si>
    <t>KIM Jingyu</t>
  </si>
  <si>
    <t>Jingyu</t>
  </si>
  <si>
    <t>JINGYU</t>
  </si>
  <si>
    <t>EOM Jisung</t>
  </si>
  <si>
    <t>Jisung</t>
  </si>
  <si>
    <t>JISUNG</t>
  </si>
  <si>
    <t>EOM</t>
  </si>
  <si>
    <t>LEE Donggyeong</t>
  </si>
  <si>
    <t>Donggyeong</t>
  </si>
  <si>
    <t>DONGGYEONG</t>
  </si>
  <si>
    <t>RANGEL Raul</t>
  </si>
  <si>
    <t>José Raúl</t>
  </si>
  <si>
    <t>R. RANGEL</t>
  </si>
  <si>
    <t>CD Guadalajara (MEX)</t>
  </si>
  <si>
    <t>RANGEL AGUILAR</t>
  </si>
  <si>
    <t>SANCHEZ Jorge</t>
  </si>
  <si>
    <t>Jorge Eduardo</t>
  </si>
  <si>
    <t>J. SÁNCHEZ</t>
  </si>
  <si>
    <t>SÁNCHEZ RAMOS</t>
  </si>
  <si>
    <t>MONTES Cesar</t>
  </si>
  <si>
    <t>César Jasib</t>
  </si>
  <si>
    <t>C. MONTES</t>
  </si>
  <si>
    <t>FC Lokomotiv Moscow (RUS)</t>
  </si>
  <si>
    <t>MONTES CASTRO</t>
  </si>
  <si>
    <t>ALVAREZ Edson</t>
  </si>
  <si>
    <t>Edson Omar</t>
  </si>
  <si>
    <t>E. ÁLVAREZ</t>
  </si>
  <si>
    <t>ÁLVAREZ VELÁZQUEZ</t>
  </si>
  <si>
    <t>VASQUEZ Johan</t>
  </si>
  <si>
    <t>Johan Felipe</t>
  </si>
  <si>
    <t>J. VÁSQUEZ</t>
  </si>
  <si>
    <t>Genoa CFC (ITA)</t>
  </si>
  <si>
    <t>VÁSQUEZ IBARRA</t>
  </si>
  <si>
    <t>LIRA Erik</t>
  </si>
  <si>
    <t>Erik Antonio</t>
  </si>
  <si>
    <t>E. LIRA</t>
  </si>
  <si>
    <t>LIRA MÉNDEZ</t>
  </si>
  <si>
    <t>ROMO Luis</t>
  </si>
  <si>
    <t>Luis Francisco</t>
  </si>
  <si>
    <t>L. ROMO</t>
  </si>
  <si>
    <t>ROMO BARRÓN</t>
  </si>
  <si>
    <t>FIDALGO Alvaro</t>
  </si>
  <si>
    <t>Álvaro</t>
  </si>
  <si>
    <t>FIDALGO</t>
  </si>
  <si>
    <t>FIDALGO FERNÁNDEZ</t>
  </si>
  <si>
    <t>JIMENEZ Raul</t>
  </si>
  <si>
    <t>Raúl Alonso</t>
  </si>
  <si>
    <t>RAÚL</t>
  </si>
  <si>
    <t>JIMÉNEZ RODRÍGUEZ</t>
  </si>
  <si>
    <t>VEGA Alexis</t>
  </si>
  <si>
    <t>Ernesto Alexis</t>
  </si>
  <si>
    <t>A. VEGA</t>
  </si>
  <si>
    <t>Deportivo Toluca FC (MEX)</t>
  </si>
  <si>
    <t>VEGA ROJAS</t>
  </si>
  <si>
    <t>GIMENEZ Santiago</t>
  </si>
  <si>
    <t>Santiago Tomás</t>
  </si>
  <si>
    <t>S. GIMENEZ</t>
  </si>
  <si>
    <t>GIMENEZ</t>
  </si>
  <si>
    <t>ACEVEDO Carlos</t>
  </si>
  <si>
    <t>Carlos</t>
  </si>
  <si>
    <t>C. ACEVEDO</t>
  </si>
  <si>
    <t>Club Santos Laguna (MEX)</t>
  </si>
  <si>
    <t>ACEVEDO LÓPEZ</t>
  </si>
  <si>
    <t>OCHOA Guillermo</t>
  </si>
  <si>
    <t>Francisco Guillermo</t>
  </si>
  <si>
    <t>G. OCHOA</t>
  </si>
  <si>
    <t>AEL Limassol (CYP)</t>
  </si>
  <si>
    <t>OCHOA MAGAÑA</t>
  </si>
  <si>
    <t>GONZALEZ Armando</t>
  </si>
  <si>
    <t>Armando</t>
  </si>
  <si>
    <t>A. GONZÁLEZ</t>
  </si>
  <si>
    <t>GONZÁLEZ ALBA</t>
  </si>
  <si>
    <t>REYES Israel</t>
  </si>
  <si>
    <t>I. REYES</t>
  </si>
  <si>
    <t>Club América (MEX)</t>
  </si>
  <si>
    <t>REYES ROMERO</t>
  </si>
  <si>
    <t>QUINONES Julian</t>
  </si>
  <si>
    <t>Julián Andrés</t>
  </si>
  <si>
    <t>J. QUIÑONES</t>
  </si>
  <si>
    <t>QUIÑONES QUIÑONES</t>
  </si>
  <si>
    <t>PINEDA Orbelin</t>
  </si>
  <si>
    <t>Orbelín</t>
  </si>
  <si>
    <t>ORBELÍN</t>
  </si>
  <si>
    <t>AEK Athens (GRE)</t>
  </si>
  <si>
    <t>PINEDA ALVARADO</t>
  </si>
  <si>
    <t>VARGAS Obed</t>
  </si>
  <si>
    <t>Obed Goméz</t>
  </si>
  <si>
    <t>O. VARGAS</t>
  </si>
  <si>
    <t>VARGAS</t>
  </si>
  <si>
    <t>MORA Gilberto</t>
  </si>
  <si>
    <t>Gilberto Rafael</t>
  </si>
  <si>
    <t>G. MORA</t>
  </si>
  <si>
    <t>MORA ZAMBRANO</t>
  </si>
  <si>
    <t>CHAVEZ Mateo</t>
  </si>
  <si>
    <t>M. CHÁVEZ</t>
  </si>
  <si>
    <t>AZ Alkmaar (NED)</t>
  </si>
  <si>
    <t>CHÁVEZ GARCÍA</t>
  </si>
  <si>
    <t>HUERTA Cesar</t>
  </si>
  <si>
    <t>César Saúl</t>
  </si>
  <si>
    <t>C. HUERTA</t>
  </si>
  <si>
    <t>HUERTA VALERA</t>
  </si>
  <si>
    <t>MARTINEZ Guillermo</t>
  </si>
  <si>
    <t>Guillermo</t>
  </si>
  <si>
    <t>G. MARTÍNEZ</t>
  </si>
  <si>
    <t>MARTÍNEZ AYALA</t>
  </si>
  <si>
    <t>GALLARDO Jesus</t>
  </si>
  <si>
    <t>Jesús Daniel</t>
  </si>
  <si>
    <t>J. GALLARDO</t>
  </si>
  <si>
    <t>GALLARDO VASCONCELOS</t>
  </si>
  <si>
    <t>CHAVEZ Luis</t>
  </si>
  <si>
    <t>Luis Gerardo</t>
  </si>
  <si>
    <t>L. CHÁVEZ</t>
  </si>
  <si>
    <t>FC Dynamo Moscow (RUS)</t>
  </si>
  <si>
    <t>CHÁVEZ MAGALLÓN</t>
  </si>
  <si>
    <t>ALVARADO Roberto</t>
  </si>
  <si>
    <t>R. ALVARADO</t>
  </si>
  <si>
    <t>ALVARADO HERNÁNDEZ</t>
  </si>
  <si>
    <t>GUTIERREZ Brian</t>
  </si>
  <si>
    <t>Brian</t>
  </si>
  <si>
    <t>B. GUTIÉRREZ</t>
  </si>
  <si>
    <t>GUTIÉRREZ</t>
  </si>
  <si>
    <t>BOUNOU Yassine</t>
  </si>
  <si>
    <t>Yassine</t>
  </si>
  <si>
    <t>BONO</t>
  </si>
  <si>
    <t>BOUNOU</t>
  </si>
  <si>
    <t>HAKIMI Achraf</t>
  </si>
  <si>
    <t>Achraf</t>
  </si>
  <si>
    <t>HAKIMI</t>
  </si>
  <si>
    <t>MAZRAOUI Noussair</t>
  </si>
  <si>
    <t>Noussair</t>
  </si>
  <si>
    <t>MAZRAOUI</t>
  </si>
  <si>
    <t>AMRABAT Sofyan</t>
  </si>
  <si>
    <t>Sofyan</t>
  </si>
  <si>
    <t>AMRABAT</t>
  </si>
  <si>
    <t>SAADANE Marwane</t>
  </si>
  <si>
    <t>Marwane</t>
  </si>
  <si>
    <t>SAADANE</t>
  </si>
  <si>
    <t>Al Fateh SC (KSA)</t>
  </si>
  <si>
    <t>BOUADDI Ayyoub</t>
  </si>
  <si>
    <t>Ayyoub</t>
  </si>
  <si>
    <t>BOUADDI</t>
  </si>
  <si>
    <t>TALBI Chemsdine</t>
  </si>
  <si>
    <t>Chemsdine</t>
  </si>
  <si>
    <t>TALBI</t>
  </si>
  <si>
    <t>OUNAHI Azzedine</t>
  </si>
  <si>
    <t>Azz-Eddine</t>
  </si>
  <si>
    <t>OUNAHI</t>
  </si>
  <si>
    <t>RAHIMI Sou ane</t>
  </si>
  <si>
    <t>Sou ane</t>
  </si>
  <si>
    <t>RAHIMI</t>
  </si>
  <si>
    <t>DIAZ Brahim</t>
  </si>
  <si>
    <t>Brahim</t>
  </si>
  <si>
    <t>BRAHIM</t>
  </si>
  <si>
    <t>ABDELKADER DIAZ</t>
  </si>
  <si>
    <t>SAIBARI Ismael</t>
  </si>
  <si>
    <t>Ismael</t>
  </si>
  <si>
    <t>SAIBARI</t>
  </si>
  <si>
    <t>EL KAJOUI Munir</t>
  </si>
  <si>
    <t>Monir</t>
  </si>
  <si>
    <t>EL KAJOUI</t>
  </si>
  <si>
    <t>RS Berkane (MAR)</t>
  </si>
  <si>
    <t>EL OUAHDI Zakaria</t>
  </si>
  <si>
    <t>Zakaria</t>
  </si>
  <si>
    <t>EL OUAHDI</t>
  </si>
  <si>
    <t>DIOP Issa</t>
  </si>
  <si>
    <t>Issa Laye Lucas Jean</t>
  </si>
  <si>
    <t>ISSA</t>
  </si>
  <si>
    <t>DIOP</t>
  </si>
  <si>
    <t>EL MOURABET Samir</t>
  </si>
  <si>
    <t>Samir</t>
  </si>
  <si>
    <t>EL MOURABET</t>
  </si>
  <si>
    <t>YASSINE Gessime</t>
  </si>
  <si>
    <t>Gessime Ben Youssef Mustapha</t>
  </si>
  <si>
    <t>YASSINE</t>
  </si>
  <si>
    <t>SBAI Amine</t>
  </si>
  <si>
    <t>SBAÏ</t>
  </si>
  <si>
    <t>SBAI</t>
  </si>
  <si>
    <t>RIAD Chadi</t>
  </si>
  <si>
    <t>Chadi</t>
  </si>
  <si>
    <t>RIAD</t>
  </si>
  <si>
    <t>BELAMMARI Youssef</t>
  </si>
  <si>
    <t>Youssef</t>
  </si>
  <si>
    <t>BELAMMARI</t>
  </si>
  <si>
    <t>EL KAABI Ayoub</t>
  </si>
  <si>
    <t>Ayoub</t>
  </si>
  <si>
    <t>EL KAABI</t>
  </si>
  <si>
    <t>AMAIMOUNI Ayoube</t>
  </si>
  <si>
    <t>Ayoube</t>
  </si>
  <si>
    <t>AMAIMOUNI</t>
  </si>
  <si>
    <t>TAGNAOUTI Ahmed Reda</t>
  </si>
  <si>
    <t>Ahmed Reda</t>
  </si>
  <si>
    <t>TAGNAOUTI</t>
  </si>
  <si>
    <t>ASFAR (MAR)</t>
  </si>
  <si>
    <t>EL KHANNOUSS Bilal</t>
  </si>
  <si>
    <t>Bilal</t>
  </si>
  <si>
    <t>EL KHANNOUSS</t>
  </si>
  <si>
    <t>EL AYNAOUI Neil</t>
  </si>
  <si>
    <t>Neil Yoni</t>
  </si>
  <si>
    <t>EL AYNAOUI</t>
  </si>
  <si>
    <t>HALHAL Redouane</t>
  </si>
  <si>
    <t>Redouane</t>
  </si>
  <si>
    <t>HALHAL</t>
  </si>
  <si>
    <t>KV Mechelen (BEL)</t>
  </si>
  <si>
    <t>SALAH EDDINE Anass</t>
  </si>
  <si>
    <t>Anass</t>
  </si>
  <si>
    <t>SALAH-EDDINE</t>
  </si>
  <si>
    <t>SALAH EDDINE</t>
  </si>
  <si>
    <t>VERBRUGGEN Bart</t>
  </si>
  <si>
    <t>Bart</t>
  </si>
  <si>
    <t>VERBRUGGEN</t>
  </si>
  <si>
    <t>GEERTRUIDA Lutsharel</t>
  </si>
  <si>
    <t>Lutsharel Emiliano</t>
  </si>
  <si>
    <t>GEERTRUIDA</t>
  </si>
  <si>
    <t>DE ROON Marten</t>
  </si>
  <si>
    <t>Marten Elco</t>
  </si>
  <si>
    <t>DE ROON</t>
  </si>
  <si>
    <t>VAN DIJK Virgil</t>
  </si>
  <si>
    <t>Virgil</t>
  </si>
  <si>
    <t>VIRGIL</t>
  </si>
  <si>
    <t>VAN DIJK</t>
  </si>
  <si>
    <t>AKE Nathan</t>
  </si>
  <si>
    <t>Nathan Benjamin</t>
  </si>
  <si>
    <t>AKÉ</t>
  </si>
  <si>
    <t>AKE</t>
  </si>
  <si>
    <t>VAN HECKE Jan Paul</t>
  </si>
  <si>
    <t>Jan-Paul</t>
  </si>
  <si>
    <t>VAN HECKE</t>
  </si>
  <si>
    <t>KLUIVERT Justin</t>
  </si>
  <si>
    <t>Justin Dean</t>
  </si>
  <si>
    <t>KLUIVERT</t>
  </si>
  <si>
    <t>GRAVENBERCH Ryan</t>
  </si>
  <si>
    <t>Ryan Jiro</t>
  </si>
  <si>
    <t>GRAVENBERCH</t>
  </si>
  <si>
    <t>WEGHORST Wout</t>
  </si>
  <si>
    <t>Wout François Maria</t>
  </si>
  <si>
    <t>WEGHORST</t>
  </si>
  <si>
    <t>DEPAY Memphis</t>
  </si>
  <si>
    <t>Memphis</t>
  </si>
  <si>
    <t>MEMPHIS</t>
  </si>
  <si>
    <t>SC Corinthians (BRA)</t>
  </si>
  <si>
    <t>DEPAY</t>
  </si>
  <si>
    <t>GAKPO Cody</t>
  </si>
  <si>
    <t>Cody Mathès</t>
  </si>
  <si>
    <t>GAKPO</t>
  </si>
  <si>
    <t>WIEFFER Mats</t>
  </si>
  <si>
    <t>Mats Henrik Berne</t>
  </si>
  <si>
    <t>WIEFFER</t>
  </si>
  <si>
    <t>ROEFS Robin</t>
  </si>
  <si>
    <t>Robin Gerardus Petrus</t>
  </si>
  <si>
    <t>ROEFS</t>
  </si>
  <si>
    <t>REIJNDERS Tijjani</t>
  </si>
  <si>
    <t>Tijjani Martinus Jan</t>
  </si>
  <si>
    <t>REIJNDERS</t>
  </si>
  <si>
    <t>VAN DE VEN Micky</t>
  </si>
  <si>
    <t>Micky</t>
  </si>
  <si>
    <t>VAN DE VEN</t>
  </si>
  <si>
    <t>TIL Guus</t>
  </si>
  <si>
    <t>Guus Berend</t>
  </si>
  <si>
    <t>TIL</t>
  </si>
  <si>
    <t>LANG Noa</t>
  </si>
  <si>
    <t>Noa Noëll</t>
  </si>
  <si>
    <t>LANG</t>
  </si>
  <si>
    <t>MALEN Donyell</t>
  </si>
  <si>
    <t>Donyell</t>
  </si>
  <si>
    <t>MALEN</t>
  </si>
  <si>
    <t>BROBBEY Brian</t>
  </si>
  <si>
    <t>Brian Ebenezer Adjei</t>
  </si>
  <si>
    <t>BROBBEY</t>
  </si>
  <si>
    <t>KOOPMEINERS Teun</t>
  </si>
  <si>
    <t>Teun</t>
  </si>
  <si>
    <t>KOOPMEINERS</t>
  </si>
  <si>
    <t>DE JONG Frenkie</t>
  </si>
  <si>
    <t>Frenkie</t>
  </si>
  <si>
    <t>F. DE JONG</t>
  </si>
  <si>
    <t>DE JONG</t>
  </si>
  <si>
    <t>DUMFRIES Denzel</t>
  </si>
  <si>
    <t>Denzel Justus Morris</t>
  </si>
  <si>
    <t>DUMFRIES</t>
  </si>
  <si>
    <t>FLEKKEN Mark</t>
  </si>
  <si>
    <t>Mark Maria Hubertus</t>
  </si>
  <si>
    <t>FLEKKEN</t>
  </si>
  <si>
    <t>SUMMERVILLE Crysencio</t>
  </si>
  <si>
    <t>Crysencio Jilbert Sylverio Cir</t>
  </si>
  <si>
    <t>SUMMERVILLE</t>
  </si>
  <si>
    <t>HATO Jorrel</t>
  </si>
  <si>
    <t>Jorrel Evan</t>
  </si>
  <si>
    <t>HATO</t>
  </si>
  <si>
    <t>TIMBER Quinten</t>
  </si>
  <si>
    <t>Quinten Ryan Crispito</t>
  </si>
  <si>
    <t>Q. TIMBER</t>
  </si>
  <si>
    <t>TIMBER</t>
  </si>
  <si>
    <t>CROCOMBE Max</t>
  </si>
  <si>
    <t>Maxime Teremoana</t>
  </si>
  <si>
    <t>CROCOMBE</t>
  </si>
  <si>
    <t>Millwall FC (ENG)</t>
  </si>
  <si>
    <t>PAYNE Tim</t>
  </si>
  <si>
    <t>Timothy John</t>
  </si>
  <si>
    <t>PAYNE</t>
  </si>
  <si>
    <t>Wellington Phoenix FC (NZL)</t>
  </si>
  <si>
    <t>DE VRIES Francis</t>
  </si>
  <si>
    <t>Francis</t>
  </si>
  <si>
    <t>DE VRIES</t>
  </si>
  <si>
    <t>Auckland FC (NZL)</t>
  </si>
  <si>
    <t>BINDON Tyler</t>
  </si>
  <si>
    <t>Tyler Grant</t>
  </si>
  <si>
    <t>BINDON</t>
  </si>
  <si>
    <t>BOXALL Michael</t>
  </si>
  <si>
    <t>Michael Joseph</t>
  </si>
  <si>
    <t>BOXALL</t>
  </si>
  <si>
    <t>BELL Joe</t>
  </si>
  <si>
    <t>Joe Zen Robert</t>
  </si>
  <si>
    <t>BELL</t>
  </si>
  <si>
    <t>Viking Stavanger (NOR)</t>
  </si>
  <si>
    <t>ROGERSON Logan</t>
  </si>
  <si>
    <t>Logan Tipene</t>
  </si>
  <si>
    <t>ROGERSON</t>
  </si>
  <si>
    <t>STAMENIC Marko</t>
  </si>
  <si>
    <t>Marko Seufatu Nikola</t>
  </si>
  <si>
    <t>STAMENIC</t>
  </si>
  <si>
    <t>WOOD Chris</t>
  </si>
  <si>
    <t>Christopher Grant</t>
  </si>
  <si>
    <t>WOOD</t>
  </si>
  <si>
    <t>SINGH Sarpreet</t>
  </si>
  <si>
    <t>Sarpreet</t>
  </si>
  <si>
    <t>SINGH</t>
  </si>
  <si>
    <t>JUST Elijah</t>
  </si>
  <si>
    <t>Elijah Henry</t>
  </si>
  <si>
    <t>JUST</t>
  </si>
  <si>
    <t>Motherwell FC (SCO)</t>
  </si>
  <si>
    <t>PAULSEN Alex</t>
  </si>
  <si>
    <t>Alexander Noah</t>
  </si>
  <si>
    <t>PAULSEN</t>
  </si>
  <si>
    <t>Lechia Gdańsk (POL)</t>
  </si>
  <si>
    <t>CACACE Liberato</t>
  </si>
  <si>
    <t>Liberato Gianpaolo</t>
  </si>
  <si>
    <t>CACACE</t>
  </si>
  <si>
    <t>Wrexham AFC (WAL)</t>
  </si>
  <si>
    <t>RUFER Alex</t>
  </si>
  <si>
    <t>Alex Arthur</t>
  </si>
  <si>
    <t>RUFER</t>
  </si>
  <si>
    <t>PIJNAKER Nando</t>
  </si>
  <si>
    <t>Nando Zen</t>
  </si>
  <si>
    <t>PIJNAKER</t>
  </si>
  <si>
    <t>SURMAN Finn</t>
  </si>
  <si>
    <t>Finn</t>
  </si>
  <si>
    <t>SURMAN</t>
  </si>
  <si>
    <t>Portland Timbers (USA)</t>
  </si>
  <si>
    <t>BARBAROUSES Kosta</t>
  </si>
  <si>
    <t>Kosta</t>
  </si>
  <si>
    <t>BARBAROUSES</t>
  </si>
  <si>
    <t>WS Wanderers FC (AUS)</t>
  </si>
  <si>
    <t>WAINE Ben</t>
  </si>
  <si>
    <t>Benjamin Peter</t>
  </si>
  <si>
    <t>WAINE</t>
  </si>
  <si>
    <t>Port Vale FC (ENG)</t>
  </si>
  <si>
    <t>OLD Ben</t>
  </si>
  <si>
    <t>Benjamin Craig</t>
  </si>
  <si>
    <t>OLD</t>
  </si>
  <si>
    <t>McCOWATT Callum</t>
  </si>
  <si>
    <t>Callum William</t>
  </si>
  <si>
    <t>MCCOWATT</t>
  </si>
  <si>
    <t>Silkeborg IF (DEN)</t>
  </si>
  <si>
    <t>RANDALL Jesse</t>
  </si>
  <si>
    <t>Jesse Carmichael</t>
  </si>
  <si>
    <t>RANDALL</t>
  </si>
  <si>
    <t>WOUD Michael</t>
  </si>
  <si>
    <t>Michael Cornelis</t>
  </si>
  <si>
    <t>WOUD</t>
  </si>
  <si>
    <t>THOMAS Ryan</t>
  </si>
  <si>
    <t>Ryan Jared</t>
  </si>
  <si>
    <t>THOMAS</t>
  </si>
  <si>
    <t>ELLIOT Callan</t>
  </si>
  <si>
    <t>Callan Rennie</t>
  </si>
  <si>
    <t>ELLIOT</t>
  </si>
  <si>
    <t>BAYLISS Lachlan</t>
  </si>
  <si>
    <t>Lachlan Ryan</t>
  </si>
  <si>
    <t>BAYLISS</t>
  </si>
  <si>
    <t>Newcastle United Jets FC (AUS)</t>
  </si>
  <si>
    <t>SMITH Tommy</t>
  </si>
  <si>
    <t>Thomas Jefferson</t>
  </si>
  <si>
    <t>SMITH</t>
  </si>
  <si>
    <t>Braintree Town FC (ENG)</t>
  </si>
  <si>
    <t>NYLAND Orjan</t>
  </si>
  <si>
    <t>Ørjan Haskjold</t>
  </si>
  <si>
    <t>NYLAND</t>
  </si>
  <si>
    <t>Sevilla FC (ESP)</t>
  </si>
  <si>
    <t>THORSBY Morten</t>
  </si>
  <si>
    <t>Morten</t>
  </si>
  <si>
    <t>THORSBY</t>
  </si>
  <si>
    <t>US Cremonese (ITA)</t>
  </si>
  <si>
    <t>AJER Kristoffer</t>
  </si>
  <si>
    <t>Kristoffer Vassbakk Köpp</t>
  </si>
  <si>
    <t>VASSBAKK AJER</t>
  </si>
  <si>
    <t>AJER</t>
  </si>
  <si>
    <t>OSTIGARD Leo</t>
  </si>
  <si>
    <t>Leo Skiri</t>
  </si>
  <si>
    <t>ØSTIGÅRD</t>
  </si>
  <si>
    <t>MOLLER WOLFE David</t>
  </si>
  <si>
    <t>David Møller</t>
  </si>
  <si>
    <t>MØLLER WOLFE</t>
  </si>
  <si>
    <t>WOLFE</t>
  </si>
  <si>
    <t>BERG Patrick</t>
  </si>
  <si>
    <t>BERG</t>
  </si>
  <si>
    <t>FK Bodø/Glimt (NOR)</t>
  </si>
  <si>
    <t>SORLOTH Alexander</t>
  </si>
  <si>
    <t>SØRLOTH</t>
  </si>
  <si>
    <t>BERGE Sander</t>
  </si>
  <si>
    <t>Sander Gard Bolin</t>
  </si>
  <si>
    <t>BERGE</t>
  </si>
  <si>
    <t>HAALAND Erling</t>
  </si>
  <si>
    <t>Erling Braut</t>
  </si>
  <si>
    <t>BRAUT HAALAND</t>
  </si>
  <si>
    <t>HAALAND</t>
  </si>
  <si>
    <t>ODEGAARD Martin</t>
  </si>
  <si>
    <t>Martín</t>
  </si>
  <si>
    <t>ØDEGAARD</t>
  </si>
  <si>
    <t>STRAND LARSEN Jorgen</t>
  </si>
  <si>
    <t>Jørgen Strand</t>
  </si>
  <si>
    <t>STRAND LARSEN</t>
  </si>
  <si>
    <t>LARSEN</t>
  </si>
  <si>
    <t>TANGVIK Sander</t>
  </si>
  <si>
    <t>Sander</t>
  </si>
  <si>
    <t>TANGVIK</t>
  </si>
  <si>
    <t>SELVIK Egil</t>
  </si>
  <si>
    <t>Egil</t>
  </si>
  <si>
    <t>SELVIK</t>
  </si>
  <si>
    <t>AURSNES Fredrik</t>
  </si>
  <si>
    <t>Fredrik</t>
  </si>
  <si>
    <t>AURSNES</t>
  </si>
  <si>
    <t>BJORKAN Fredrik Andre</t>
  </si>
  <si>
    <t>Fredrik André</t>
  </si>
  <si>
    <t>BJØRKAN</t>
  </si>
  <si>
    <t>HOLMGREN PEDERSEN Marcus</t>
  </si>
  <si>
    <t>Marcus Holmgren</t>
  </si>
  <si>
    <t>HOLMGREN</t>
  </si>
  <si>
    <t>PEDERSEN</t>
  </si>
  <si>
    <t>HEGGEM Torbjorn</t>
  </si>
  <si>
    <t>Torbjørn Lysaker</t>
  </si>
  <si>
    <t>HEGGEM</t>
  </si>
  <si>
    <t>THORSTVEDT Kristian</t>
  </si>
  <si>
    <t>Kristian</t>
  </si>
  <si>
    <t>THORSTVEDT</t>
  </si>
  <si>
    <t>AASGAARD Thelo</t>
  </si>
  <si>
    <t>Thelonious Gerard</t>
  </si>
  <si>
    <t>AASGAARD</t>
  </si>
  <si>
    <t>NUSA Antonio</t>
  </si>
  <si>
    <t>Antonio Eromonsele Nordby</t>
  </si>
  <si>
    <t>NUSA</t>
  </si>
  <si>
    <t>SCHJELDERUP Andreas</t>
  </si>
  <si>
    <t>Andreas Rædergård</t>
  </si>
  <si>
    <t>SCHJELDERUP</t>
  </si>
  <si>
    <t>BOBB Oscar</t>
  </si>
  <si>
    <t>Oscar</t>
  </si>
  <si>
    <t>BOBB</t>
  </si>
  <si>
    <t>HAUGE Jens Petter</t>
  </si>
  <si>
    <t>Jens Petter</t>
  </si>
  <si>
    <t>HAUGE</t>
  </si>
  <si>
    <t>LANGAS Sondre</t>
  </si>
  <si>
    <t>Sondre Klingen</t>
  </si>
  <si>
    <t>LANGÅS</t>
  </si>
  <si>
    <t>Derby County FC (ENG)</t>
  </si>
  <si>
    <t>FALCHENER Henrik</t>
  </si>
  <si>
    <t>Henrik Sælebakke</t>
  </si>
  <si>
    <t>FALCHENER</t>
  </si>
  <si>
    <t>RYERSON Julian</t>
  </si>
  <si>
    <t>Julian</t>
  </si>
  <si>
    <t>RYERSON</t>
  </si>
  <si>
    <t>MEJIA Luis</t>
  </si>
  <si>
    <t>Luis Ricardo</t>
  </si>
  <si>
    <t>MEJIA</t>
  </si>
  <si>
    <t>Club Nacional (URU)</t>
  </si>
  <si>
    <t>MEJÍA CAJAR</t>
  </si>
  <si>
    <t>BLACKMAN Cesar</t>
  </si>
  <si>
    <t>Cesar Rodolfo</t>
  </si>
  <si>
    <t>BLACKMAN</t>
  </si>
  <si>
    <t>ŠK Slovan Bratislava (SVK)</t>
  </si>
  <si>
    <t>BLACKMAN CAMARENA</t>
  </si>
  <si>
    <t>CORDOBA Jose</t>
  </si>
  <si>
    <t>Jose Angel</t>
  </si>
  <si>
    <t>CORDOBA CHAMBERS</t>
  </si>
  <si>
    <t>ESCOBAR Fidel</t>
  </si>
  <si>
    <t>Fidel</t>
  </si>
  <si>
    <t>F. ESCOBAR</t>
  </si>
  <si>
    <t>Deportivo Saprissa (CRC)</t>
  </si>
  <si>
    <t>ESCOBAR MENDIETA</t>
  </si>
  <si>
    <t>FARINA Edgardo</t>
  </si>
  <si>
    <t>Edgardo Issac</t>
  </si>
  <si>
    <t>FARIÑA</t>
  </si>
  <si>
    <t>FC Pari Nizhny Novgorod (RUS)</t>
  </si>
  <si>
    <t>FARIÑA WYNTER</t>
  </si>
  <si>
    <t>MARTINEZ Cristian</t>
  </si>
  <si>
    <t>Cristian Jesus</t>
  </si>
  <si>
    <t>Hapoel Kiryat Shmona FC (ISR)</t>
  </si>
  <si>
    <t>MARTINEZ</t>
  </si>
  <si>
    <t>RODRIGUEZ Jose Luis</t>
  </si>
  <si>
    <t>Jose Luis</t>
  </si>
  <si>
    <t>J.L. RODRÍGUEZ</t>
  </si>
  <si>
    <t>FC Juárez (MEX)</t>
  </si>
  <si>
    <t>RODRIGUEZ FRANCIS</t>
  </si>
  <si>
    <t>CARRASQUILLA Adalberto</t>
  </si>
  <si>
    <t>Adalberto Eliecer</t>
  </si>
  <si>
    <t>CARRASQUILLA</t>
  </si>
  <si>
    <t>CARRASQUILLA ALCAZAR</t>
  </si>
  <si>
    <t>RODRIGUEZ Tomas</t>
  </si>
  <si>
    <t>Tomas Abdiel</t>
  </si>
  <si>
    <t>T. RODRÍGUEZ</t>
  </si>
  <si>
    <t>RODRIGUEZ MENA</t>
  </si>
  <si>
    <t>DIAZ Ismael</t>
  </si>
  <si>
    <t>ISMAEL</t>
  </si>
  <si>
    <t>Club León (MEX)</t>
  </si>
  <si>
    <t>DIAZ DE LEON</t>
  </si>
  <si>
    <t>BARCENAS Edgar Yoel</t>
  </si>
  <si>
    <t>Edgar Yoel</t>
  </si>
  <si>
    <t>BÁRCENAS</t>
  </si>
  <si>
    <t>Mazatlán FC (MEX)</t>
  </si>
  <si>
    <t>BARCENAS HERRERA</t>
  </si>
  <si>
    <t>SAMUDIO Cesar</t>
  </si>
  <si>
    <t>Cesar Jair</t>
  </si>
  <si>
    <t>SAMUDIO</t>
  </si>
  <si>
    <t>CD Marathón (HON)</t>
  </si>
  <si>
    <t>SAMUDIO MURILLO</t>
  </si>
  <si>
    <t>RAMOS Jiovany</t>
  </si>
  <si>
    <t>Jiovany Javier</t>
  </si>
  <si>
    <t>RAMOS</t>
  </si>
  <si>
    <t>Puerto Cabello CF (VEN)</t>
  </si>
  <si>
    <t>RAMOS DIAZ</t>
  </si>
  <si>
    <t>HARVEY Carlos</t>
  </si>
  <si>
    <t>Carlos Miguel</t>
  </si>
  <si>
    <t>HARVEY</t>
  </si>
  <si>
    <t>HARVEY CESNEROS</t>
  </si>
  <si>
    <t>DAVIS Eric</t>
  </si>
  <si>
    <t>Eric Javier</t>
  </si>
  <si>
    <t>DAVIS</t>
  </si>
  <si>
    <t>CD Plaza Amador (PAN)</t>
  </si>
  <si>
    <t>DAVIS GRAJALES</t>
  </si>
  <si>
    <t>ANDRADE Andres</t>
  </si>
  <si>
    <t>Andres Alberto</t>
  </si>
  <si>
    <t>ANDRADE</t>
  </si>
  <si>
    <t>ANDRADE CEDEÑO</t>
  </si>
  <si>
    <t>FAJARDO Jose</t>
  </si>
  <si>
    <t>Jose</t>
  </si>
  <si>
    <t>FAJARDO</t>
  </si>
  <si>
    <t>CD Universidad Católica (ECU)</t>
  </si>
  <si>
    <t>FAJARDO NELSON</t>
  </si>
  <si>
    <t>WATERMAN Cecilio</t>
  </si>
  <si>
    <t>Cecilio Alfonso</t>
  </si>
  <si>
    <t>CD Universidad De Concepción (CHI)</t>
  </si>
  <si>
    <t>WATERMAN RUIZ</t>
  </si>
  <si>
    <t>QUINTERO Alberto</t>
  </si>
  <si>
    <t>Alberto Abdiel</t>
  </si>
  <si>
    <t>QUINTERO MEDINA</t>
  </si>
  <si>
    <t>GODOY Anibal</t>
  </si>
  <si>
    <t>Anibal Casis</t>
  </si>
  <si>
    <t>GODOY</t>
  </si>
  <si>
    <t>GODOY LEMUS</t>
  </si>
  <si>
    <t>YANIS Cesar</t>
  </si>
  <si>
    <t>Cesar Augusto</t>
  </si>
  <si>
    <t>YANIS</t>
  </si>
  <si>
    <t>CD Cobresal (CHI)</t>
  </si>
  <si>
    <t>YANIS VELASCO</t>
  </si>
  <si>
    <t>MOSQUERA Orlando</t>
  </si>
  <si>
    <t>Orlando</t>
  </si>
  <si>
    <t>MOSQUERA</t>
  </si>
  <si>
    <t>Al Fayha FC (KSA)</t>
  </si>
  <si>
    <t>MURILLO Amir</t>
  </si>
  <si>
    <t>Michael Amir</t>
  </si>
  <si>
    <t>A. MURILLO</t>
  </si>
  <si>
    <t>MURILLO BERMUDEZ</t>
  </si>
  <si>
    <t>LONDONO Azarias</t>
  </si>
  <si>
    <t>Azarías Emmanuel</t>
  </si>
  <si>
    <t>LONDOÑO</t>
  </si>
  <si>
    <t>LONDOÑO GONZALEZ</t>
  </si>
  <si>
    <t>MILLER Roderick</t>
  </si>
  <si>
    <t>Roderick Alonso</t>
  </si>
  <si>
    <t>MILLER</t>
  </si>
  <si>
    <t>Turan Tovuz (AZE)</t>
  </si>
  <si>
    <t>MILLER MOLINA</t>
  </si>
  <si>
    <t>GUTIERREZ Jorge</t>
  </si>
  <si>
    <t>Jorge Abdiel</t>
  </si>
  <si>
    <t>Deportivo La Guaira (VEN)</t>
  </si>
  <si>
    <t>GUTIERREZ CORNEJO</t>
  </si>
  <si>
    <t>FERNANDEZ Gatito</t>
  </si>
  <si>
    <t>Roberto Junior</t>
  </si>
  <si>
    <t>Cerro Porteño (PAR)</t>
  </si>
  <si>
    <t>FERNANDEZ TORRES</t>
  </si>
  <si>
    <t>VELAZQUEZ Gustavo</t>
  </si>
  <si>
    <t>Victor Gustavo</t>
  </si>
  <si>
    <t>VELÁZQUEZ</t>
  </si>
  <si>
    <t>VELAZQUEZ RAMOS</t>
  </si>
  <si>
    <t>ALDERETE Omar</t>
  </si>
  <si>
    <t>Omar Federico</t>
  </si>
  <si>
    <t>ALDERETE</t>
  </si>
  <si>
    <t>ALDERETE FERNANDEZ</t>
  </si>
  <si>
    <t>CACERES Juan Jose</t>
  </si>
  <si>
    <t>Juan Jose</t>
  </si>
  <si>
    <t>CÁCERES</t>
  </si>
  <si>
    <t>CACERES</t>
  </si>
  <si>
    <t>BALBUENA Fabian</t>
  </si>
  <si>
    <t>Fabián Cornelio</t>
  </si>
  <si>
    <t>BALBUENA</t>
  </si>
  <si>
    <t>BALBUENA GONZÁLEZ</t>
  </si>
  <si>
    <t>ALONSO Junior</t>
  </si>
  <si>
    <t>Júnior Osmar Ignacio</t>
  </si>
  <si>
    <t>ALONSO</t>
  </si>
  <si>
    <t>ALONSO MUJICA</t>
  </si>
  <si>
    <t>SOSA Ramon</t>
  </si>
  <si>
    <t>Ramón</t>
  </si>
  <si>
    <t>SOSA</t>
  </si>
  <si>
    <t>SOSA ACOSTA</t>
  </si>
  <si>
    <t>GOMEZ Diego</t>
  </si>
  <si>
    <t>Diego Alexander</t>
  </si>
  <si>
    <t>D. GÓMEZ</t>
  </si>
  <si>
    <t>GOMEZ AMARILLA</t>
  </si>
  <si>
    <t>SANABRIA Antonio</t>
  </si>
  <si>
    <t>Arnaldo Antonio</t>
  </si>
  <si>
    <t>SANABRIA</t>
  </si>
  <si>
    <t>SANABRIA AYALA</t>
  </si>
  <si>
    <t>ALMIRON Miguel</t>
  </si>
  <si>
    <t>Miguel Angel</t>
  </si>
  <si>
    <t>ALMIRÓN</t>
  </si>
  <si>
    <t>Atlanta United FC (USA)</t>
  </si>
  <si>
    <t>ALMIRON REJALA</t>
  </si>
  <si>
    <t>MAURICIO</t>
  </si>
  <si>
    <t>Mauricio</t>
  </si>
  <si>
    <t>MAGALHAES PRADO</t>
  </si>
  <si>
    <t>GILL Orlando</t>
  </si>
  <si>
    <t>Orlando Daniel</t>
  </si>
  <si>
    <t>O. GILL</t>
  </si>
  <si>
    <t>CA San Lorenzo (ARG)</t>
  </si>
  <si>
    <t>GILL NOLDIN</t>
  </si>
  <si>
    <t>CANALE Jose</t>
  </si>
  <si>
    <t>Jose Maria</t>
  </si>
  <si>
    <t>CANALE</t>
  </si>
  <si>
    <t>CA Lanús (ARG)</t>
  </si>
  <si>
    <t>CANALE DOMINGUEZ</t>
  </si>
  <si>
    <t>CUBAS Andres</t>
  </si>
  <si>
    <t>Adrián Andrés</t>
  </si>
  <si>
    <t>CUBAS</t>
  </si>
  <si>
    <t>Vancouver Whitecaps FC (CAN)</t>
  </si>
  <si>
    <t>GOMEZ Gustavo</t>
  </si>
  <si>
    <t>Gustavo Raul</t>
  </si>
  <si>
    <t>G. GÓMEZ</t>
  </si>
  <si>
    <t>GÓMEZ PORTILLO</t>
  </si>
  <si>
    <t>BOBADILLA Damian</t>
  </si>
  <si>
    <t>Damián Josue</t>
  </si>
  <si>
    <t>BOBADILLA</t>
  </si>
  <si>
    <t>São Paulo FC (BRA)</t>
  </si>
  <si>
    <t>BOBADILLA BENITEZ</t>
  </si>
  <si>
    <t>ROMERO GAMARRA Alejandro</t>
  </si>
  <si>
    <t>Alejandro Sebastian</t>
  </si>
  <si>
    <t>R. GAMARRA</t>
  </si>
  <si>
    <t>ROMERO GAMARRA</t>
  </si>
  <si>
    <t>ARCE Alex</t>
  </si>
  <si>
    <t>Alex Adrian</t>
  </si>
  <si>
    <t>ARCE</t>
  </si>
  <si>
    <t>CS Independiente Rivadavia (ARG)</t>
  </si>
  <si>
    <t>ARCE BARRIOS</t>
  </si>
  <si>
    <t>ENCISO Julio</t>
  </si>
  <si>
    <t>Julio Cesar</t>
  </si>
  <si>
    <t>ENCISO</t>
  </si>
  <si>
    <t>ENCISO ESPINOLA</t>
  </si>
  <si>
    <t>OJEDA Braian</t>
  </si>
  <si>
    <t>Braian Oscar</t>
  </si>
  <si>
    <t>OJEDA</t>
  </si>
  <si>
    <t>OJEDA RODRIGUEZ</t>
  </si>
  <si>
    <t>AVALOS Gabriel</t>
  </si>
  <si>
    <t>AVALOS</t>
  </si>
  <si>
    <t>AVALOS STUMPFS</t>
  </si>
  <si>
    <t>OLVEIRA Gaston</t>
  </si>
  <si>
    <t>Gastón Hernán</t>
  </si>
  <si>
    <t>OLVEIRA</t>
  </si>
  <si>
    <t>Club Olimpia (PAR)</t>
  </si>
  <si>
    <t>OLVEIRA ECHEVERRIA</t>
  </si>
  <si>
    <t>GALARZA Matias</t>
  </si>
  <si>
    <t>GALARZA</t>
  </si>
  <si>
    <t>GALARZA FONDA</t>
  </si>
  <si>
    <t>CABALLERO Gustavo</t>
  </si>
  <si>
    <t>Gustavo Ruben</t>
  </si>
  <si>
    <t>CABALLERO</t>
  </si>
  <si>
    <t>Portsmouth FC (ENG)</t>
  </si>
  <si>
    <t>CABALLERO GONZALEZ</t>
  </si>
  <si>
    <t>PITTA Isidro</t>
  </si>
  <si>
    <t>Isidro Miguel</t>
  </si>
  <si>
    <t>PITTA</t>
  </si>
  <si>
    <t>Red Bull Bragantino (BRA)</t>
  </si>
  <si>
    <t>PITTA SALDIVAR</t>
  </si>
  <si>
    <t>MAIDANA Alexandro</t>
  </si>
  <si>
    <t>Alexandro</t>
  </si>
  <si>
    <t>MAIDANA</t>
  </si>
  <si>
    <t>CA Talleres (ARG)</t>
  </si>
  <si>
    <t>MAIDANA MENDIETA</t>
  </si>
  <si>
    <t>DIOGO COSTA</t>
  </si>
  <si>
    <t>Diogo</t>
  </si>
  <si>
    <t>MEIRELES DA COSTA</t>
  </si>
  <si>
    <t>NELSON SEMEDO</t>
  </si>
  <si>
    <t>Nélson</t>
  </si>
  <si>
    <t>N. SEMEDO</t>
  </si>
  <si>
    <t>CABRAL SEMEDO</t>
  </si>
  <si>
    <t>RUBEN DIAS</t>
  </si>
  <si>
    <t>Rúben</t>
  </si>
  <si>
    <t>RÚBEN DIAS</t>
  </si>
  <si>
    <t>DOS SANTOS GATO ALVES DIAS</t>
  </si>
  <si>
    <t>TOMAS ARAUJO</t>
  </si>
  <si>
    <t>Tomás</t>
  </si>
  <si>
    <t>TOMÁS A.</t>
  </si>
  <si>
    <t>LEMOS ARAÚJO</t>
  </si>
  <si>
    <t>DIOGO DALOT</t>
  </si>
  <si>
    <t>José Diogo</t>
  </si>
  <si>
    <t>DALOT</t>
  </si>
  <si>
    <t>DALOT TEIXEIRA</t>
  </si>
  <si>
    <t>MATHEUS NUNES</t>
  </si>
  <si>
    <t>Matheus Luiz</t>
  </si>
  <si>
    <t>MATHEUS N.</t>
  </si>
  <si>
    <t>NUNES</t>
  </si>
  <si>
    <t>CRISTIANO RONALDO</t>
  </si>
  <si>
    <t>Cristiano Ronaldo</t>
  </si>
  <si>
    <t>RONALDO</t>
  </si>
  <si>
    <t>Al Nassr FC (KSA)</t>
  </si>
  <si>
    <t>DOS SANTOS AVEIRO</t>
  </si>
  <si>
    <t>BRUNO FERNANDES</t>
  </si>
  <si>
    <t>Bruno Miguel</t>
  </si>
  <si>
    <t>B. FERNANDES</t>
  </si>
  <si>
    <t>BORGES FERNANDES</t>
  </si>
  <si>
    <t>GONCALO RAMOS</t>
  </si>
  <si>
    <t>Gonçalo</t>
  </si>
  <si>
    <t>G. RAMOS</t>
  </si>
  <si>
    <t>MATIAS RAMOS</t>
  </si>
  <si>
    <t>BERNARDO SILVA</t>
  </si>
  <si>
    <t>Bernardo</t>
  </si>
  <si>
    <t>BERNARDO</t>
  </si>
  <si>
    <t>MOTA VEIGA DE CARVALHO E SILVA</t>
  </si>
  <si>
    <t>JOAO FELIX</t>
  </si>
  <si>
    <t>João</t>
  </si>
  <si>
    <t>JOÃO FÉLIX</t>
  </si>
  <si>
    <t>FÉLIX SEQUEIRA</t>
  </si>
  <si>
    <t>JOSE SA</t>
  </si>
  <si>
    <t>José Pedro</t>
  </si>
  <si>
    <t>JOSÉ SÁ</t>
  </si>
  <si>
    <t>MALHEIRO DE SÁ</t>
  </si>
  <si>
    <t>RENATO VEIGA</t>
  </si>
  <si>
    <t>Renato</t>
  </si>
  <si>
    <t>DA PALMA VEIGA</t>
  </si>
  <si>
    <t>GONCALO INACIO</t>
  </si>
  <si>
    <t>G. INÁCIO</t>
  </si>
  <si>
    <t>BERNARDO INÁCIO</t>
  </si>
  <si>
    <t>JOAO NEVES</t>
  </si>
  <si>
    <t>João Pedro</t>
  </si>
  <si>
    <t>JOÃO NEVES</t>
  </si>
  <si>
    <t>GONÇALVES NEVES</t>
  </si>
  <si>
    <t>FRANCISCO TRINCAO</t>
  </si>
  <si>
    <t>Francisco António</t>
  </si>
  <si>
    <t>TRINCÃO</t>
  </si>
  <si>
    <t>MACHADO MOTA DE CASTRO TRINCÃO</t>
  </si>
  <si>
    <t>RAFAEL LEAO</t>
  </si>
  <si>
    <t>Rafael Alexandre</t>
  </si>
  <si>
    <t>RAFA LEÃO</t>
  </si>
  <si>
    <t>DA CONCEIÇÃO LEÃO</t>
  </si>
  <si>
    <t>PEDRO NETO</t>
  </si>
  <si>
    <t>Pedro</t>
  </si>
  <si>
    <t>NETO</t>
  </si>
  <si>
    <t>LOMBA NETO</t>
  </si>
  <si>
    <t>GONCALO GUEDES</t>
  </si>
  <si>
    <t>Gonçalo Manuel</t>
  </si>
  <si>
    <t>G. GUEDES</t>
  </si>
  <si>
    <t>GANCHINHO GUEDES</t>
  </si>
  <si>
    <t>JOAO CANCELO</t>
  </si>
  <si>
    <t>JOÃO CANCELO</t>
  </si>
  <si>
    <t>CAVACO CANCELO</t>
  </si>
  <si>
    <t>RUBEN NEVES</t>
  </si>
  <si>
    <t>Rúben Diogo</t>
  </si>
  <si>
    <t>R. NEVES</t>
  </si>
  <si>
    <t>DA SILVA NEVES</t>
  </si>
  <si>
    <t>RUI SILVA</t>
  </si>
  <si>
    <t>Rui Tiago</t>
  </si>
  <si>
    <t>DANTAS DA SILVA</t>
  </si>
  <si>
    <t>VITINHA</t>
  </si>
  <si>
    <t>Vitor</t>
  </si>
  <si>
    <t>MACHADO FERREIRA</t>
  </si>
  <si>
    <t>SAMU COSTA</t>
  </si>
  <si>
    <t>Samuel</t>
  </si>
  <si>
    <t>SAMU</t>
  </si>
  <si>
    <t>DE ALMEIDA COSTA</t>
  </si>
  <si>
    <t>NUNO MENDES</t>
  </si>
  <si>
    <t>Nuno Alexandre</t>
  </si>
  <si>
    <t>N. MENDES</t>
  </si>
  <si>
    <t>TAVARES MENDES</t>
  </si>
  <si>
    <t>FRANCISCO CONCEICAO</t>
  </si>
  <si>
    <t>Francisco</t>
  </si>
  <si>
    <t>F. CONCEIÇÃO</t>
  </si>
  <si>
    <t>FERNANDES DA CONCEIÇÃO</t>
  </si>
  <si>
    <t>MAHMOUD ABUNADA</t>
  </si>
  <si>
    <t>Mahmoud Ibrahim M</t>
  </si>
  <si>
    <t>ABUNADA</t>
  </si>
  <si>
    <t>Al Rayyan SC (QAT)</t>
  </si>
  <si>
    <t>PEDRO MIGUEL</t>
  </si>
  <si>
    <t>Pedro Miguel D D</t>
  </si>
  <si>
    <t>PEDRO</t>
  </si>
  <si>
    <t>Al Sadd SC (QAT)</t>
  </si>
  <si>
    <t>CORREIA</t>
  </si>
  <si>
    <t>LUCAS MENDES</t>
  </si>
  <si>
    <t>Lucas Michel</t>
  </si>
  <si>
    <t>L.MENDES</t>
  </si>
  <si>
    <t>MENDES</t>
  </si>
  <si>
    <t>ISSA LAYE</t>
  </si>
  <si>
    <t>Gueye</t>
  </si>
  <si>
    <t>GUEYE</t>
  </si>
  <si>
    <t>Al Arabi SC (QAT)</t>
  </si>
  <si>
    <t>SEYDINAISSALAYE</t>
  </si>
  <si>
    <t>JASSEM GABER</t>
  </si>
  <si>
    <t>Jassem Gaber E</t>
  </si>
  <si>
    <t>JASSEM</t>
  </si>
  <si>
    <t>ABDULSALLAM</t>
  </si>
  <si>
    <t>ABDULAZIZ HATEM</t>
  </si>
  <si>
    <t>Abdelaziz Hatim A</t>
  </si>
  <si>
    <t>A. AZIZ</t>
  </si>
  <si>
    <t>AHMED ALAAELDIN</t>
  </si>
  <si>
    <t>Ahmed Alaaeldin B M</t>
  </si>
  <si>
    <t>ALAAELDIN</t>
  </si>
  <si>
    <t>ABDELMOTAAL</t>
  </si>
  <si>
    <t>EDMILSON JUNIOR</t>
  </si>
  <si>
    <t>Edmilson Junior P</t>
  </si>
  <si>
    <t>EDMILSON JR.</t>
  </si>
  <si>
    <t>DASILVA</t>
  </si>
  <si>
    <t>MOHAMMED MUNTARI</t>
  </si>
  <si>
    <t>Mohammed</t>
  </si>
  <si>
    <t>MUNTARI</t>
  </si>
  <si>
    <t>Al Gharafa SC (QAT)</t>
  </si>
  <si>
    <t>HASSAN ALHAYDOS</t>
  </si>
  <si>
    <t>Hasan Khalid H</t>
  </si>
  <si>
    <t>ALHAYDOS</t>
  </si>
  <si>
    <t>AKRAM AFIF</t>
  </si>
  <si>
    <t>Akram Hassan A Y</t>
  </si>
  <si>
    <t>AFIF</t>
  </si>
  <si>
    <t>KARIM BOUDIAF</t>
  </si>
  <si>
    <t>Karim</t>
  </si>
  <si>
    <t>KARIM</t>
  </si>
  <si>
    <t>BOUDIAF</t>
  </si>
  <si>
    <t>AYOUB ALOUI</t>
  </si>
  <si>
    <t>Ayoub Mohamed</t>
  </si>
  <si>
    <t>AYOUB</t>
  </si>
  <si>
    <t>ALOUI</t>
  </si>
  <si>
    <t>HOMAM AHMED</t>
  </si>
  <si>
    <t>Homam Elamin M</t>
  </si>
  <si>
    <t>HOMAM</t>
  </si>
  <si>
    <t>Cultural Leonesa (ESP)</t>
  </si>
  <si>
    <t>YUSUF ABDURISAG</t>
  </si>
  <si>
    <t>Yusuf Abdurisag</t>
  </si>
  <si>
    <t>YUSUF</t>
  </si>
  <si>
    <t>BOUALEM KHOUKHI</t>
  </si>
  <si>
    <t>Boualem</t>
  </si>
  <si>
    <t>KHOUKHI</t>
  </si>
  <si>
    <t>AHMED ALGANEHI</t>
  </si>
  <si>
    <t>Ahmed Mohamed H K</t>
  </si>
  <si>
    <t>A. ALGANEHI</t>
  </si>
  <si>
    <t>ALGANEHI</t>
  </si>
  <si>
    <t>SULTAN ALBRAKE</t>
  </si>
  <si>
    <t>Sultan Hussain M H</t>
  </si>
  <si>
    <t>SULTAN</t>
  </si>
  <si>
    <t>AL-BRAKE</t>
  </si>
  <si>
    <t>ALMOEZ ALI</t>
  </si>
  <si>
    <t>Almoez Ali Zainelabdeen M</t>
  </si>
  <si>
    <t>ALMOEZ</t>
  </si>
  <si>
    <t>ABDULLA</t>
  </si>
  <si>
    <t>AHMED FATHY</t>
  </si>
  <si>
    <t>Ahmed Fathy M</t>
  </si>
  <si>
    <t>A. FATHY</t>
  </si>
  <si>
    <t>ABDOULLA</t>
  </si>
  <si>
    <t>SALAH ZAKARIA</t>
  </si>
  <si>
    <t>Salah Zakaria M M</t>
  </si>
  <si>
    <t>SALAH</t>
  </si>
  <si>
    <t>MESHAAL BARSHAM</t>
  </si>
  <si>
    <t>Meshaal Aissa M</t>
  </si>
  <si>
    <t>BARSHAM</t>
  </si>
  <si>
    <t>ASSIM MADIBO</t>
  </si>
  <si>
    <t>Assim Omer A</t>
  </si>
  <si>
    <t>MADIBO</t>
  </si>
  <si>
    <t>TAHSIN MOHAMMED</t>
  </si>
  <si>
    <t>Tahsin Mohammad</t>
  </si>
  <si>
    <t>TAHSIN</t>
  </si>
  <si>
    <t>JAMSHID</t>
  </si>
  <si>
    <t>ALHASHMI ALHUSSEIN</t>
  </si>
  <si>
    <t>Alhashmi Alhussein A</t>
  </si>
  <si>
    <t>ALHASHMI</t>
  </si>
  <si>
    <t>MOHIALDIN</t>
  </si>
  <si>
    <t>MOHAMED MANAI</t>
  </si>
  <si>
    <t>Mohamed Naceur</t>
  </si>
  <si>
    <t>MANAI</t>
  </si>
  <si>
    <t>Al Shamal SC (QAT)</t>
  </si>
  <si>
    <t>NAWAF ALAQIDI</t>
  </si>
  <si>
    <t>Nawaf Dhahi F</t>
  </si>
  <si>
    <t>ALAQIDI</t>
  </si>
  <si>
    <t>ALI MAJRASHI</t>
  </si>
  <si>
    <t>Ali Hassan M</t>
  </si>
  <si>
    <t>MAJRASHI</t>
  </si>
  <si>
    <t>ALI LAJAMI</t>
  </si>
  <si>
    <t>Ali Mohammed A</t>
  </si>
  <si>
    <t>LAJAMI</t>
  </si>
  <si>
    <t>ABDULELAH ALAMRI</t>
  </si>
  <si>
    <t>Abdulelah Ali A</t>
  </si>
  <si>
    <t>ALAMRI</t>
  </si>
  <si>
    <t>HASSAN ALTAMBAKTI</t>
  </si>
  <si>
    <t>Hassan Mohammed O</t>
  </si>
  <si>
    <t>ALTAMBAKTI</t>
  </si>
  <si>
    <t>NASSER ALDAWSARI</t>
  </si>
  <si>
    <t>Nasser Essa S</t>
  </si>
  <si>
    <t>NASSER</t>
  </si>
  <si>
    <t>ALDAWSARI</t>
  </si>
  <si>
    <t>MUSAB ALJUWAYR</t>
  </si>
  <si>
    <t>Musab Fahad Z</t>
  </si>
  <si>
    <t>MUSAB</t>
  </si>
  <si>
    <t>ALJUWAYR</t>
  </si>
  <si>
    <t>AIMAN YAHYA</t>
  </si>
  <si>
    <t>Aiman Yahya Y</t>
  </si>
  <si>
    <t>AIMAN</t>
  </si>
  <si>
    <t>FERAS ALBRIKAN</t>
  </si>
  <si>
    <t>Feras Tariq N</t>
  </si>
  <si>
    <t>FERAS</t>
  </si>
  <si>
    <t>ALBRIKAN</t>
  </si>
  <si>
    <t>SALEM ALDAWSARI</t>
  </si>
  <si>
    <t>Salem Mohammed S</t>
  </si>
  <si>
    <t>SALEM</t>
  </si>
  <si>
    <t>SALEH ALSHEHRI</t>
  </si>
  <si>
    <t>Saleh Khalid M</t>
  </si>
  <si>
    <t>ALSHEHRI</t>
  </si>
  <si>
    <t>SAUD ABDULHAMID</t>
  </si>
  <si>
    <t>Saud Abdullah S</t>
  </si>
  <si>
    <t>SAUD</t>
  </si>
  <si>
    <t>ABDULHAMID</t>
  </si>
  <si>
    <t>NAWAF BU WASHL</t>
  </si>
  <si>
    <t>Nawaf Meshari M</t>
  </si>
  <si>
    <t>NAWAF</t>
  </si>
  <si>
    <t>BU WASHL</t>
  </si>
  <si>
    <t>HASSAN KADISH</t>
  </si>
  <si>
    <t>Hassan Kadish Y</t>
  </si>
  <si>
    <t>KADISH</t>
  </si>
  <si>
    <t>MAHBUB</t>
  </si>
  <si>
    <t>ABDULLAH ALKHAIBARI</t>
  </si>
  <si>
    <t>Abdullah Mohammed H</t>
  </si>
  <si>
    <t>ALKHAIBARI</t>
  </si>
  <si>
    <t>ZIYAD ALJOHANI</t>
  </si>
  <si>
    <t>Ziyad Mubarak E</t>
  </si>
  <si>
    <t>ZIYAD</t>
  </si>
  <si>
    <t>ALJOHANI</t>
  </si>
  <si>
    <t>KHALID ALGHANNAM</t>
  </si>
  <si>
    <t>Khalid Essa M</t>
  </si>
  <si>
    <t>KHALID</t>
  </si>
  <si>
    <t>Al Ettifaq FC (KSA)</t>
  </si>
  <si>
    <t>ALGHANNAM</t>
  </si>
  <si>
    <t>ALA ALHAJJI</t>
  </si>
  <si>
    <t>Ala Mohsen A</t>
  </si>
  <si>
    <t>ALHAJJI</t>
  </si>
  <si>
    <t>Neom SC (KSA)</t>
  </si>
  <si>
    <t>ABDULLAH ALHAMDDAN</t>
  </si>
  <si>
    <t>Abdullah Abdulrahman A</t>
  </si>
  <si>
    <t>ALHAMDDAN</t>
  </si>
  <si>
    <t>SULTAN MANDASH</t>
  </si>
  <si>
    <t>Sultan Ahmed M</t>
  </si>
  <si>
    <t>MANDASH</t>
  </si>
  <si>
    <t>MOHAMMED ALOWAIS</t>
  </si>
  <si>
    <t>Mohammed Khalil I</t>
  </si>
  <si>
    <t>ALOWAIS</t>
  </si>
  <si>
    <t>Al Ula Saudi FC (KSA)</t>
  </si>
  <si>
    <t>AHMED ALKASSAR</t>
  </si>
  <si>
    <t>Ahmed Ali H</t>
  </si>
  <si>
    <t>ALKASSAR</t>
  </si>
  <si>
    <t>MOHAMED KANNO</t>
  </si>
  <si>
    <t>Mohamed Ibrahim A</t>
  </si>
  <si>
    <t>KANNO</t>
  </si>
  <si>
    <t>MOTEB ALHARBI</t>
  </si>
  <si>
    <t>Moteb Saad S</t>
  </si>
  <si>
    <t>MOTEB</t>
  </si>
  <si>
    <t>ALHARBI</t>
  </si>
  <si>
    <t>JEHAD THIKRI</t>
  </si>
  <si>
    <t>Jehad Abdullatif A</t>
  </si>
  <si>
    <t>JEHAD</t>
  </si>
  <si>
    <t>THIKRI</t>
  </si>
  <si>
    <t>MOHAMMED ABU ALSHAMAT</t>
  </si>
  <si>
    <t>Mohammed Waheeb S</t>
  </si>
  <si>
    <t>MOHAMMED</t>
  </si>
  <si>
    <t>ABU ALSHAMAT</t>
  </si>
  <si>
    <t>GUNN Angus</t>
  </si>
  <si>
    <t>Angus Fraser James</t>
  </si>
  <si>
    <t>GUNN</t>
  </si>
  <si>
    <t>HICKEY Aaron</t>
  </si>
  <si>
    <t>Aaron Buchanan</t>
  </si>
  <si>
    <t>HICKEY</t>
  </si>
  <si>
    <t>ROBERTSON Andy</t>
  </si>
  <si>
    <t>Andrew Henry</t>
  </si>
  <si>
    <t>ROBERTSON</t>
  </si>
  <si>
    <t>McTOMINAY Scott</t>
  </si>
  <si>
    <t>Scott Francis</t>
  </si>
  <si>
    <t>MCTOMINAY</t>
  </si>
  <si>
    <t>HANLEY Grant</t>
  </si>
  <si>
    <t>Grant Campbell</t>
  </si>
  <si>
    <t>HANLEY</t>
  </si>
  <si>
    <t>Hibernian FC (SCO)</t>
  </si>
  <si>
    <t>TIERNEY Kieran</t>
  </si>
  <si>
    <t>Kieran</t>
  </si>
  <si>
    <t>TIERNEY</t>
  </si>
  <si>
    <t>McGINN John</t>
  </si>
  <si>
    <t>MCGINN</t>
  </si>
  <si>
    <t>FLETCHER Tyler</t>
  </si>
  <si>
    <t>Tyler Robert</t>
  </si>
  <si>
    <t>FLETCHER</t>
  </si>
  <si>
    <t>DYKES Lyndon</t>
  </si>
  <si>
    <t>Lyndon John</t>
  </si>
  <si>
    <t>DYKES</t>
  </si>
  <si>
    <t>Charlton Athletic FC (ENG)</t>
  </si>
  <si>
    <t>ADAMS Che</t>
  </si>
  <si>
    <t>Che Sac Everton Fred</t>
  </si>
  <si>
    <t>ADAMS</t>
  </si>
  <si>
    <t>CHRISTIE Ryan</t>
  </si>
  <si>
    <t>Ryan</t>
  </si>
  <si>
    <t>CHRISTIE</t>
  </si>
  <si>
    <t>KELLY Liam</t>
  </si>
  <si>
    <t>Liam Patrick</t>
  </si>
  <si>
    <t>KELLY</t>
  </si>
  <si>
    <t>HENDRY Jack</t>
  </si>
  <si>
    <t>Jack William</t>
  </si>
  <si>
    <t>HENDRY</t>
  </si>
  <si>
    <t>STEWART Ross</t>
  </si>
  <si>
    <t>Ross Cameron</t>
  </si>
  <si>
    <t>STEWART</t>
  </si>
  <si>
    <t>SOUTTAR John</t>
  </si>
  <si>
    <t>John Francis</t>
  </si>
  <si>
    <t>HYAM Dominic</t>
  </si>
  <si>
    <t>Dominic John</t>
  </si>
  <si>
    <t>HYAM</t>
  </si>
  <si>
    <t>GANNON-DOAK Ben</t>
  </si>
  <si>
    <t>Ben Gannon</t>
  </si>
  <si>
    <t>GANNON DOAK</t>
  </si>
  <si>
    <t>DOAK</t>
  </si>
  <si>
    <t>HIRST George</t>
  </si>
  <si>
    <t>George David Eric</t>
  </si>
  <si>
    <t>HIRST</t>
  </si>
  <si>
    <t>Ipswich Town FC (ENG)</t>
  </si>
  <si>
    <t>FERGUSON Lewis</t>
  </si>
  <si>
    <t>Lewis</t>
  </si>
  <si>
    <t>FERGUSON</t>
  </si>
  <si>
    <t>SHANKLAND Lawrence</t>
  </si>
  <si>
    <t>Lawrence</t>
  </si>
  <si>
    <t>SHANKLAND</t>
  </si>
  <si>
    <t>GORDON Craig</t>
  </si>
  <si>
    <t>Craig Sinclair</t>
  </si>
  <si>
    <t>PATTERSON Nathan</t>
  </si>
  <si>
    <t>Nathan Kenneth</t>
  </si>
  <si>
    <t>PATTERSON</t>
  </si>
  <si>
    <t>McLEAN Kenny</t>
  </si>
  <si>
    <t>Kenneth</t>
  </si>
  <si>
    <t>MCLEAN</t>
  </si>
  <si>
    <t>RALSTON Anthony</t>
  </si>
  <si>
    <t>Anthony</t>
  </si>
  <si>
    <t>RALSTON</t>
  </si>
  <si>
    <t>CURTIS Findlay</t>
  </si>
  <si>
    <t>Findlay Kenneth</t>
  </si>
  <si>
    <t>CURTIS</t>
  </si>
  <si>
    <t>McKENNA Scott</t>
  </si>
  <si>
    <t>Scott Fraser</t>
  </si>
  <si>
    <t>MCKENNA</t>
  </si>
  <si>
    <t>DIOUF Yehvann</t>
  </si>
  <si>
    <t>Yehvann Djibril Victor</t>
  </si>
  <si>
    <t>Y. DIOUF</t>
  </si>
  <si>
    <t>DIOUF</t>
  </si>
  <si>
    <t>SARR Mamadou</t>
  </si>
  <si>
    <t>Mamadou</t>
  </si>
  <si>
    <t>SARR</t>
  </si>
  <si>
    <t>KOULIBALY Kalidou</t>
  </si>
  <si>
    <t>Kalidou</t>
  </si>
  <si>
    <t>KOULIBALY</t>
  </si>
  <si>
    <t>SECK Abdoulaye</t>
  </si>
  <si>
    <t>Abdoulaye</t>
  </si>
  <si>
    <t>SECK</t>
  </si>
  <si>
    <t>GUEYE Idrissa Gana</t>
  </si>
  <si>
    <t>Idrissa Gana</t>
  </si>
  <si>
    <t>GANA</t>
  </si>
  <si>
    <t>CISS Pathe</t>
  </si>
  <si>
    <t>Ismaila Pathe</t>
  </si>
  <si>
    <t>P.I. CISS</t>
  </si>
  <si>
    <t>CISS</t>
  </si>
  <si>
    <t>DIAO Assane</t>
  </si>
  <si>
    <t>Assane</t>
  </si>
  <si>
    <t>A. DIAO</t>
  </si>
  <si>
    <t>DIAO</t>
  </si>
  <si>
    <t>CAMARA Lamine</t>
  </si>
  <si>
    <t>Lamine</t>
  </si>
  <si>
    <t>LAMINE</t>
  </si>
  <si>
    <t>CAMARA</t>
  </si>
  <si>
    <t>DIENG Bamba</t>
  </si>
  <si>
    <t>Cheikh Ahmadou Bamba Mbacke</t>
  </si>
  <si>
    <t>BAMBA</t>
  </si>
  <si>
    <t>FC Lorient (FRA)</t>
  </si>
  <si>
    <t>DIENG</t>
  </si>
  <si>
    <t>MANE Sadio</t>
  </si>
  <si>
    <t>Sadio</t>
  </si>
  <si>
    <t>MANÉ</t>
  </si>
  <si>
    <t>MANE</t>
  </si>
  <si>
    <t>JACKSON Nicolas</t>
  </si>
  <si>
    <t>N. JACKSON</t>
  </si>
  <si>
    <t>JACKSON</t>
  </si>
  <si>
    <t>NDIAYE Cherif</t>
  </si>
  <si>
    <t>Pape Cherif</t>
  </si>
  <si>
    <t>CHÉRIF</t>
  </si>
  <si>
    <t>Samsunspor (TUR)</t>
  </si>
  <si>
    <t>NDIAYE</t>
  </si>
  <si>
    <t>NDIAYE Iliman</t>
  </si>
  <si>
    <t>Iliman Cheikh Baroy</t>
  </si>
  <si>
    <t>JAKOBS Ismail</t>
  </si>
  <si>
    <t>Ismail Joshua</t>
  </si>
  <si>
    <t>JAKOBS</t>
  </si>
  <si>
    <t>DIATTA Krepin</t>
  </si>
  <si>
    <t>Krepin</t>
  </si>
  <si>
    <t>DIATTA</t>
  </si>
  <si>
    <t>MENDY Edouard</t>
  </si>
  <si>
    <t>Edouard Osoque</t>
  </si>
  <si>
    <t>MENDY</t>
  </si>
  <si>
    <t>SARR Pape Matar</t>
  </si>
  <si>
    <t>Pape Matar</t>
  </si>
  <si>
    <t>P.M. SARR</t>
  </si>
  <si>
    <t>SARR Ismaila</t>
  </si>
  <si>
    <t>Ismaila</t>
  </si>
  <si>
    <t>ISMAÏLA</t>
  </si>
  <si>
    <t>NIAKHATE Moussa</t>
  </si>
  <si>
    <t>Moussa</t>
  </si>
  <si>
    <t>NIAKHATÉ</t>
  </si>
  <si>
    <t>NIAKHATE</t>
  </si>
  <si>
    <t>MBAYE Ibrahim</t>
  </si>
  <si>
    <t>I. MBAYE</t>
  </si>
  <si>
    <t>MBAYE</t>
  </si>
  <si>
    <t>DIARRA Habib</t>
  </si>
  <si>
    <t>Mouhamadou Habib Mbacke</t>
  </si>
  <si>
    <t>H. DIARRA</t>
  </si>
  <si>
    <t>DIARRA</t>
  </si>
  <si>
    <t>NDIAYE Bara Sapoko</t>
  </si>
  <si>
    <t>Bara Sapoko</t>
  </si>
  <si>
    <t>BARA</t>
  </si>
  <si>
    <t>DIAW Mory</t>
  </si>
  <si>
    <t>Mory</t>
  </si>
  <si>
    <t>DIAW</t>
  </si>
  <si>
    <t>MENDY Antoine</t>
  </si>
  <si>
    <t>Antoine Alpha</t>
  </si>
  <si>
    <t>A. MENDY</t>
  </si>
  <si>
    <t>DIOUF El Hadji Malick</t>
  </si>
  <si>
    <t>El Hadji Malick</t>
  </si>
  <si>
    <t>GUEYE Pape</t>
  </si>
  <si>
    <t>Pape Alassane</t>
  </si>
  <si>
    <t>WILLIAMS Ronwen</t>
  </si>
  <si>
    <t>Ronwen Hayden</t>
  </si>
  <si>
    <t>Mamelodi Sundowns FC (RSA)</t>
  </si>
  <si>
    <t>MATULUDI Thabang</t>
  </si>
  <si>
    <t>Tholo Thabang</t>
  </si>
  <si>
    <t>MATULUDI</t>
  </si>
  <si>
    <t>Polokwane City FC (RSA)</t>
  </si>
  <si>
    <t>NDAMANE Khulumani</t>
  </si>
  <si>
    <t>Khulumani</t>
  </si>
  <si>
    <t>NDAMANE</t>
  </si>
  <si>
    <t>MOKOENA Teboho</t>
  </si>
  <si>
    <t>Teboho</t>
  </si>
  <si>
    <t>MOKOENA</t>
  </si>
  <si>
    <t>MBATHA Thalente</t>
  </si>
  <si>
    <t>Thalente Wandile</t>
  </si>
  <si>
    <t>MBATHA</t>
  </si>
  <si>
    <t>Orlando Pirates FC (RSA)</t>
  </si>
  <si>
    <t>MODIBA Aubrey</t>
  </si>
  <si>
    <t>Aubrey Maphosa</t>
  </si>
  <si>
    <t>MODIBA</t>
  </si>
  <si>
    <t>APPOLLIS Oswin</t>
  </si>
  <si>
    <t>Oswin Reagan</t>
  </si>
  <si>
    <t>APPOLLIS</t>
  </si>
  <si>
    <t>MOREMI Tshepang</t>
  </si>
  <si>
    <t>Tshepang</t>
  </si>
  <si>
    <t>MOREMI</t>
  </si>
  <si>
    <t>FOSTER Lyle</t>
  </si>
  <si>
    <t>Lyle Brent</t>
  </si>
  <si>
    <t>FOSTER</t>
  </si>
  <si>
    <t>MOFOKENG Relebohile</t>
  </si>
  <si>
    <t>Relebohile</t>
  </si>
  <si>
    <t>MOFOKENG</t>
  </si>
  <si>
    <t>ZWANE Themba</t>
  </si>
  <si>
    <t>Themba</t>
  </si>
  <si>
    <t>ZWANE</t>
  </si>
  <si>
    <t>MASEKO Thapelo</t>
  </si>
  <si>
    <t>Thapelo</t>
  </si>
  <si>
    <t>MASEKO</t>
  </si>
  <si>
    <t>SITHOLE Sphephelo</t>
  </si>
  <si>
    <t>Sphephelo S'miso</t>
  </si>
  <si>
    <t>SITHOLE</t>
  </si>
  <si>
    <t>CD Tondela (POR)</t>
  </si>
  <si>
    <t>MBOKAZI Mbekezeli</t>
  </si>
  <si>
    <t>Mbekezeli Mfanukile</t>
  </si>
  <si>
    <t>MBOKAZI</t>
  </si>
  <si>
    <t>RAYNERS Iqraam</t>
  </si>
  <si>
    <t>Iqraam</t>
  </si>
  <si>
    <t>RAYNERS</t>
  </si>
  <si>
    <t>CHAINE Sipho</t>
  </si>
  <si>
    <t>Sipho Justin</t>
  </si>
  <si>
    <t>CHAINE</t>
  </si>
  <si>
    <t>MAKGOPA Evidence</t>
  </si>
  <si>
    <t>Sekotori Evidence</t>
  </si>
  <si>
    <t>MAKGPA</t>
  </si>
  <si>
    <t>MAKGOPA</t>
  </si>
  <si>
    <t>KABINI Samukele</t>
  </si>
  <si>
    <t>Samukele Alucious</t>
  </si>
  <si>
    <t>KABINI</t>
  </si>
  <si>
    <t>Molde FK (NOR)</t>
  </si>
  <si>
    <t>SIBISI Nkosinathi</t>
  </si>
  <si>
    <t>Nkosinathi Emmanuel</t>
  </si>
  <si>
    <t>SIBISI</t>
  </si>
  <si>
    <t>MUDAU Khuliso</t>
  </si>
  <si>
    <t>Khuliso Johnson</t>
  </si>
  <si>
    <t>MUDAU</t>
  </si>
  <si>
    <t>OKON Ime</t>
  </si>
  <si>
    <t>Ime Daniel</t>
  </si>
  <si>
    <t>OKON</t>
  </si>
  <si>
    <t>Hannover 96 (GER)</t>
  </si>
  <si>
    <t>GOSS Ricardo</t>
  </si>
  <si>
    <t>Stuart Ricardo</t>
  </si>
  <si>
    <t>GOSS</t>
  </si>
  <si>
    <t>Siwelele FC (RSA)</t>
  </si>
  <si>
    <t>ADAMS Jayden</t>
  </si>
  <si>
    <t>Jayden Oswin</t>
  </si>
  <si>
    <t/>
  </si>
  <si>
    <t>MAKHANYA Olwethu</t>
  </si>
  <si>
    <t>Olwethu Mpilwenhle</t>
  </si>
  <si>
    <t>MAKHANYA</t>
  </si>
  <si>
    <t>SEBELEBELE Kamogelo</t>
  </si>
  <si>
    <t>Kamogelo Michael</t>
  </si>
  <si>
    <t>SEBELEBELE</t>
  </si>
  <si>
    <t>CROSS Bradley</t>
  </si>
  <si>
    <t>Bradley Paul</t>
  </si>
  <si>
    <t>CROSS</t>
  </si>
  <si>
    <t>Kaizer Chiefs FC (RSA)</t>
  </si>
  <si>
    <t>RAYA David</t>
  </si>
  <si>
    <t>RAYA</t>
  </si>
  <si>
    <t>RAYA MARTÍN</t>
  </si>
  <si>
    <t>PUBILL Marc</t>
  </si>
  <si>
    <t>Marc</t>
  </si>
  <si>
    <t>MARC PUBILL</t>
  </si>
  <si>
    <t>PUBILL PAGES</t>
  </si>
  <si>
    <t>GRIMALDO Alex</t>
  </si>
  <si>
    <t>Alejandro</t>
  </si>
  <si>
    <t>GRIMALDO</t>
  </si>
  <si>
    <t>GRIMALDO GARCÍA</t>
  </si>
  <si>
    <t>GARCIA Eric</t>
  </si>
  <si>
    <t>Eric</t>
  </si>
  <si>
    <t>ERIC</t>
  </si>
  <si>
    <t>GARCÍA MARTRET</t>
  </si>
  <si>
    <t>LLORENTE Marcos</t>
  </si>
  <si>
    <t>M. LLORENTE</t>
  </si>
  <si>
    <t>LLORENTE MORENO</t>
  </si>
  <si>
    <t>MERINO Mikel</t>
  </si>
  <si>
    <t>Mikel</t>
  </si>
  <si>
    <t>MERINO</t>
  </si>
  <si>
    <t>MERINO ZAZÓN</t>
  </si>
  <si>
    <t>TORRES Ferran</t>
  </si>
  <si>
    <t>Ferran</t>
  </si>
  <si>
    <t>FERRAN</t>
  </si>
  <si>
    <t>TORRES GARCÍA</t>
  </si>
  <si>
    <t>RUIZ Fabian</t>
  </si>
  <si>
    <t>Fabian</t>
  </si>
  <si>
    <t>FABIÁN</t>
  </si>
  <si>
    <t>RUIZ PEÑA</t>
  </si>
  <si>
    <t>GAVI</t>
  </si>
  <si>
    <t>Pablo</t>
  </si>
  <si>
    <t>PAEZ GAVIRA</t>
  </si>
  <si>
    <t>OLMO Dani</t>
  </si>
  <si>
    <t>OLMO</t>
  </si>
  <si>
    <t>OLMO CARVAJAL</t>
  </si>
  <si>
    <t>PINO Yeremy</t>
  </si>
  <si>
    <t>Yeremy Jesús</t>
  </si>
  <si>
    <t>YEREMY</t>
  </si>
  <si>
    <t>PINO SANTOS</t>
  </si>
  <si>
    <t>PORRO Pedro</t>
  </si>
  <si>
    <t>Pedro Antonio</t>
  </si>
  <si>
    <t>PEDRO PORRO</t>
  </si>
  <si>
    <t>PORRO SAUCEDA</t>
  </si>
  <si>
    <t>GARCIA Joan</t>
  </si>
  <si>
    <t>Joan</t>
  </si>
  <si>
    <t>JOAN GARCIA</t>
  </si>
  <si>
    <t>GARCIA PONS</t>
  </si>
  <si>
    <t>LAPORTE Aymeric</t>
  </si>
  <si>
    <t>Aymeric</t>
  </si>
  <si>
    <t>LAPORTE</t>
  </si>
  <si>
    <t>LAPORTE FEVRE</t>
  </si>
  <si>
    <t>BAENA Alex</t>
  </si>
  <si>
    <t>ALEX B.</t>
  </si>
  <si>
    <t>BAENA RODRÍGUEZ</t>
  </si>
  <si>
    <t>RODRI</t>
  </si>
  <si>
    <t>Rodrigo</t>
  </si>
  <si>
    <t>RODRIGO</t>
  </si>
  <si>
    <t>HERNÁNDEZ CASCANTE</t>
  </si>
  <si>
    <t>WILLIAMS Nico</t>
  </si>
  <si>
    <t>Nicholas</t>
  </si>
  <si>
    <t>WILLIAMS JR.</t>
  </si>
  <si>
    <t>ZUBIMENDI Martin</t>
  </si>
  <si>
    <t>ZUBIMENDI</t>
  </si>
  <si>
    <t>ZUBIMENDI IBAÑEZ</t>
  </si>
  <si>
    <t>YAMAL Lamine</t>
  </si>
  <si>
    <t>Lamine Yamal</t>
  </si>
  <si>
    <t>LAMINE YAMAL</t>
  </si>
  <si>
    <t>NASRAOUI EBANA</t>
  </si>
  <si>
    <t>PEDRI</t>
  </si>
  <si>
    <t>GONZÁLEZ LÓPEZ</t>
  </si>
  <si>
    <t>OYARZABAL Mikel</t>
  </si>
  <si>
    <t>OYARZABAL</t>
  </si>
  <si>
    <t>OYARZABAL UGARTE</t>
  </si>
  <si>
    <t>CUBARSI Pau</t>
  </si>
  <si>
    <t>Pau</t>
  </si>
  <si>
    <t>CUBARSÍ</t>
  </si>
  <si>
    <t>CUBARSI I PAREDES</t>
  </si>
  <si>
    <t>SIMON Unai</t>
  </si>
  <si>
    <t>Unai</t>
  </si>
  <si>
    <t>UNAI SIMÓN</t>
  </si>
  <si>
    <t>SIMÓN MENDIBIL</t>
  </si>
  <si>
    <t>CUCURELLA Marc</t>
  </si>
  <si>
    <t>CUCURELLA</t>
  </si>
  <si>
    <t>CUCURELLA SASETA</t>
  </si>
  <si>
    <t>MUNOZ Victor</t>
  </si>
  <si>
    <t>Victor</t>
  </si>
  <si>
    <t>VICTOR M.V.</t>
  </si>
  <si>
    <t>MUÑOZ VILLANUEVA</t>
  </si>
  <si>
    <t>IGLESIAS Borja</t>
  </si>
  <si>
    <t>Borja</t>
  </si>
  <si>
    <t>B. IGLESIAS</t>
  </si>
  <si>
    <t>RC Celta Vigo (ESP)</t>
  </si>
  <si>
    <t>IGLESIAS QUINTÁS</t>
  </si>
  <si>
    <t>WIDELL ZETTERSTROM Jacob</t>
  </si>
  <si>
    <t>Jacob Mikael</t>
  </si>
  <si>
    <t>ZETTERSTRÖM</t>
  </si>
  <si>
    <t>WIDELL ZETTERSTRÖM</t>
  </si>
  <si>
    <t>LAGERBIELKE Gustaf</t>
  </si>
  <si>
    <t>Gustaf Johan</t>
  </si>
  <si>
    <t>LAGERBIELKE</t>
  </si>
  <si>
    <t>LINDELOF Victor</t>
  </si>
  <si>
    <t>Victor Jörgen</t>
  </si>
  <si>
    <t>LINDELÖF</t>
  </si>
  <si>
    <t>NILSSON LINDELÖF</t>
  </si>
  <si>
    <t>HIEN Isak</t>
  </si>
  <si>
    <t>Isak Malcolm Kwaku</t>
  </si>
  <si>
    <t>HIEN</t>
  </si>
  <si>
    <t>GUDMUNDSSON Gabriel</t>
  </si>
  <si>
    <t>Gabriel Johan</t>
  </si>
  <si>
    <t>GUDMUNDSSON</t>
  </si>
  <si>
    <t>JOHANSSON Herman</t>
  </si>
  <si>
    <t>Herman Nils</t>
  </si>
  <si>
    <t>H. JOHANSSON</t>
  </si>
  <si>
    <t>JOHANSSON</t>
  </si>
  <si>
    <t>BERGVALL Lucas</t>
  </si>
  <si>
    <t>Lucas Erik Holger</t>
  </si>
  <si>
    <t>BERGVALL</t>
  </si>
  <si>
    <t>SVENSSON Daniel</t>
  </si>
  <si>
    <t>Daniel Jonathan</t>
  </si>
  <si>
    <t>SVENSSON</t>
  </si>
  <si>
    <t>ISAK Alexander</t>
  </si>
  <si>
    <t>ISAK</t>
  </si>
  <si>
    <t>NYGREN Benjamin</t>
  </si>
  <si>
    <t>Erik Benjamin</t>
  </si>
  <si>
    <t>NYGREN</t>
  </si>
  <si>
    <t>ELANGA Anthony</t>
  </si>
  <si>
    <t>Anthony David Junior</t>
  </si>
  <si>
    <t>ELANGA</t>
  </si>
  <si>
    <t>JOHANSSON Viktor</t>
  </si>
  <si>
    <t>Tobias Viktor</t>
  </si>
  <si>
    <t>V. JOHANSSON</t>
  </si>
  <si>
    <t>SEMA Ken</t>
  </si>
  <si>
    <t>Ken</t>
  </si>
  <si>
    <t>SEMA</t>
  </si>
  <si>
    <t>EKDAL Hjalmar</t>
  </si>
  <si>
    <t>Hjalmar</t>
  </si>
  <si>
    <t>EKDAL</t>
  </si>
  <si>
    <t>STARFELT Carl</t>
  </si>
  <si>
    <t>Carl Anders Theodor</t>
  </si>
  <si>
    <t>STARFELT</t>
  </si>
  <si>
    <t>KARLSTROM Jesper</t>
  </si>
  <si>
    <t>Jesper Kewe</t>
  </si>
  <si>
    <t>KARLSTRÖM</t>
  </si>
  <si>
    <t>Udinese (ITA)</t>
  </si>
  <si>
    <t>GYOKERES Viktor</t>
  </si>
  <si>
    <t>Viktor Einar</t>
  </si>
  <si>
    <t>GYÖKERES</t>
  </si>
  <si>
    <t>AYARI Yasin</t>
  </si>
  <si>
    <t>Yasin</t>
  </si>
  <si>
    <t>AYARI</t>
  </si>
  <si>
    <t>SVANBERG Mattias</t>
  </si>
  <si>
    <t>Mattias Olof</t>
  </si>
  <si>
    <t>SVANBERG</t>
  </si>
  <si>
    <t>SMITH Eric</t>
  </si>
  <si>
    <t>Eric Anders</t>
  </si>
  <si>
    <t>BERNHARDSSON Alexander</t>
  </si>
  <si>
    <t>Alexander Olof</t>
  </si>
  <si>
    <t>BERNHARDSSON</t>
  </si>
  <si>
    <t>Holstein Kiel (GER)</t>
  </si>
  <si>
    <t>ZENELI Besfort</t>
  </si>
  <si>
    <t>Besfort</t>
  </si>
  <si>
    <t>ZENELI</t>
  </si>
  <si>
    <t>NORDFELDT Kristoffer</t>
  </si>
  <si>
    <t>Bo Kristoffer</t>
  </si>
  <si>
    <t>NORDFELDT</t>
  </si>
  <si>
    <t>AIK Stockholm (SWE)</t>
  </si>
  <si>
    <t>STROUD Elliot</t>
  </si>
  <si>
    <t>Elliot Karl</t>
  </si>
  <si>
    <t>STROUD</t>
  </si>
  <si>
    <t>Mjällby AIF (SWE)</t>
  </si>
  <si>
    <t>NILSSON Gustaf</t>
  </si>
  <si>
    <t>Håkan Gustaf</t>
  </si>
  <si>
    <t>NILSSON</t>
  </si>
  <si>
    <t>ALI Taha</t>
  </si>
  <si>
    <t>Taha Abdi</t>
  </si>
  <si>
    <t>Malmö FF (SWE)</t>
  </si>
  <si>
    <t>KOBEL Gregor</t>
  </si>
  <si>
    <t>Gregor</t>
  </si>
  <si>
    <t>KOBEL</t>
  </si>
  <si>
    <t>MUHEIM Miro</t>
  </si>
  <si>
    <t>Miro Max Maria</t>
  </si>
  <si>
    <t>MUHEIM</t>
  </si>
  <si>
    <t>WIDMER Silvan</t>
  </si>
  <si>
    <t>Silvan Dominic</t>
  </si>
  <si>
    <t>WIDMER</t>
  </si>
  <si>
    <t>ELVEDI Nico</t>
  </si>
  <si>
    <t>ELVEDI</t>
  </si>
  <si>
    <t>AKANJI Manuel</t>
  </si>
  <si>
    <t>Manuel Obafemi</t>
  </si>
  <si>
    <t>AKANJI</t>
  </si>
  <si>
    <t>ZAKARIA Denis</t>
  </si>
  <si>
    <t>Denis Lemi</t>
  </si>
  <si>
    <t>ZAKARIA</t>
  </si>
  <si>
    <t>ZAKARIA LAKO LADO</t>
  </si>
  <si>
    <t>EMBOLO Breel</t>
  </si>
  <si>
    <t>Breel Donald</t>
  </si>
  <si>
    <t>EMBOLO</t>
  </si>
  <si>
    <t>FREULER Remo</t>
  </si>
  <si>
    <t>Remo Marco</t>
  </si>
  <si>
    <t>FREULER</t>
  </si>
  <si>
    <t>MANZAMBI Johan</t>
  </si>
  <si>
    <t>Johan Kula</t>
  </si>
  <si>
    <t>MANZAMBI</t>
  </si>
  <si>
    <t>XHAKA Granit</t>
  </si>
  <si>
    <t>Granit</t>
  </si>
  <si>
    <t>XHAKA</t>
  </si>
  <si>
    <t>NDOYE Dan</t>
  </si>
  <si>
    <t>Dan</t>
  </si>
  <si>
    <t>NDOYE</t>
  </si>
  <si>
    <t>MVOGO Yvon</t>
  </si>
  <si>
    <t>Yvon Landry</t>
  </si>
  <si>
    <t>MVOGO</t>
  </si>
  <si>
    <t>MVOGO NGANOMA</t>
  </si>
  <si>
    <t>RODRIGUEZ Ricardo</t>
  </si>
  <si>
    <t>Ricardo Ivan</t>
  </si>
  <si>
    <t>RODRIGUEZ ARAYA</t>
  </si>
  <si>
    <t>JASHARI Ardon</t>
  </si>
  <si>
    <t>Ardon</t>
  </si>
  <si>
    <t>JASHARI</t>
  </si>
  <si>
    <t>SOW Djibril</t>
  </si>
  <si>
    <t>Mohameth Djibril Ibrahima</t>
  </si>
  <si>
    <t>SOW</t>
  </si>
  <si>
    <t>FASSNACHT Christian</t>
  </si>
  <si>
    <t>Christian Andreas</t>
  </si>
  <si>
    <t>FASSNACHT</t>
  </si>
  <si>
    <t>VARGAS Ruben</t>
  </si>
  <si>
    <t>Ruben Estephan</t>
  </si>
  <si>
    <t>VARGAS MARTINEZ</t>
  </si>
  <si>
    <t>COEMERT Eray</t>
  </si>
  <si>
    <t>Eray Ervin</t>
  </si>
  <si>
    <t>CÖMERT</t>
  </si>
  <si>
    <t>Valencia CF (ESP)</t>
  </si>
  <si>
    <t>OKAFOR Noah</t>
  </si>
  <si>
    <t>Noah Arinzechukwu</t>
  </si>
  <si>
    <t>OKAFOR</t>
  </si>
  <si>
    <t>AEBISCHER Michel</t>
  </si>
  <si>
    <t>Michel</t>
  </si>
  <si>
    <t>AEBISCHER</t>
  </si>
  <si>
    <t>Pisa SC (ITA)</t>
  </si>
  <si>
    <t>KELLER Marvin</t>
  </si>
  <si>
    <t>Marvin</t>
  </si>
  <si>
    <t>KELLER</t>
  </si>
  <si>
    <t>RIEDER Fabian</t>
  </si>
  <si>
    <t>RIEDER</t>
  </si>
  <si>
    <t>AMDOUNI Zeki</t>
  </si>
  <si>
    <t>Mohamed Zeki</t>
  </si>
  <si>
    <t>AMDOUNI</t>
  </si>
  <si>
    <t>AMENDA Aurele</t>
  </si>
  <si>
    <t>Aurèle Florian</t>
  </si>
  <si>
    <t>AMENDA</t>
  </si>
  <si>
    <t>JAQUEZ Luca</t>
  </si>
  <si>
    <t>Luca Antony</t>
  </si>
  <si>
    <t>JAQUEZ</t>
  </si>
  <si>
    <t>ITTEN Cedric</t>
  </si>
  <si>
    <t>Cedric Jan</t>
  </si>
  <si>
    <t>ITTEN</t>
  </si>
  <si>
    <t>Fortuna Düsseldorf (GER)</t>
  </si>
  <si>
    <t>CHAMAKH Mouhib</t>
  </si>
  <si>
    <t>Abdelmouhib</t>
  </si>
  <si>
    <t>CHAMAKH</t>
  </si>
  <si>
    <t>Club Africain (TUN)</t>
  </si>
  <si>
    <t>ABDI Ali</t>
  </si>
  <si>
    <t>ABDI</t>
  </si>
  <si>
    <t>ELABDI</t>
  </si>
  <si>
    <t>TALBI Montassar</t>
  </si>
  <si>
    <t>Montassar Omar</t>
  </si>
  <si>
    <t>REKIK Omar</t>
  </si>
  <si>
    <t>Omar</t>
  </si>
  <si>
    <t>REKIK</t>
  </si>
  <si>
    <t>AROUS Adam</t>
  </si>
  <si>
    <t>AROUS</t>
  </si>
  <si>
    <t>Kasımpaşa SK (TUR)</t>
  </si>
  <si>
    <t>BRONN Dylan</t>
  </si>
  <si>
    <t>Dylan Daniel Mahmoud</t>
  </si>
  <si>
    <t>BRONN</t>
  </si>
  <si>
    <t>Servette FC (SUI)</t>
  </si>
  <si>
    <t>ACHOURI Elias</t>
  </si>
  <si>
    <t>Mohamed Elyes</t>
  </si>
  <si>
    <t>ACHOURI</t>
  </si>
  <si>
    <t>SAAD Elias</t>
  </si>
  <si>
    <t>Elias</t>
  </si>
  <si>
    <t>SAAD</t>
  </si>
  <si>
    <t>MASTOURI Hazem</t>
  </si>
  <si>
    <t>Hazem</t>
  </si>
  <si>
    <t>MASTOURI</t>
  </si>
  <si>
    <t>FC Dynamo Makhachkala (RUS)</t>
  </si>
  <si>
    <t>MEJBRI Hannibal</t>
  </si>
  <si>
    <t>Hannibal</t>
  </si>
  <si>
    <t>HANNIBAL</t>
  </si>
  <si>
    <t>MEJBRI</t>
  </si>
  <si>
    <t>GHARBI Ismael</t>
  </si>
  <si>
    <t>Ismael Seifallah</t>
  </si>
  <si>
    <t>GHARBI</t>
  </si>
  <si>
    <t>BEN OUANES Mortadha</t>
  </si>
  <si>
    <t>Ahmed Mortadha</t>
  </si>
  <si>
    <t>BEN OUANES</t>
  </si>
  <si>
    <t>KHEDIRA Rani</t>
  </si>
  <si>
    <t>Rani</t>
  </si>
  <si>
    <t>KHEDIRA</t>
  </si>
  <si>
    <t>1. FC Union Berlin (GER)</t>
  </si>
  <si>
    <t>AYARI Khalil</t>
  </si>
  <si>
    <t>Khalil</t>
  </si>
  <si>
    <t>HADJ MAHMOUD Mohamed</t>
  </si>
  <si>
    <t>HADJ MAHMOUD</t>
  </si>
  <si>
    <t>BELHADJ MAHMOUD</t>
  </si>
  <si>
    <t>DAHMEN Aymen</t>
  </si>
  <si>
    <t>Aymen</t>
  </si>
  <si>
    <t>DAHMEN</t>
  </si>
  <si>
    <t>CS Sfaxien (TUN)</t>
  </si>
  <si>
    <t>SKHIRI Ellyes</t>
  </si>
  <si>
    <t>Ellyes Joris</t>
  </si>
  <si>
    <t>SKHIRI</t>
  </si>
  <si>
    <t>ELLOUMI Rayan</t>
  </si>
  <si>
    <t>ELLOUMI</t>
  </si>
  <si>
    <t>CHAOUAT Firas</t>
  </si>
  <si>
    <t>Firas</t>
  </si>
  <si>
    <t>CHAOUAT</t>
  </si>
  <si>
    <t>VALERY Yan</t>
  </si>
  <si>
    <t>VALERY</t>
  </si>
  <si>
    <t>BEN HMIDA Mohamed Amine</t>
  </si>
  <si>
    <t>BEN HMIDA</t>
  </si>
  <si>
    <t>BEN HESSEN Sabri</t>
  </si>
  <si>
    <t>Sabri</t>
  </si>
  <si>
    <t>BEN HESSEN</t>
  </si>
  <si>
    <t>Étoile Du Sahel (TUN)</t>
  </si>
  <si>
    <t>BEN HSAN</t>
  </si>
  <si>
    <t>NEFFATI Moutaz</t>
  </si>
  <si>
    <t>Moutaz</t>
  </si>
  <si>
    <t>NEFFATI</t>
  </si>
  <si>
    <t>IFK Norrköping FK (SWE)</t>
  </si>
  <si>
    <t>CHIKHAOUI Raed</t>
  </si>
  <si>
    <t>Raed</t>
  </si>
  <si>
    <t>CHIKHAOUI</t>
  </si>
  <si>
    <t>US Monastir (TUN)</t>
  </si>
  <si>
    <t>SLIMANE Anis</t>
  </si>
  <si>
    <t>SLIMANE</t>
  </si>
  <si>
    <t>BEN SLIMANE</t>
  </si>
  <si>
    <t>TOUNEKTI Sebastian</t>
  </si>
  <si>
    <t>Sebastian</t>
  </si>
  <si>
    <t>TOUNEKTI</t>
  </si>
  <si>
    <t>GUNOK Mert</t>
  </si>
  <si>
    <t>Fehmi Mert</t>
  </si>
  <si>
    <t>MERT</t>
  </si>
  <si>
    <t>GÜNOK</t>
  </si>
  <si>
    <t>CELIK Zeki</t>
  </si>
  <si>
    <t>Mehmet Zeki</t>
  </si>
  <si>
    <t>ZEKİ ÇELİK</t>
  </si>
  <si>
    <t>ÇELIK</t>
  </si>
  <si>
    <t>DEMIRAL Merih</t>
  </si>
  <si>
    <t>Merih</t>
  </si>
  <si>
    <t>DEMİRAL</t>
  </si>
  <si>
    <t>SOYUNCU Caglar</t>
  </si>
  <si>
    <t>Çağlar</t>
  </si>
  <si>
    <t>ÇAĞLAR</t>
  </si>
  <si>
    <t>SÖYÜNCÜ</t>
  </si>
  <si>
    <t>OZCAN Salih</t>
  </si>
  <si>
    <t>Salih</t>
  </si>
  <si>
    <t>ÖZCAN</t>
  </si>
  <si>
    <t>KOKCU Orkun</t>
  </si>
  <si>
    <t>Orkun</t>
  </si>
  <si>
    <t>ORKUN KÖKÇÜ</t>
  </si>
  <si>
    <t>KÖKÇÜ</t>
  </si>
  <si>
    <t>AKTURKOGLU Kerem</t>
  </si>
  <si>
    <t>Muhammed Kerem</t>
  </si>
  <si>
    <t>AKTÜRKOĞLU</t>
  </si>
  <si>
    <t>GULER Arda</t>
  </si>
  <si>
    <t>Arda</t>
  </si>
  <si>
    <t>ARDA GÜLER</t>
  </si>
  <si>
    <t>GÜLER</t>
  </si>
  <si>
    <t>GUL Deniz</t>
  </si>
  <si>
    <t>Deniz Daniel</t>
  </si>
  <si>
    <t>DENİZ GÜL</t>
  </si>
  <si>
    <t>GÜL</t>
  </si>
  <si>
    <t>CALHANOGLU Hakan</t>
  </si>
  <si>
    <t>Hakan</t>
  </si>
  <si>
    <t>ÇALHANOĞLU</t>
  </si>
  <si>
    <t>YILDIZ Kenan</t>
  </si>
  <si>
    <t>Kenan</t>
  </si>
  <si>
    <t>YILDIZ</t>
  </si>
  <si>
    <t>BAYINDIR Altay</t>
  </si>
  <si>
    <t>Altay</t>
  </si>
  <si>
    <t>ALTAY</t>
  </si>
  <si>
    <t>BAYINDIR</t>
  </si>
  <si>
    <t>ELMALI Eren</t>
  </si>
  <si>
    <t>Evren Eren</t>
  </si>
  <si>
    <t>EREN ELMALI</t>
  </si>
  <si>
    <t>ELMALI</t>
  </si>
  <si>
    <t>BARDAKCI Abdulkerim</t>
  </si>
  <si>
    <t>Abdülkerİm</t>
  </si>
  <si>
    <t>ABDÜLKERİM</t>
  </si>
  <si>
    <t>BARDAKCI</t>
  </si>
  <si>
    <t>KABAK Ozan</t>
  </si>
  <si>
    <t>Ozan Muhammed</t>
  </si>
  <si>
    <t>OZAN KABAK</t>
  </si>
  <si>
    <t>KABAK</t>
  </si>
  <si>
    <t>YUKSEK Ismail</t>
  </si>
  <si>
    <t>İsmaİl</t>
  </si>
  <si>
    <t>İSMAİL</t>
  </si>
  <si>
    <t>YÜKSEK</t>
  </si>
  <si>
    <t>KAHVECI Irfan Can</t>
  </si>
  <si>
    <t>İrfan</t>
  </si>
  <si>
    <t>KAHVECİ</t>
  </si>
  <si>
    <t>MULDUR Mert</t>
  </si>
  <si>
    <t>Mert</t>
  </si>
  <si>
    <t>MERT MÜLDÜR</t>
  </si>
  <si>
    <t>MÜLDÜR</t>
  </si>
  <si>
    <t>AKGUN Yunus</t>
  </si>
  <si>
    <t>Yunus</t>
  </si>
  <si>
    <t>YUNUS</t>
  </si>
  <si>
    <t>AKGÜN</t>
  </si>
  <si>
    <t>KADIOGLU Ferdi</t>
  </si>
  <si>
    <t>Ferdi Erenay</t>
  </si>
  <si>
    <t>F. KADIOĞLU</t>
  </si>
  <si>
    <t>KADIOĞLU</t>
  </si>
  <si>
    <t>YILMAZ Baris Alper</t>
  </si>
  <si>
    <t>Barış Alper</t>
  </si>
  <si>
    <t>BARIŞ</t>
  </si>
  <si>
    <t>YILMAZ</t>
  </si>
  <si>
    <t>AYHAN Kaan</t>
  </si>
  <si>
    <t>Kaan</t>
  </si>
  <si>
    <t>KAAN</t>
  </si>
  <si>
    <t>AYHAN</t>
  </si>
  <si>
    <t>CAKIR Ugurcan</t>
  </si>
  <si>
    <t>Uğurcan</t>
  </si>
  <si>
    <t>UĞURCAN</t>
  </si>
  <si>
    <t>ÇAKIR</t>
  </si>
  <si>
    <t>AYDIN Oguz</t>
  </si>
  <si>
    <t>Oğuz</t>
  </si>
  <si>
    <t>OĞUZ</t>
  </si>
  <si>
    <t>AYDIN</t>
  </si>
  <si>
    <t>AKAYDIN Samet</t>
  </si>
  <si>
    <t>Samet</t>
  </si>
  <si>
    <t>SAMET AKAYDIN</t>
  </si>
  <si>
    <t>AKAYDIN</t>
  </si>
  <si>
    <t>UZUN Can</t>
  </si>
  <si>
    <t>Can Yılmaz</t>
  </si>
  <si>
    <t>CAN UZUN</t>
  </si>
  <si>
    <t>UZUN</t>
  </si>
  <si>
    <t>ROCHET Sergio</t>
  </si>
  <si>
    <t>Sergio Ramón</t>
  </si>
  <si>
    <t>S. ROCHET</t>
  </si>
  <si>
    <t>ROCHET ALVAREZ</t>
  </si>
  <si>
    <t>GIMENEZ Jose Maria</t>
  </si>
  <si>
    <t>José María</t>
  </si>
  <si>
    <t>J.M. GIMÉNEZ</t>
  </si>
  <si>
    <t>GIMÉNEZ DE VARGAS</t>
  </si>
  <si>
    <t>CACERES Sebastian</t>
  </si>
  <si>
    <t>Sebastián Enzo</t>
  </si>
  <si>
    <t>S. CACERES</t>
  </si>
  <si>
    <t>CÁCERES RAMOS</t>
  </si>
  <si>
    <t>ARAUJO Ronald</t>
  </si>
  <si>
    <t>Ronald Federico</t>
  </si>
  <si>
    <t>R. ARAUJO</t>
  </si>
  <si>
    <t>ARAÚJO DA SILVA</t>
  </si>
  <si>
    <t>UGARTE Manuel</t>
  </si>
  <si>
    <t>Manuel</t>
  </si>
  <si>
    <t>M. UGARTE</t>
  </si>
  <si>
    <t>UGARTE RIBEIRO</t>
  </si>
  <si>
    <t>BENTANCUR Rodrigo</t>
  </si>
  <si>
    <t>R. BENTANCUR</t>
  </si>
  <si>
    <t>BENTANCUR COLMÁN</t>
  </si>
  <si>
    <t>DE LA CRUZ Nicolas</t>
  </si>
  <si>
    <t>Diego Nicolás</t>
  </si>
  <si>
    <t>N. DE LA CRUZ</t>
  </si>
  <si>
    <t>DE LA CRUZ ARCOSA</t>
  </si>
  <si>
    <t>VALVERDE Federico</t>
  </si>
  <si>
    <t>Federico Santiago</t>
  </si>
  <si>
    <t>F. VALVERDE</t>
  </si>
  <si>
    <t>VALVERDE DIPETTA</t>
  </si>
  <si>
    <t>NUNEZ Darwin</t>
  </si>
  <si>
    <t>Darwin Gabriel</t>
  </si>
  <si>
    <t>D. NUÑEZ</t>
  </si>
  <si>
    <t>NUÑEZ RIBEIRO</t>
  </si>
  <si>
    <t>DE ARRASCAETA Giorgian</t>
  </si>
  <si>
    <t>Giorgian Daniel</t>
  </si>
  <si>
    <t>G. DE ARRASCAETA</t>
  </si>
  <si>
    <t>DE ARRASCAETA BENEDETTI</t>
  </si>
  <si>
    <t>PELLISTRI Facundo</t>
  </si>
  <si>
    <t>Facundo</t>
  </si>
  <si>
    <t>F. PELLISTRI</t>
  </si>
  <si>
    <t>PELLISTRI REBOLLO</t>
  </si>
  <si>
    <t>MELE Santiago</t>
  </si>
  <si>
    <t>Santiago Andres</t>
  </si>
  <si>
    <t>S. MELE</t>
  </si>
  <si>
    <t>CF Monterrey (MEX)</t>
  </si>
  <si>
    <t>MELE CASTAÑERO</t>
  </si>
  <si>
    <t>VARELA Guillermo</t>
  </si>
  <si>
    <t>G. VARELA</t>
  </si>
  <si>
    <t>VARELA OLIVERA</t>
  </si>
  <si>
    <t>CANOBBIO Agustin</t>
  </si>
  <si>
    <t>Agustin</t>
  </si>
  <si>
    <t>A. CANOBBIO</t>
  </si>
  <si>
    <t>Fluminense FC (BRA)</t>
  </si>
  <si>
    <t>CANOBBIO</t>
  </si>
  <si>
    <t>Emiliano</t>
  </si>
  <si>
    <t>MARTÍNEZ TORANZA</t>
  </si>
  <si>
    <t>OLIVERA Mathias</t>
  </si>
  <si>
    <t>Mathías</t>
  </si>
  <si>
    <t>M. OLIVERA</t>
  </si>
  <si>
    <t>OLIVERA MIRAMONTES</t>
  </si>
  <si>
    <t>VINA Matias</t>
  </si>
  <si>
    <t>Matías Nicolas</t>
  </si>
  <si>
    <t>M. VIÑA</t>
  </si>
  <si>
    <t>VIÑA SUSPERREGUY</t>
  </si>
  <si>
    <t>RODRIGUEZ Brian</t>
  </si>
  <si>
    <t>Paul Brian</t>
  </si>
  <si>
    <t>B. RODRIGUEZ</t>
  </si>
  <si>
    <t>RODRÍGUEZ BRAVO</t>
  </si>
  <si>
    <t>AGUIRRE Rodrigo</t>
  </si>
  <si>
    <t>Rodrigo Sebastian</t>
  </si>
  <si>
    <t>R. AGUIRRE</t>
  </si>
  <si>
    <t>Tigres UANL (MEX)</t>
  </si>
  <si>
    <t>AGUIRRE SOTO</t>
  </si>
  <si>
    <t>ARAUJO Maxi</t>
  </si>
  <si>
    <t>Maximiliano Javier</t>
  </si>
  <si>
    <t>M. ARAUJO</t>
  </si>
  <si>
    <t>ARAÚJO VILCHES</t>
  </si>
  <si>
    <t>VINAS Federico</t>
  </si>
  <si>
    <t>Federico Sebastian</t>
  </si>
  <si>
    <t>F. VIÑAS</t>
  </si>
  <si>
    <t>VIÑAS BARBOZA</t>
  </si>
  <si>
    <t>PIQUEREZ Joaquin</t>
  </si>
  <si>
    <t>Joaquin</t>
  </si>
  <si>
    <t>J. PIQUEREZ</t>
  </si>
  <si>
    <t>PIQUEREZ MOREIRA</t>
  </si>
  <si>
    <t>MUSLERA Fernando</t>
  </si>
  <si>
    <t>Nestor Fernando</t>
  </si>
  <si>
    <t>F. MUSLERA</t>
  </si>
  <si>
    <t>Estudiantes LP (ARG)</t>
  </si>
  <si>
    <t>MUSLERA MICOL</t>
  </si>
  <si>
    <t>BUENO Santiago</t>
  </si>
  <si>
    <t>Santiago Ignacio</t>
  </si>
  <si>
    <t>S. BUENO</t>
  </si>
  <si>
    <t>BUENO SCIUTTO</t>
  </si>
  <si>
    <t>SANABRIA Juan Manuel</t>
  </si>
  <si>
    <t>Juan Manuel</t>
  </si>
  <si>
    <t>J.M. SANABRIA</t>
  </si>
  <si>
    <t>Real Salt Lake (USA)</t>
  </si>
  <si>
    <t>SANABRIA MAGOLÉ</t>
  </si>
  <si>
    <t>ZALAZAR Rodrigo</t>
  </si>
  <si>
    <t>Radrigo</t>
  </si>
  <si>
    <t>R. ZALAZAR</t>
  </si>
  <si>
    <t>ZALAZAR MARTINEZ</t>
  </si>
  <si>
    <t>TURNER Matt</t>
  </si>
  <si>
    <t>Matthew Charles</t>
  </si>
  <si>
    <t>TURNER</t>
  </si>
  <si>
    <t>New England Revolution (USA)</t>
  </si>
  <si>
    <t>DEST Sergino</t>
  </si>
  <si>
    <t>Sergiño Gianni</t>
  </si>
  <si>
    <t>DEST</t>
  </si>
  <si>
    <t>RICHARDS Chris</t>
  </si>
  <si>
    <t>Christopher Jeffrey</t>
  </si>
  <si>
    <t>RICHARDS</t>
  </si>
  <si>
    <t>ADAMS Tyler</t>
  </si>
  <si>
    <t>Tyler Shaan</t>
  </si>
  <si>
    <t>ROBINSON Antonee</t>
  </si>
  <si>
    <t>Antonee</t>
  </si>
  <si>
    <t>A. ROBINSON</t>
  </si>
  <si>
    <t>ROBINSON</t>
  </si>
  <si>
    <t>TRUSTY Auston</t>
  </si>
  <si>
    <t>Auston Levi-Jesaiah</t>
  </si>
  <si>
    <t>TRUSTY</t>
  </si>
  <si>
    <t>REYNA Giovanni</t>
  </si>
  <si>
    <t>Giovanni Alejandro</t>
  </si>
  <si>
    <t>REYNA</t>
  </si>
  <si>
    <t>McKENNIE Weston</t>
  </si>
  <si>
    <t>Weston James Earl</t>
  </si>
  <si>
    <t>MCKENNIE</t>
  </si>
  <si>
    <t>MC KENNIE</t>
  </si>
  <si>
    <t>PEPI Ricardo</t>
  </si>
  <si>
    <t>Ricardo Daniel</t>
  </si>
  <si>
    <t>PEPI</t>
  </si>
  <si>
    <t>PULISIC Christian</t>
  </si>
  <si>
    <t>Christian Mate</t>
  </si>
  <si>
    <t>PULISIC</t>
  </si>
  <si>
    <t>AARONSON Brenden</t>
  </si>
  <si>
    <t>Brenden Russell</t>
  </si>
  <si>
    <t>AARONSON</t>
  </si>
  <si>
    <t>ROBINSON Miles</t>
  </si>
  <si>
    <t>Miles Gordon</t>
  </si>
  <si>
    <t>M. ROBINSON</t>
  </si>
  <si>
    <t>FC Cincinnatti (USA)</t>
  </si>
  <si>
    <t>REAM Tim</t>
  </si>
  <si>
    <t>Timothy Michael</t>
  </si>
  <si>
    <t>REAM</t>
  </si>
  <si>
    <t>Charlotte FC (USA)</t>
  </si>
  <si>
    <t>BERHALTER Sebastian</t>
  </si>
  <si>
    <t>Sebastian Matthew</t>
  </si>
  <si>
    <t>BERHALTER</t>
  </si>
  <si>
    <t>ROLDAN Cristian</t>
  </si>
  <si>
    <t>ROLDAN</t>
  </si>
  <si>
    <t>Seattle Sounders FC (USA)</t>
  </si>
  <si>
    <t>FREEMAN Alex</t>
  </si>
  <si>
    <t>Alexander Michael</t>
  </si>
  <si>
    <t>FREEMAN</t>
  </si>
  <si>
    <t>TILLMAN Malik</t>
  </si>
  <si>
    <t>Malik Leon</t>
  </si>
  <si>
    <t>TILLMAN</t>
  </si>
  <si>
    <t>ARFSTEN Max</t>
  </si>
  <si>
    <t>Maximilian Michael</t>
  </si>
  <si>
    <t>ARFSTEN</t>
  </si>
  <si>
    <t>WRIGHT Haji</t>
  </si>
  <si>
    <t>Haji Amir</t>
  </si>
  <si>
    <t>WRIGHT</t>
  </si>
  <si>
    <t>BALOGUN Folarin</t>
  </si>
  <si>
    <t>Folarin Jolaoluwa</t>
  </si>
  <si>
    <t>BALOGUN</t>
  </si>
  <si>
    <t>WEAH Timothy</t>
  </si>
  <si>
    <t>Timothy Tarpeh</t>
  </si>
  <si>
    <t>WEAH</t>
  </si>
  <si>
    <t>McKENZIE Mark</t>
  </si>
  <si>
    <t>Mark Alexander</t>
  </si>
  <si>
    <t>MCKENZIE</t>
  </si>
  <si>
    <t>Toulouse FC (FRA)</t>
  </si>
  <si>
    <t>SCALLY Joe</t>
  </si>
  <si>
    <t>Joseph Michael</t>
  </si>
  <si>
    <t>SCALLY</t>
  </si>
  <si>
    <t>FREESE Matt</t>
  </si>
  <si>
    <t>Matthew Andrew Geary</t>
  </si>
  <si>
    <t>FREESE</t>
  </si>
  <si>
    <t>BRADY Chris</t>
  </si>
  <si>
    <t>Christopher Keith</t>
  </si>
  <si>
    <t>BRADY</t>
  </si>
  <si>
    <t>ZENDEJAS Alex</t>
  </si>
  <si>
    <t>ZENDEJAS</t>
  </si>
  <si>
    <t>ZENDEJAS SAAVEDRA</t>
  </si>
  <si>
    <t>YUSUPOV Utkir</t>
  </si>
  <si>
    <t>Utkir</t>
  </si>
  <si>
    <t>YUSUPOV</t>
  </si>
  <si>
    <t>PFC Navbahor Namangan (UZB)</t>
  </si>
  <si>
    <t>KHUSANOV Abdukodir</t>
  </si>
  <si>
    <t>Abdukodir</t>
  </si>
  <si>
    <t>KHUSANOV</t>
  </si>
  <si>
    <t>ALIJONOV Khojiakbar</t>
  </si>
  <si>
    <t>Khojiakbar</t>
  </si>
  <si>
    <t>ALIJONOV</t>
  </si>
  <si>
    <t>SAYFIEV Farrukh</t>
  </si>
  <si>
    <t>Farrukh</t>
  </si>
  <si>
    <t>SAYFIEV</t>
  </si>
  <si>
    <t>FK Neftchi Farg'ona (UZB)</t>
  </si>
  <si>
    <t>ASHURMATOV Rustam</t>
  </si>
  <si>
    <t>Rustamjon</t>
  </si>
  <si>
    <t>ASHURMATOV</t>
  </si>
  <si>
    <t>MOZGOVOY Akmal</t>
  </si>
  <si>
    <t>Akmal</t>
  </si>
  <si>
    <t>MOZGOVOY</t>
  </si>
  <si>
    <t>SHUKUROV Otabek</t>
  </si>
  <si>
    <t>Otabek</t>
  </si>
  <si>
    <t>SHUKUROV</t>
  </si>
  <si>
    <t>Baniyas Club (UAE)</t>
  </si>
  <si>
    <t>ISKANDEROV Jamshid</t>
  </si>
  <si>
    <t>Jamshid</t>
  </si>
  <si>
    <t>ISKANDEROV</t>
  </si>
  <si>
    <t>XAMROBEKOV Odiljon</t>
  </si>
  <si>
    <t>Odiljon</t>
  </si>
  <si>
    <t>XAMROBEKOV</t>
  </si>
  <si>
    <t>JIYANOV Ruslanbek</t>
  </si>
  <si>
    <t>Ruslanbek</t>
  </si>
  <si>
    <t>JIYANOV</t>
  </si>
  <si>
    <t>URUNOV Oston</t>
  </si>
  <si>
    <t>Oston</t>
  </si>
  <si>
    <t>URUNOV</t>
  </si>
  <si>
    <t>NEMATOV Abduvohid</t>
  </si>
  <si>
    <t>Abduvakhid</t>
  </si>
  <si>
    <t>NEMATOV</t>
  </si>
  <si>
    <t>Nasaf Qarshi FC (UZB)</t>
  </si>
  <si>
    <t>NASRULLAEV Sherzod</t>
  </si>
  <si>
    <t>Sherzod</t>
  </si>
  <si>
    <t>NASRULLAEV</t>
  </si>
  <si>
    <t>SHOMURODOV Eldor</t>
  </si>
  <si>
    <t>Eldor</t>
  </si>
  <si>
    <t>SHOMURODOV</t>
  </si>
  <si>
    <t>ESHMURODOV Umar</t>
  </si>
  <si>
    <t>Umarbek</t>
  </si>
  <si>
    <t>ESHMURODOV</t>
  </si>
  <si>
    <t>ERGASHEV Botirali</t>
  </si>
  <si>
    <t>Botirali</t>
  </si>
  <si>
    <t>ERGASHEV</t>
  </si>
  <si>
    <t>KHAMDAMOV Dostonbek</t>
  </si>
  <si>
    <t>Dostonbek</t>
  </si>
  <si>
    <t>KHAMDAMOV</t>
  </si>
  <si>
    <t>ABDULLAEV Abdulla</t>
  </si>
  <si>
    <t>Abdulla</t>
  </si>
  <si>
    <t>ABDULLAEV</t>
  </si>
  <si>
    <t>GANIEV Azizjon</t>
  </si>
  <si>
    <t>Azizjon</t>
  </si>
  <si>
    <t>GANIEV</t>
  </si>
  <si>
    <t>AMONOV Azizbek</t>
  </si>
  <si>
    <t>Azizbek</t>
  </si>
  <si>
    <t>AMONOV</t>
  </si>
  <si>
    <t>FK Dinamo Samarkand (UZB)</t>
  </si>
  <si>
    <t>SERGEEV Igor</t>
  </si>
  <si>
    <t>SERGEEV</t>
  </si>
  <si>
    <t>FAYZULLAEV Abbosbek</t>
  </si>
  <si>
    <t>Abbosbek</t>
  </si>
  <si>
    <t>FAYZULLAEV</t>
  </si>
  <si>
    <t>ESANOV Sherzod</t>
  </si>
  <si>
    <t>ESANOV</t>
  </si>
  <si>
    <t>FK Buxoro (UZB)</t>
  </si>
  <si>
    <t>KARIMOV Behruzjon</t>
  </si>
  <si>
    <t>Behruzjon</t>
  </si>
  <si>
    <t>KARIMOV</t>
  </si>
  <si>
    <t>Surkhon FK (UZB)</t>
  </si>
  <si>
    <t>ULMASALIYEV Avazbek</t>
  </si>
  <si>
    <t>Avazbek</t>
  </si>
  <si>
    <t>ULMASALIYEV</t>
  </si>
  <si>
    <t>OKMK FK (UZB)</t>
  </si>
  <si>
    <t>UROZOV Jakhongir</t>
  </si>
  <si>
    <t>Jakhongir</t>
  </si>
  <si>
    <t>UROZOV</t>
  </si>
  <si>
    <t>Country_ANA</t>
  </si>
  <si>
    <t>Bosnia And Herzegovina</t>
  </si>
  <si>
    <t>Côte D'Ivoire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</si>
</sst>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14" fontId="0" fillId="0" borderId="0" xfId="0" applyNumberFormat="1"/>
    <xf numFmtId="164" fontId="0" fillId="0" borderId="0" xfId="0" applyNumberFormat="1"/>
    <xf numFmtId="2" fontId="0" fillId="0" borderId="2" xfId="0" applyNumberFormat="1" applyBorder="1"/>
    <xf numFmtId="0" fontId="1" fillId="0" borderId="0" xfId="1"/>
    <xf numFmtId="164" fontId="1" fillId="0" borderId="0" xfId="1" applyNumberFormat="1"/>
    <xf numFmtId="0" fontId="1" fillId="2" borderId="0" xfId="1" applyFill="1"/>
    <xf numFmtId="0" fontId="2" fillId="0" borderId="0" xfId="1" applyFont="1"/>
    <xf numFmtId="0" fontId="1" fillId="0" borderId="0" xfId="1" applyAlignment="1">
      <alignment wrapText="1"/>
    </xf>
    <xf numFmtId="0" fontId="4" fillId="0" borderId="0" xfId="2"/>
    <xf numFmtId="0" fontId="5" fillId="0" borderId="0" xfId="0" applyFont="1"/>
    <xf numFmtId="0" fontId="1" fillId="0" borderId="0" xfId="3"/>
    <xf numFmtId="14" fontId="1" fillId="0" borderId="0" xfId="3" applyNumberFormat="1"/>
  </cellXfs>
  <cellStyles count="4">
    <cellStyle name="Hyperlink" xfId="2" builtinId="8"/>
    <cellStyle name="Normal" xfId="0" builtinId="0"/>
    <cellStyle name="Normal 2" xfId="1" xr:uid="{6791FBCC-801D-4DA6-AA36-EF56D210428A}"/>
    <cellStyle name="Normal 4" xfId="3" xr:uid="{BE4DC852-B113-40FC-8C52-1B09C3516A8E}"/>
  </cellStyles>
  <dxfs count="8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fa/FIFA26_workbook.xlsx" TargetMode="External"/><Relationship Id="rId2" Type="http://schemas.openxmlformats.org/officeDocument/2006/relationships/externalLinkPath" Target="file:///C:\Users\rosie\Desktop\HIT140%20-%20Foundations%20of%20Data%20Science\fifa\FIFA26_workbook.xlsx" TargetMode="External"/><Relationship Id="rId1" Type="http://schemas.openxmlformats.org/officeDocument/2006/relationships/externalLinkPath" Target="/Users/rosie/Desktop/HIT140%20-%20Foundations%20of%20Data%20Science/fifa/FIFA26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IS_WF"/>
      <sheetName val="Sheet1"/>
      <sheetName val="Groups stage"/>
      <sheetName val="Knockout"/>
      <sheetName val="total_teams_result_foul_FIFA26"/>
      <sheetName val="Fifa_Pop"/>
      <sheetName val="WC History"/>
      <sheetName val="208Team_match_stat"/>
      <sheetName val="104_diff"/>
      <sheetName val="Fifa_team_variables_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BA89D53-A501-4F57-9E94-08D627E07872}" autoFormatId="16" applyNumberFormats="0" applyBorderFormats="0" applyFontFormats="0" applyPatternFormats="0" applyAlignmentFormats="0" applyWidthHeightFormats="0">
  <queryTableRefresh nextId="13">
    <queryTableFields count="12">
      <queryTableField id="1" name="Country" tableColumnId="1"/>
      <queryTableField id="2" name="#" tableColumnId="2"/>
      <queryTableField id="3" name="POS" tableColumnId="3"/>
      <queryTableField id="4" name="PLAYER NAME" tableColumnId="4"/>
      <queryTableField id="5" name="FIRST NAME(S)" tableColumnId="5"/>
      <queryTableField id="6" name="NAME ON SHIRT" tableColumnId="6"/>
      <queryTableField id="7" name="DOB" tableColumnId="7"/>
      <queryTableField id="8" name="CLUB" tableColumnId="8"/>
      <queryTableField id="9" name="HEIGHT (CM)" tableColumnId="9"/>
      <queryTableField id="10" name="CAPS" tableColumnId="10"/>
      <queryTableField id="11" name="GOALS" tableColumnId="11"/>
      <queryTableField id="12" name="LAST NAME(S)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8DDCC-F2B3-4E4C-AF39-5AD2D6D690E6}" name="Append_48_ANA" displayName="Append_48_ANA" ref="A1:L1249" tableType="queryTable" totalsRowShown="0">
  <autoFilter ref="A1:L1249" xr:uid="{3F812D91-D1B6-4695-8BFE-A71B7CAAFDB2}"/>
  <tableColumns count="12">
    <tableColumn id="1" xr3:uid="{B2B536B6-F9E9-413E-9283-0BF07AB08E5B}" uniqueName="1" name="Country" queryTableFieldId="1" dataDxfId="7"/>
    <tableColumn id="2" xr3:uid="{81DB5BE4-18EA-4901-B309-BB596A3E1DBD}" uniqueName="2" name="#" queryTableFieldId="2"/>
    <tableColumn id="3" xr3:uid="{E07674E3-F3BC-4ED1-B0BC-6D8B8275D010}" uniqueName="3" name="POS" queryTableFieldId="3" dataDxfId="6"/>
    <tableColumn id="4" xr3:uid="{59D7E45B-2290-4C2D-BBC6-35D1A48E9ED2}" uniqueName="4" name="PLAYER NAME" queryTableFieldId="4" dataDxfId="5"/>
    <tableColumn id="5" xr3:uid="{F6AF6F5A-0AF8-43ED-AE97-CB432C37867C}" uniqueName="5" name="FIRST NAME(S)" queryTableFieldId="5" dataDxfId="4"/>
    <tableColumn id="6" xr3:uid="{4F40B061-AC5E-4C7F-AD75-DAC00ED7B6D3}" uniqueName="6" name="NAME ON SHIRT" queryTableFieldId="6" dataDxfId="3"/>
    <tableColumn id="7" xr3:uid="{4F91C6CA-ADC8-4DCA-B0F5-E5E40983DEA7}" uniqueName="7" name="DOB" queryTableFieldId="7" dataDxfId="2"/>
    <tableColumn id="8" xr3:uid="{74DDD5DC-2AAC-4620-9D8F-1CB40B3646C8}" uniqueName="8" name="CLUB" queryTableFieldId="8" dataDxfId="1"/>
    <tableColumn id="9" xr3:uid="{36FE1112-3F87-4989-9B1B-1A0EF14BF25D}" uniqueName="9" name="HEIGHT (CM)" queryTableFieldId="9"/>
    <tableColumn id="10" xr3:uid="{4F6BA4F5-1E1A-4042-A25F-D5AF0D3AA426}" uniqueName="10" name="CAPS" queryTableFieldId="10"/>
    <tableColumn id="11" xr3:uid="{474A31AC-9923-4AF6-B927-37E6C0A9FAF4}" uniqueName="11" name="GOALS" queryTableFieldId="11"/>
    <tableColumn id="12" xr3:uid="{986647AC-F69D-4782-B9E7-CC61B1E547F3}" uniqueName="12" name="LAST NAME(S)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.fifa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AAA8-A3EE-4147-B09E-74C19664559C}">
  <dimension ref="A1:O105"/>
  <sheetViews>
    <sheetView zoomScale="85" zoomScaleNormal="85" workbookViewId="0">
      <selection sqref="A1:G1048576"/>
    </sheetView>
  </sheetViews>
  <sheetFormatPr defaultRowHeight="14.25" x14ac:dyDescent="0.45"/>
  <cols>
    <col min="1" max="1" width="16.46484375" customWidth="1"/>
    <col min="2" max="2" width="3.59765625" customWidth="1"/>
    <col min="3" max="3" width="4" customWidth="1"/>
    <col min="4" max="4" width="19.6640625" customWidth="1"/>
    <col min="5" max="5" width="13.33203125" bestFit="1" customWidth="1"/>
    <col min="6" max="6" width="13.06640625" customWidth="1"/>
    <col min="7" max="7" width="3.1328125" customWidth="1"/>
    <col min="8" max="8" width="9.46484375" customWidth="1"/>
    <col min="9" max="9" width="2.6640625" customWidth="1"/>
    <col min="10" max="10" width="3.73046875" customWidth="1"/>
  </cols>
  <sheetData>
    <row r="1" spans="1:15" s="1" customFormat="1" ht="39" customHeight="1" x14ac:dyDescent="0.4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</row>
    <row r="2" spans="1:15" x14ac:dyDescent="0.45">
      <c r="A2" t="s">
        <v>341</v>
      </c>
      <c r="B2" t="s">
        <v>280</v>
      </c>
      <c r="C2" t="s">
        <v>289</v>
      </c>
      <c r="D2" s="8">
        <f>ABS(SUM(_xlfn.XLOOKUP(B2,Final_48_team_stats!B:B,Final_48_team_stats!M:M)-_xlfn.XLOOKUP(C2,Final_48_team_stats!B:B,Final_48_team_stats!M:M)))</f>
        <v>5.125</v>
      </c>
      <c r="E2" s="8">
        <f>ABS(SUM(_xlfn.XLOOKUP(B2,Final_48_team_stats!B:B,Final_48_team_stats!J:J)-_xlfn.XLOOKUP(Model_1_test18!C2,Final_48_team_stats!B:B,Final_48_team_stats!J:J)))</f>
        <v>34</v>
      </c>
      <c r="F2">
        <f>ABS(SUM(_xlfn.XLOOKUP(B2,Final_48_team_stats!B:B,Final_48_team_stats!K:K)-_xlfn.XLOOKUP(C2,Final_48_team_stats!B:B,Final_48_team_stats!K:K)))</f>
        <v>0.14999999999999858</v>
      </c>
      <c r="G2">
        <v>1</v>
      </c>
      <c r="H2">
        <v>1600000</v>
      </c>
      <c r="I2">
        <v>45</v>
      </c>
      <c r="J2">
        <v>1.39</v>
      </c>
      <c r="K2">
        <f>ABS(SUM(_xlfn.XLOOKUP(B2,Final_48_team_stats!B:B,Final_48_team_stats!I:I)-(_xlfn.XLOOKUP(C2,Final_48_team_stats!B:B,Final_48_team_stats!I:I))))</f>
        <v>28.5</v>
      </c>
      <c r="L2">
        <f>ABS(SUM(_xlfn.XLOOKUP(B2,Final_48_team_stats!B:B,Final_48_team_stats!H:H)-(_xlfn.XLOOKUP(C2,Final_48_team_stats!B:B,Final_48_team_stats!H:H))))</f>
        <v>49.142857142857103</v>
      </c>
      <c r="M2">
        <f>ABS(SUM(_xlfn.XLOOKUP(B2,Final_48_team_stats!B:B,Final_48_team_stats!Q:Q)-(_xlfn.XLOOKUP(C2,Final_48_team_stats!B:B,Final_48_team_stats!Q:Q))))</f>
        <v>3.1836810572836119E-2</v>
      </c>
      <c r="N2">
        <f>ABS(SUM(_xlfn.XLOOKUP(B2,Final_48_team_stats!B:B,Final_48_team_stats!G:G)-(_xlfn.XLOOKUP(C2,Final_48_team_stats!B:B,Final_48_team_stats!G:G))))</f>
        <v>2.5</v>
      </c>
      <c r="O2">
        <v>2</v>
      </c>
    </row>
    <row r="3" spans="1:15" x14ac:dyDescent="0.45">
      <c r="A3" t="s">
        <v>342</v>
      </c>
      <c r="B3" t="s">
        <v>281</v>
      </c>
      <c r="C3" t="s">
        <v>304</v>
      </c>
      <c r="D3" s="8">
        <f>ABS(SUM(_xlfn.XLOOKUP(B3,Final_48_team_stats!B:B,Final_48_team_stats!M:M)-_xlfn.XLOOKUP(C3,Final_48_team_stats!B:B,Final_48_team_stats!M:M)))</f>
        <v>17.095238095238031</v>
      </c>
      <c r="E3" s="8">
        <f>ABS(SUM(_xlfn.XLOOKUP(B3,Final_48_team_stats!B:B,Final_48_team_stats!J:J)-_xlfn.XLOOKUP(Model_1_test18!C3,Final_48_team_stats!B:B,Final_48_team_stats!J:J)))</f>
        <v>34.3333333333334</v>
      </c>
      <c r="F3">
        <f>ABS(SUM(_xlfn.XLOOKUP(B3,Final_48_team_stats!B:B,Final_48_team_stats!K:K)-_xlfn.XLOOKUP(C3,Final_48_team_stats!B:B,Final_48_team_stats!K:K)))</f>
        <v>0.61038961038960338</v>
      </c>
      <c r="G3">
        <v>1</v>
      </c>
      <c r="H3">
        <v>1980000</v>
      </c>
      <c r="I3">
        <v>16</v>
      </c>
      <c r="J3">
        <v>1.4699999999999998</v>
      </c>
      <c r="K3">
        <f>ABS(SUM(_xlfn.XLOOKUP(B3,Final_48_team_stats!B:B,Final_48_team_stats!I:I)-(_xlfn.XLOOKUP(C3,Final_48_team_stats!B:B,Final_48_team_stats!I:I))))</f>
        <v>43.952380952380899</v>
      </c>
      <c r="L3">
        <f>ABS(SUM(_xlfn.XLOOKUP(B3,Final_48_team_stats!B:B,Final_48_team_stats!H:H)-(_xlfn.XLOOKUP(C3,Final_48_team_stats!B:B,Final_48_team_stats!H:H))))</f>
        <v>3.5555555555555003</v>
      </c>
      <c r="M3">
        <f>ABS(SUM(_xlfn.XLOOKUP(B3,Final_48_team_stats!B:B,Final_48_team_stats!Q:Q)-(_xlfn.XLOOKUP(C3,Final_48_team_stats!B:B,Final_48_team_stats!Q:Q))))</f>
        <v>1.3722976348258975E-2</v>
      </c>
      <c r="N3">
        <f>ABS(SUM(_xlfn.XLOOKUP(B3,Final_48_team_stats!B:B,Final_48_team_stats!G:G)-(_xlfn.XLOOKUP(C3,Final_48_team_stats!B:B,Final_48_team_stats!G:G))))</f>
        <v>1</v>
      </c>
      <c r="O3">
        <v>1</v>
      </c>
    </row>
    <row r="4" spans="1:15" x14ac:dyDescent="0.45">
      <c r="A4" t="s">
        <v>343</v>
      </c>
      <c r="B4" t="s">
        <v>282</v>
      </c>
      <c r="C4" t="s">
        <v>316</v>
      </c>
      <c r="D4" s="8">
        <f>ABS(SUM(_xlfn.XLOOKUP(B4,Final_48_team_stats!B:B,Final_48_team_stats!M:M)-_xlfn.XLOOKUP(C4,Final_48_team_stats!B:B,Final_48_team_stats!M:M)))</f>
        <v>0.28571428571419943</v>
      </c>
      <c r="E4" s="8">
        <f>ABS(SUM(_xlfn.XLOOKUP(B4,Final_48_team_stats!B:B,Final_48_team_stats!J:J)-_xlfn.XLOOKUP(Model_1_test18!C4,Final_48_team_stats!B:B,Final_48_team_stats!J:J)))</f>
        <v>7.6666666666666394</v>
      </c>
      <c r="F4">
        <f>ABS(SUM(_xlfn.XLOOKUP(B4,Final_48_team_stats!B:B,Final_48_team_stats!K:K)-_xlfn.XLOOKUP(C4,Final_48_team_stats!B:B,Final_48_team_stats!K:K)))</f>
        <v>23.910714285714199</v>
      </c>
      <c r="G4">
        <v>1</v>
      </c>
      <c r="H4">
        <v>2270000</v>
      </c>
      <c r="I4">
        <v>35</v>
      </c>
      <c r="J4">
        <v>0.27</v>
      </c>
      <c r="K4">
        <f>ABS(SUM(_xlfn.XLOOKUP(B4,Final_48_team_stats!B:B,Final_48_team_stats!I:I)-(_xlfn.XLOOKUP(C4,Final_48_team_stats!B:B,Final_48_team_stats!I:I))))</f>
        <v>8.4285714285715017</v>
      </c>
      <c r="L4">
        <f>ABS(SUM(_xlfn.XLOOKUP(B4,Final_48_team_stats!B:B,Final_48_team_stats!H:H)-(_xlfn.XLOOKUP(C4,Final_48_team_stats!B:B,Final_48_team_stats!H:H))))</f>
        <v>11.375</v>
      </c>
      <c r="M4">
        <f>ABS(SUM(_xlfn.XLOOKUP(B4,Final_48_team_stats!B:B,Final_48_team_stats!Q:Q)-(_xlfn.XLOOKUP(C4,Final_48_team_stats!B:B,Final_48_team_stats!Q:Q))))</f>
        <v>1.6219608008563285E-2</v>
      </c>
      <c r="N4">
        <f>ABS(SUM(_xlfn.XLOOKUP(B4,Final_48_team_stats!B:B,Final_48_team_stats!G:G)-(_xlfn.XLOOKUP(C4,Final_48_team_stats!B:B,Final_48_team_stats!G:G))))</f>
        <v>1</v>
      </c>
      <c r="O4">
        <v>0</v>
      </c>
    </row>
    <row r="5" spans="1:15" x14ac:dyDescent="0.45">
      <c r="A5" t="s">
        <v>344</v>
      </c>
      <c r="B5" t="s">
        <v>8</v>
      </c>
      <c r="C5" t="s">
        <v>320</v>
      </c>
      <c r="D5" s="8">
        <f>ABS(SUM(_xlfn.XLOOKUP(B5,Final_48_team_stats!B:B,Final_48_team_stats!M:M)-_xlfn.XLOOKUP(C5,Final_48_team_stats!B:B,Final_48_team_stats!M:M)))</f>
        <v>8.09523809523807</v>
      </c>
      <c r="E5" s="8">
        <f>ABS(SUM(_xlfn.XLOOKUP(B5,Final_48_team_stats!B:B,Final_48_team_stats!J:J)-_xlfn.XLOOKUP(Model_1_test18!C5,Final_48_team_stats!B:B,Final_48_team_stats!J:J)))</f>
        <v>10.6666666666667</v>
      </c>
      <c r="F5">
        <f>ABS(SUM(_xlfn.XLOOKUP(B5,Final_48_team_stats!B:B,Final_48_team_stats!K:K)-_xlfn.XLOOKUP(C5,Final_48_team_stats!B:B,Final_48_team_stats!K:K)))</f>
        <v>17.1111111111111</v>
      </c>
      <c r="G5">
        <v>1</v>
      </c>
      <c r="H5">
        <v>2700000</v>
      </c>
      <c r="I5">
        <v>24</v>
      </c>
      <c r="J5">
        <v>0.87999999999999989</v>
      </c>
      <c r="K5">
        <f>ABS(SUM(_xlfn.XLOOKUP(B5,Final_48_team_stats!B:B,Final_48_team_stats!I:I)-(_xlfn.XLOOKUP(C5,Final_48_team_stats!B:B,Final_48_team_stats!I:I))))</f>
        <v>15.857142857142797</v>
      </c>
      <c r="L5">
        <f>ABS(SUM(_xlfn.XLOOKUP(B5,Final_48_team_stats!B:B,Final_48_team_stats!H:H)-(_xlfn.XLOOKUP(C5,Final_48_team_stats!B:B,Final_48_team_stats!H:H))))</f>
        <v>0.35000000000000142</v>
      </c>
      <c r="M5">
        <f>ABS(SUM(_xlfn.XLOOKUP(B5,Final_48_team_stats!B:B,Final_48_team_stats!Q:Q)-(_xlfn.XLOOKUP(C5,Final_48_team_stats!B:B,Final_48_team_stats!Q:Q))))</f>
        <v>5.3126035734731389E-2</v>
      </c>
      <c r="N5">
        <f>ABS(SUM(_xlfn.XLOOKUP(B5,Final_48_team_stats!B:B,Final_48_team_stats!G:G)-(_xlfn.XLOOKUP(C5,Final_48_team_stats!B:B,Final_48_team_stats!G:G))))</f>
        <v>2.5</v>
      </c>
      <c r="O5">
        <v>3</v>
      </c>
    </row>
    <row r="6" spans="1:15" x14ac:dyDescent="0.45">
      <c r="A6" t="s">
        <v>345</v>
      </c>
      <c r="B6" t="s">
        <v>283</v>
      </c>
      <c r="C6" t="s">
        <v>301</v>
      </c>
      <c r="D6" s="8">
        <f>ABS(SUM(_xlfn.XLOOKUP(B6,Final_48_team_stats!B:B,Final_48_team_stats!M:M)-_xlfn.XLOOKUP(C6,Final_48_team_stats!B:B,Final_48_team_stats!M:M)))</f>
        <v>8.6825396825396801</v>
      </c>
      <c r="E6" s="8">
        <f>ABS(SUM(_xlfn.XLOOKUP(B6,Final_48_team_stats!B:B,Final_48_team_stats!J:J)-_xlfn.XLOOKUP(Model_1_test18!C6,Final_48_team_stats!B:B,Final_48_team_stats!J:J)))</f>
        <v>10.3333333333334</v>
      </c>
      <c r="F6">
        <f>ABS(SUM(_xlfn.XLOOKUP(B6,Final_48_team_stats!B:B,Final_48_team_stats!K:K)-_xlfn.XLOOKUP(C6,Final_48_team_stats!B:B,Final_48_team_stats!K:K)))</f>
        <v>14.924999999999997</v>
      </c>
      <c r="G6">
        <v>1</v>
      </c>
      <c r="H6">
        <v>800000</v>
      </c>
      <c r="I6">
        <v>36</v>
      </c>
      <c r="J6">
        <v>2.6</v>
      </c>
      <c r="K6">
        <f>ABS(SUM(_xlfn.XLOOKUP(B6,Final_48_team_stats!B:B,Final_48_team_stats!I:I)-(_xlfn.XLOOKUP(C6,Final_48_team_stats!B:B,Final_48_team_stats!I:I))))</f>
        <v>31.317460317460302</v>
      </c>
      <c r="L6">
        <f>ABS(SUM(_xlfn.XLOOKUP(B6,Final_48_team_stats!B:B,Final_48_team_stats!H:H)-(_xlfn.XLOOKUP(C6,Final_48_team_stats!B:B,Final_48_team_stats!H:H))))</f>
        <v>6.1666666666666998</v>
      </c>
      <c r="M6">
        <f>ABS(SUM(_xlfn.XLOOKUP(B6,Final_48_team_stats!B:B,Final_48_team_stats!Q:Q)-(_xlfn.XLOOKUP(C6,Final_48_team_stats!B:B,Final_48_team_stats!Q:Q))))</f>
        <v>3.6424276238298914E-2</v>
      </c>
      <c r="N6">
        <f>ABS(SUM(_xlfn.XLOOKUP(B6,Final_48_team_stats!B:B,Final_48_team_stats!G:G)-(_xlfn.XLOOKUP(C6,Final_48_team_stats!B:B,Final_48_team_stats!G:G))))</f>
        <v>0.5</v>
      </c>
      <c r="O6">
        <v>0</v>
      </c>
    </row>
    <row r="7" spans="1:15" x14ac:dyDescent="0.45">
      <c r="A7" t="s">
        <v>346</v>
      </c>
      <c r="B7" t="s">
        <v>284</v>
      </c>
      <c r="C7" t="s">
        <v>313</v>
      </c>
      <c r="D7" s="8">
        <f>ABS(SUM(_xlfn.XLOOKUP(B7,Final_48_team_stats!B:B,Final_48_team_stats!M:M)-_xlfn.XLOOKUP(C7,Final_48_team_stats!B:B,Final_48_team_stats!M:M)))</f>
        <v>0.355555555555501</v>
      </c>
      <c r="E7" s="8">
        <f>ABS(SUM(_xlfn.XLOOKUP(B7,Final_48_team_stats!B:B,Final_48_team_stats!J:J)-_xlfn.XLOOKUP(Model_1_test18!C7,Final_48_team_stats!B:B,Final_48_team_stats!J:J)))</f>
        <v>8</v>
      </c>
      <c r="F7">
        <f>ABS(SUM(_xlfn.XLOOKUP(B7,Final_48_team_stats!B:B,Final_48_team_stats!K:K)-_xlfn.XLOOKUP(C7,Final_48_team_stats!B:B,Final_48_team_stats!K:K)))</f>
        <v>13.8888888888889</v>
      </c>
      <c r="G7">
        <v>1</v>
      </c>
      <c r="H7">
        <v>8725000</v>
      </c>
      <c r="I7">
        <v>2</v>
      </c>
      <c r="J7">
        <v>0.1100000000000001</v>
      </c>
      <c r="K7">
        <f>ABS(SUM(_xlfn.XLOOKUP(B7,Final_48_team_stats!B:B,Final_48_team_stats!I:I)-(_xlfn.XLOOKUP(C7,Final_48_team_stats!B:B,Final_48_team_stats!I:I))))</f>
        <v>5.7333333333332988</v>
      </c>
      <c r="L7">
        <f>ABS(SUM(_xlfn.XLOOKUP(B7,Final_48_team_stats!B:B,Final_48_team_stats!H:H)-(_xlfn.XLOOKUP(C7,Final_48_team_stats!B:B,Final_48_team_stats!H:H))))</f>
        <v>11.5416666666667</v>
      </c>
      <c r="M7">
        <f>ABS(SUM(_xlfn.XLOOKUP(B7,Final_48_team_stats!B:B,Final_48_team_stats!Q:Q)-(_xlfn.XLOOKUP(C7,Final_48_team_stats!B:B,Final_48_team_stats!Q:Q))))</f>
        <v>2.5537718497015804E-2</v>
      </c>
      <c r="N7">
        <f>ABS(SUM(_xlfn.XLOOKUP(B7,Final_48_team_stats!B:B,Final_48_team_stats!G:G)-(_xlfn.XLOOKUP(C7,Final_48_team_stats!B:B,Final_48_team_stats!G:G))))</f>
        <v>3</v>
      </c>
      <c r="O7">
        <v>0</v>
      </c>
    </row>
    <row r="8" spans="1:15" x14ac:dyDescent="0.45">
      <c r="A8" t="s">
        <v>347</v>
      </c>
      <c r="B8" t="s">
        <v>285</v>
      </c>
      <c r="C8" t="s">
        <v>305</v>
      </c>
      <c r="D8" s="8">
        <f>ABS(SUM(_xlfn.XLOOKUP(B8,Final_48_team_stats!B:B,Final_48_team_stats!M:M)-_xlfn.XLOOKUP(C8,Final_48_team_stats!B:B,Final_48_team_stats!M:M)))</f>
        <v>6.6190476190475902</v>
      </c>
      <c r="E8" s="8">
        <f>ABS(SUM(_xlfn.XLOOKUP(B8,Final_48_team_stats!B:B,Final_48_team_stats!J:J)-_xlfn.XLOOKUP(Model_1_test18!C8,Final_48_team_stats!B:B,Final_48_team_stats!J:J)))</f>
        <v>1.3333333333333002</v>
      </c>
      <c r="F8">
        <f>ABS(SUM(_xlfn.XLOOKUP(B8,Final_48_team_stats!B:B,Final_48_team_stats!K:K)-_xlfn.XLOOKUP(C8,Final_48_team_stats!B:B,Final_48_team_stats!K:K)))</f>
        <v>37.3333333333333</v>
      </c>
      <c r="G8">
        <v>1</v>
      </c>
      <c r="H8">
        <v>310000</v>
      </c>
      <c r="I8">
        <v>40</v>
      </c>
      <c r="J8">
        <v>0</v>
      </c>
      <c r="K8">
        <f>ABS(SUM(_xlfn.XLOOKUP(B8,Final_48_team_stats!B:B,Final_48_team_stats!I:I)-(_xlfn.XLOOKUP(C8,Final_48_team_stats!B:B,Final_48_team_stats!I:I))))</f>
        <v>6.4126984126984006</v>
      </c>
      <c r="L8">
        <f>ABS(SUM(_xlfn.XLOOKUP(B8,Final_48_team_stats!B:B,Final_48_team_stats!H:H)-(_xlfn.XLOOKUP(C8,Final_48_team_stats!B:B,Final_48_team_stats!H:H))))</f>
        <v>18.466666666666697</v>
      </c>
      <c r="M8">
        <f>ABS(SUM(_xlfn.XLOOKUP(B8,Final_48_team_stats!B:B,Final_48_team_stats!Q:Q)-(_xlfn.XLOOKUP(C8,Final_48_team_stats!B:B,Final_48_team_stats!Q:Q))))</f>
        <v>8.3575447334440153E-2</v>
      </c>
      <c r="N8">
        <f>ABS(SUM(_xlfn.XLOOKUP(B8,Final_48_team_stats!B:B,Final_48_team_stats!G:G)-(_xlfn.XLOOKUP(C8,Final_48_team_stats!B:B,Final_48_team_stats!G:G))))</f>
        <v>3</v>
      </c>
      <c r="O8">
        <v>1</v>
      </c>
    </row>
    <row r="9" spans="1:15" x14ac:dyDescent="0.45">
      <c r="A9" t="s">
        <v>348</v>
      </c>
      <c r="B9" t="s">
        <v>286</v>
      </c>
      <c r="C9" t="s">
        <v>306</v>
      </c>
      <c r="D9" s="8">
        <f>ABS(SUM(_xlfn.XLOOKUP(B9,Final_48_team_stats!B:B,Final_48_team_stats!M:M)-_xlfn.XLOOKUP(C9,Final_48_team_stats!B:B,Final_48_team_stats!M:M)))</f>
        <v>9.2222222222222303</v>
      </c>
      <c r="E9" s="8">
        <f>ABS(SUM(_xlfn.XLOOKUP(B9,Final_48_team_stats!B:B,Final_48_team_stats!J:J)-_xlfn.XLOOKUP(Model_1_test18!C9,Final_48_team_stats!B:B,Final_48_team_stats!J:J)))</f>
        <v>9</v>
      </c>
      <c r="F9">
        <f>ABS(SUM(_xlfn.XLOOKUP(B9,Final_48_team_stats!B:B,Final_48_team_stats!K:K)-_xlfn.XLOOKUP(C9,Final_48_team_stats!B:B,Final_48_team_stats!K:K)))</f>
        <v>23</v>
      </c>
      <c r="G9">
        <v>1</v>
      </c>
      <c r="H9">
        <v>1595000</v>
      </c>
      <c r="I9">
        <v>5</v>
      </c>
      <c r="J9">
        <v>0.18000000000000016</v>
      </c>
      <c r="K9">
        <f>ABS(SUM(_xlfn.XLOOKUP(B9,Final_48_team_stats!B:B,Final_48_team_stats!I:I)-(_xlfn.XLOOKUP(C9,Final_48_team_stats!B:B,Final_48_team_stats!I:I))))</f>
        <v>32.6388888888889</v>
      </c>
      <c r="L9">
        <f>ABS(SUM(_xlfn.XLOOKUP(B9,Final_48_team_stats!B:B,Final_48_team_stats!H:H)-(_xlfn.XLOOKUP(C9,Final_48_team_stats!B:B,Final_48_team_stats!H:H))))</f>
        <v>9.9666666666666011</v>
      </c>
      <c r="M9">
        <f>ABS(SUM(_xlfn.XLOOKUP(B9,Final_48_team_stats!B:B,Final_48_team_stats!Q:Q)-(_xlfn.XLOOKUP(C9,Final_48_team_stats!B:B,Final_48_team_stats!Q:Q))))</f>
        <v>4.8554336989032887E-2</v>
      </c>
      <c r="N9">
        <f>ABS(SUM(_xlfn.XLOOKUP(B9,Final_48_team_stats!B:B,Final_48_team_stats!G:G)-(_xlfn.XLOOKUP(C9,Final_48_team_stats!B:B,Final_48_team_stats!G:G))))</f>
        <v>0.5</v>
      </c>
      <c r="O9">
        <v>2</v>
      </c>
    </row>
    <row r="10" spans="1:15" x14ac:dyDescent="0.45">
      <c r="A10" t="s">
        <v>349</v>
      </c>
      <c r="B10" t="s">
        <v>287</v>
      </c>
      <c r="C10" t="s">
        <v>317</v>
      </c>
      <c r="D10" s="8">
        <f>ABS(SUM(_xlfn.XLOOKUP(B10,Final_48_team_stats!B:B,Final_48_team_stats!M:M)-_xlfn.XLOOKUP(C10,Final_48_team_stats!B:B,Final_48_team_stats!M:M)))</f>
        <v>4.375</v>
      </c>
      <c r="E10" s="8">
        <f>ABS(SUM(_xlfn.XLOOKUP(B10,Final_48_team_stats!B:B,Final_48_team_stats!J:J)-_xlfn.XLOOKUP(Model_1_test18!C10,Final_48_team_stats!B:B,Final_48_team_stats!J:J)))</f>
        <v>19</v>
      </c>
      <c r="F10">
        <f>ABS(SUM(_xlfn.XLOOKUP(B10,Final_48_team_stats!B:B,Final_48_team_stats!K:K)-_xlfn.XLOOKUP(C10,Final_48_team_stats!B:B,Final_48_team_stats!K:K)))</f>
        <v>2.5454545454546</v>
      </c>
      <c r="G10">
        <v>1</v>
      </c>
      <c r="H10">
        <v>4704000</v>
      </c>
      <c r="I10">
        <v>72</v>
      </c>
      <c r="J10">
        <v>3.8099999999999996</v>
      </c>
      <c r="K10">
        <f>ABS(SUM(_xlfn.XLOOKUP(B10,Final_48_team_stats!B:B,Final_48_team_stats!I:I)-(_xlfn.XLOOKUP(C10,Final_48_team_stats!B:B,Final_48_team_stats!I:I))))</f>
        <v>0.375</v>
      </c>
      <c r="L10">
        <f>ABS(SUM(_xlfn.XLOOKUP(B10,Final_48_team_stats!B:B,Final_48_team_stats!H:H)-(_xlfn.XLOOKUP(C10,Final_48_team_stats!B:B,Final_48_team_stats!H:H))))</f>
        <v>21.375</v>
      </c>
      <c r="M10">
        <f>ABS(SUM(_xlfn.XLOOKUP(B10,Final_48_team_stats!B:B,Final_48_team_stats!Q:Q)-(_xlfn.XLOOKUP(C10,Final_48_team_stats!B:B,Final_48_team_stats!Q:Q))))</f>
        <v>6.2846055921103039E-3</v>
      </c>
      <c r="N10">
        <f>ABS(SUM(_xlfn.XLOOKUP(B10,Final_48_team_stats!B:B,Final_48_team_stats!G:G)-(_xlfn.XLOOKUP(C10,Final_48_team_stats!B:B,Final_48_team_stats!G:G))))</f>
        <v>1</v>
      </c>
      <c r="O10">
        <v>6</v>
      </c>
    </row>
    <row r="11" spans="1:15" x14ac:dyDescent="0.45">
      <c r="A11" t="s">
        <v>350</v>
      </c>
      <c r="B11" t="s">
        <v>288</v>
      </c>
      <c r="C11" t="s">
        <v>319</v>
      </c>
      <c r="D11" s="8">
        <f>ABS(SUM(_xlfn.XLOOKUP(B11,Final_48_team_stats!B:B,Final_48_team_stats!M:M)-_xlfn.XLOOKUP(C11,Final_48_team_stats!B:B,Final_48_team_stats!M:M)))</f>
        <v>8.8857142857141991</v>
      </c>
      <c r="E11" s="8">
        <f>ABS(SUM(_xlfn.XLOOKUP(B11,Final_48_team_stats!B:B,Final_48_team_stats!J:J)-_xlfn.XLOOKUP(Model_1_test18!C11,Final_48_team_stats!B:B,Final_48_team_stats!J:J)))</f>
        <v>1</v>
      </c>
      <c r="F11">
        <f>ABS(SUM(_xlfn.XLOOKUP(B11,Final_48_team_stats!B:B,Final_48_team_stats!K:K)-_xlfn.XLOOKUP(C11,Final_48_team_stats!B:B,Final_48_team_stats!K:K)))</f>
        <v>9.6388888888888005</v>
      </c>
      <c r="G11">
        <v>1</v>
      </c>
      <c r="H11">
        <v>2135000</v>
      </c>
      <c r="I11">
        <v>11</v>
      </c>
      <c r="J11">
        <v>0.19000000000000006</v>
      </c>
      <c r="K11">
        <f>ABS(SUM(_xlfn.XLOOKUP(B11,Final_48_team_stats!B:B,Final_48_team_stats!I:I)-(_xlfn.XLOOKUP(C11,Final_48_team_stats!B:B,Final_48_team_stats!I:I))))</f>
        <v>27.057142857142797</v>
      </c>
      <c r="L11">
        <f>ABS(SUM(_xlfn.XLOOKUP(B11,Final_48_team_stats!B:B,Final_48_team_stats!H:H)-(_xlfn.XLOOKUP(C11,Final_48_team_stats!B:B,Final_48_team_stats!H:H))))</f>
        <v>0.5</v>
      </c>
      <c r="M11">
        <f>ABS(SUM(_xlfn.XLOOKUP(B11,Final_48_team_stats!B:B,Final_48_team_stats!Q:Q)-(_xlfn.XLOOKUP(C11,Final_48_team_stats!B:B,Final_48_team_stats!Q:Q))))</f>
        <v>3.9509393658186426E-2</v>
      </c>
      <c r="N11">
        <f>ABS(SUM(_xlfn.XLOOKUP(B11,Final_48_team_stats!B:B,Final_48_team_stats!G:G)-(_xlfn.XLOOKUP(C11,Final_48_team_stats!B:B,Final_48_team_stats!G:G))))</f>
        <v>0</v>
      </c>
      <c r="O11">
        <v>0</v>
      </c>
    </row>
    <row r="12" spans="1:15" x14ac:dyDescent="0.45">
      <c r="A12" t="s">
        <v>351</v>
      </c>
      <c r="B12" t="s">
        <v>352</v>
      </c>
      <c r="C12" t="s">
        <v>307</v>
      </c>
      <c r="D12" s="8">
        <f>ABS(SUM(_xlfn.XLOOKUP(B12,Final_48_team_stats!B:B,Final_48_team_stats!M:M)-_xlfn.XLOOKUP(C12,Final_48_team_stats!B:B,Final_48_team_stats!M:M)))</f>
        <v>5.9142857142856995</v>
      </c>
      <c r="E12" s="8">
        <f>ABS(SUM(_xlfn.XLOOKUP(B12,Final_48_team_stats!B:B,Final_48_team_stats!J:J)-_xlfn.XLOOKUP(Model_1_test18!C12,Final_48_team_stats!B:B,Final_48_team_stats!J:J)))</f>
        <v>26.3333333333334</v>
      </c>
      <c r="F12">
        <f>ABS(SUM(_xlfn.XLOOKUP(B12,Final_48_team_stats!B:B,Final_48_team_stats!K:K)-_xlfn.XLOOKUP(C12,Final_48_team_stats!B:B,Final_48_team_stats!K:K)))</f>
        <v>3.7575757575757009</v>
      </c>
      <c r="G12">
        <v>1</v>
      </c>
      <c r="H12">
        <v>1960000</v>
      </c>
      <c r="I12">
        <v>44</v>
      </c>
      <c r="J12">
        <v>0.51</v>
      </c>
      <c r="K12">
        <f>ABS(SUM(_xlfn.XLOOKUP(B12,Final_48_team_stats!B:B,Final_48_team_stats!I:I)-(_xlfn.XLOOKUP(C12,Final_48_team_stats!B:B,Final_48_team_stats!I:I))))</f>
        <v>21.714285714285701</v>
      </c>
      <c r="L12">
        <f>ABS(SUM(_xlfn.XLOOKUP(B12,Final_48_team_stats!B:B,Final_48_team_stats!H:H)-(_xlfn.XLOOKUP(C12,Final_48_team_stats!B:B,Final_48_team_stats!H:H))))</f>
        <v>10.214285714285701</v>
      </c>
      <c r="M12">
        <f>ABS(SUM(_xlfn.XLOOKUP(B12,Final_48_team_stats!B:B,Final_48_team_stats!Q:Q)-(_xlfn.XLOOKUP(C12,Final_48_team_stats!B:B,Final_48_team_stats!Q:Q))))</f>
        <v>2.4245829821330098E-2</v>
      </c>
      <c r="N12">
        <f>ABS(SUM(_xlfn.XLOOKUP(B12,Final_48_team_stats!B:B,Final_48_team_stats!G:G)-(_xlfn.XLOOKUP(C12,Final_48_team_stats!B:B,Final_48_team_stats!G:G))))</f>
        <v>0.5</v>
      </c>
      <c r="O12">
        <v>0</v>
      </c>
    </row>
    <row r="13" spans="1:15" x14ac:dyDescent="0.45">
      <c r="A13" t="s">
        <v>353</v>
      </c>
      <c r="B13" t="s">
        <v>290</v>
      </c>
      <c r="C13" t="s">
        <v>322</v>
      </c>
      <c r="D13" s="8">
        <f>ABS(SUM(_xlfn.XLOOKUP(B13,Final_48_team_stats!B:B,Final_48_team_stats!M:M)-_xlfn.XLOOKUP(C13,Final_48_team_stats!B:B,Final_48_team_stats!M:M)))</f>
        <v>4.5952380952381002</v>
      </c>
      <c r="E13" s="8">
        <f>ABS(SUM(_xlfn.XLOOKUP(B13,Final_48_team_stats!B:B,Final_48_team_stats!J:J)-_xlfn.XLOOKUP(Model_1_test18!C13,Final_48_team_stats!B:B,Final_48_team_stats!J:J)))</f>
        <v>15.75</v>
      </c>
      <c r="F13">
        <f>ABS(SUM(_xlfn.XLOOKUP(B13,Final_48_team_stats!B:B,Final_48_team_stats!K:K)-_xlfn.XLOOKUP(C13,Final_48_team_stats!B:B,Final_48_team_stats!K:K)))</f>
        <v>30.196428571428601</v>
      </c>
      <c r="G13">
        <v>1</v>
      </c>
      <c r="H13">
        <v>1544000</v>
      </c>
      <c r="I13">
        <v>20</v>
      </c>
      <c r="J13">
        <v>1.05</v>
      </c>
      <c r="K13">
        <f>ABS(SUM(_xlfn.XLOOKUP(B13,Final_48_team_stats!B:B,Final_48_team_stats!I:I)-(_xlfn.XLOOKUP(C13,Final_48_team_stats!B:B,Final_48_team_stats!I:I))))</f>
        <v>3.7142857142857011</v>
      </c>
      <c r="L13">
        <f>ABS(SUM(_xlfn.XLOOKUP(B13,Final_48_team_stats!B:B,Final_48_team_stats!H:H)-(_xlfn.XLOOKUP(C13,Final_48_team_stats!B:B,Final_48_team_stats!H:H))))</f>
        <v>2.0694444444444002</v>
      </c>
      <c r="M13">
        <f>ABS(SUM(_xlfn.XLOOKUP(B13,Final_48_team_stats!B:B,Final_48_team_stats!Q:Q)-(_xlfn.XLOOKUP(C13,Final_48_team_stats!B:B,Final_48_team_stats!Q:Q))))</f>
        <v>4.3763646671194534E-2</v>
      </c>
      <c r="N13">
        <f>ABS(SUM(_xlfn.XLOOKUP(B13,Final_48_team_stats!B:B,Final_48_team_stats!G:G)-(_xlfn.XLOOKUP(C13,Final_48_team_stats!B:B,Final_48_team_stats!G:G))))</f>
        <v>3</v>
      </c>
      <c r="O13">
        <v>0</v>
      </c>
    </row>
    <row r="14" spans="1:15" x14ac:dyDescent="0.45">
      <c r="A14" t="s">
        <v>354</v>
      </c>
      <c r="B14" t="s">
        <v>291</v>
      </c>
      <c r="C14" t="s">
        <v>308</v>
      </c>
      <c r="D14" s="8">
        <f>ABS(SUM(_xlfn.XLOOKUP(B14,Final_48_team_stats!B:B,Final_48_team_stats!M:M)-_xlfn.XLOOKUP(C14,Final_48_team_stats!B:B,Final_48_team_stats!M:M)))</f>
        <v>5.8000000000000007</v>
      </c>
      <c r="E14" s="8">
        <f>ABS(SUM(_xlfn.XLOOKUP(B14,Final_48_team_stats!B:B,Final_48_team_stats!J:J)-_xlfn.XLOOKUP(Model_1_test18!C14,Final_48_team_stats!B:B,Final_48_team_stats!J:J)))</f>
        <v>2</v>
      </c>
      <c r="F14">
        <f>ABS(SUM(_xlfn.XLOOKUP(B14,Final_48_team_stats!B:B,Final_48_team_stats!K:K)-_xlfn.XLOOKUP(C14,Final_48_team_stats!B:B,Final_48_team_stats!K:K)))</f>
        <v>5.4642857142858006</v>
      </c>
      <c r="G14">
        <v>1</v>
      </c>
      <c r="H14">
        <v>230000</v>
      </c>
      <c r="I14">
        <v>6</v>
      </c>
      <c r="J14">
        <v>1.9000000000000001</v>
      </c>
      <c r="K14">
        <f>ABS(SUM(_xlfn.XLOOKUP(B14,Final_48_team_stats!B:B,Final_48_team_stats!I:I)-(_xlfn.XLOOKUP(C14,Final_48_team_stats!B:B,Final_48_team_stats!I:I))))</f>
        <v>7</v>
      </c>
      <c r="L14">
        <f>ABS(SUM(_xlfn.XLOOKUP(B14,Final_48_team_stats!B:B,Final_48_team_stats!H:H)-(_xlfn.XLOOKUP(C14,Final_48_team_stats!B:B,Final_48_team_stats!H:H))))</f>
        <v>4.5272727272728019</v>
      </c>
      <c r="M14">
        <f>ABS(SUM(_xlfn.XLOOKUP(B14,Final_48_team_stats!B:B,Final_48_team_stats!Q:Q)-(_xlfn.XLOOKUP(C14,Final_48_team_stats!B:B,Final_48_team_stats!Q:Q))))</f>
        <v>5.1357686272172895E-2</v>
      </c>
      <c r="N14">
        <f>ABS(SUM(_xlfn.XLOOKUP(B14,Final_48_team_stats!B:B,Final_48_team_stats!G:G)-(_xlfn.XLOOKUP(C14,Final_48_team_stats!B:B,Final_48_team_stats!G:G))))</f>
        <v>0.5</v>
      </c>
      <c r="O14">
        <v>4</v>
      </c>
    </row>
    <row r="15" spans="1:15" x14ac:dyDescent="0.45">
      <c r="A15" t="s">
        <v>355</v>
      </c>
      <c r="B15" t="s">
        <v>292</v>
      </c>
      <c r="C15" t="s">
        <v>309</v>
      </c>
      <c r="D15" s="8">
        <f>ABS(SUM(_xlfn.XLOOKUP(B15,Final_48_team_stats!B:B,Final_48_team_stats!M:M)-_xlfn.XLOOKUP(C15,Final_48_team_stats!B:B,Final_48_team_stats!M:M)))</f>
        <v>5.4920634920634903</v>
      </c>
      <c r="E15" s="8">
        <f>ABS(SUM(_xlfn.XLOOKUP(B15,Final_48_team_stats!B:B,Final_48_team_stats!J:J)-_xlfn.XLOOKUP(Model_1_test18!C15,Final_48_team_stats!B:B,Final_48_team_stats!J:J)))</f>
        <v>2.3333333333333002</v>
      </c>
      <c r="F15">
        <f>ABS(SUM(_xlfn.XLOOKUP(B15,Final_48_team_stats!B:B,Final_48_team_stats!K:K)-_xlfn.XLOOKUP(C15,Final_48_team_stats!B:B,Final_48_team_stats!K:K)))</f>
        <v>20.0416666666666</v>
      </c>
      <c r="G15">
        <v>1</v>
      </c>
      <c r="H15">
        <v>1180000</v>
      </c>
      <c r="I15">
        <v>11</v>
      </c>
      <c r="J15">
        <v>0.27</v>
      </c>
      <c r="K15">
        <f>ABS(SUM(_xlfn.XLOOKUP(B15,Final_48_team_stats!B:B,Final_48_team_stats!I:I)-(_xlfn.XLOOKUP(C15,Final_48_team_stats!B:B,Final_48_team_stats!I:I))))</f>
        <v>15.952380952380899</v>
      </c>
      <c r="L15">
        <f>ABS(SUM(_xlfn.XLOOKUP(B15,Final_48_team_stats!B:B,Final_48_team_stats!H:H)-(_xlfn.XLOOKUP(C15,Final_48_team_stats!B:B,Final_48_team_stats!H:H))))</f>
        <v>7.25</v>
      </c>
      <c r="M15">
        <f>ABS(SUM(_xlfn.XLOOKUP(B15,Final_48_team_stats!B:B,Final_48_team_stats!Q:Q)-(_xlfn.XLOOKUP(C15,Final_48_team_stats!B:B,Final_48_team_stats!Q:Q))))</f>
        <v>5.1511679609160671E-3</v>
      </c>
      <c r="N15">
        <f>ABS(SUM(_xlfn.XLOOKUP(B15,Final_48_team_stats!B:B,Final_48_team_stats!G:G)-(_xlfn.XLOOKUP(C15,Final_48_team_stats!B:B,Final_48_team_stats!G:G))))</f>
        <v>0</v>
      </c>
      <c r="O15">
        <v>1</v>
      </c>
    </row>
    <row r="16" spans="1:15" x14ac:dyDescent="0.45">
      <c r="A16" t="s">
        <v>356</v>
      </c>
      <c r="B16" t="s">
        <v>293</v>
      </c>
      <c r="C16" t="s">
        <v>321</v>
      </c>
      <c r="D16" s="8">
        <f>ABS(SUM(_xlfn.XLOOKUP(B16,Final_48_team_stats!B:B,Final_48_team_stats!M:M)-_xlfn.XLOOKUP(C16,Final_48_team_stats!B:B,Final_48_team_stats!M:M)))</f>
        <v>1.9166666666666003</v>
      </c>
      <c r="E16" s="8">
        <f>ABS(SUM(_xlfn.XLOOKUP(B16,Final_48_team_stats!B:B,Final_48_team_stats!J:J)-_xlfn.XLOOKUP(Model_1_test18!C16,Final_48_team_stats!B:B,Final_48_team_stats!J:J)))</f>
        <v>9.6666666666666998</v>
      </c>
      <c r="F16">
        <f>ABS(SUM(_xlfn.XLOOKUP(B16,Final_48_team_stats!B:B,Final_48_team_stats!K:K)-_xlfn.XLOOKUP(C16,Final_48_team_stats!B:B,Final_48_team_stats!K:K)))</f>
        <v>6.8690476190475991</v>
      </c>
      <c r="G16">
        <v>1</v>
      </c>
      <c r="H16">
        <v>1890000</v>
      </c>
      <c r="I16">
        <v>67</v>
      </c>
      <c r="J16">
        <v>1.06</v>
      </c>
      <c r="K16">
        <f>ABS(SUM(_xlfn.XLOOKUP(B16,Final_48_team_stats!B:B,Final_48_team_stats!I:I)-(_xlfn.XLOOKUP(C16,Final_48_team_stats!B:B,Final_48_team_stats!I:I))))</f>
        <v>15.3333333333333</v>
      </c>
      <c r="L16">
        <f>ABS(SUM(_xlfn.XLOOKUP(B16,Final_48_team_stats!B:B,Final_48_team_stats!H:H)-(_xlfn.XLOOKUP(C16,Final_48_team_stats!B:B,Final_48_team_stats!H:H))))</f>
        <v>7</v>
      </c>
      <c r="M16">
        <f>ABS(SUM(_xlfn.XLOOKUP(B16,Final_48_team_stats!B:B,Final_48_team_stats!Q:Q)-(_xlfn.XLOOKUP(C16,Final_48_team_stats!B:B,Final_48_team_stats!Q:Q))))</f>
        <v>6.633970521137747E-2</v>
      </c>
      <c r="N16">
        <f>ABS(SUM(_xlfn.XLOOKUP(B16,Final_48_team_stats!B:B,Final_48_team_stats!G:G)-(_xlfn.XLOOKUP(C16,Final_48_team_stats!B:B,Final_48_team_stats!G:G))))</f>
        <v>2.5</v>
      </c>
      <c r="O16">
        <v>0</v>
      </c>
    </row>
    <row r="17" spans="1:15" x14ac:dyDescent="0.45">
      <c r="A17" t="s">
        <v>357</v>
      </c>
      <c r="B17" t="s">
        <v>294</v>
      </c>
      <c r="C17" t="s">
        <v>310</v>
      </c>
      <c r="D17" s="8">
        <f>ABS(SUM(_xlfn.XLOOKUP(B17,Final_48_team_stats!B:B,Final_48_team_stats!M:M)-_xlfn.XLOOKUP(C17,Final_48_team_stats!B:B,Final_48_team_stats!M:M)))</f>
        <v>0.59999999999999964</v>
      </c>
      <c r="E17" s="8">
        <f>ABS(SUM(_xlfn.XLOOKUP(B17,Final_48_team_stats!B:B,Final_48_team_stats!J:J)-_xlfn.XLOOKUP(Model_1_test18!C17,Final_48_team_stats!B:B,Final_48_team_stats!J:J)))</f>
        <v>25.3333333333334</v>
      </c>
      <c r="F17">
        <f>ABS(SUM(_xlfn.XLOOKUP(B17,Final_48_team_stats!B:B,Final_48_team_stats!K:K)-_xlfn.XLOOKUP(C17,Final_48_team_stats!B:B,Final_48_team_stats!K:K)))</f>
        <v>21.6527777777778</v>
      </c>
      <c r="G17">
        <v>1</v>
      </c>
      <c r="H17">
        <v>200000</v>
      </c>
      <c r="I17">
        <v>64</v>
      </c>
      <c r="J17">
        <v>0.26</v>
      </c>
      <c r="K17">
        <f>ABS(SUM(_xlfn.XLOOKUP(B17,Final_48_team_stats!B:B,Final_48_team_stats!I:I)-(_xlfn.XLOOKUP(C17,Final_48_team_stats!B:B,Final_48_team_stats!I:I))))</f>
        <v>13.700000000000003</v>
      </c>
      <c r="L17">
        <f>ABS(SUM(_xlfn.XLOOKUP(B17,Final_48_team_stats!B:B,Final_48_team_stats!H:H)-(_xlfn.XLOOKUP(C17,Final_48_team_stats!B:B,Final_48_team_stats!H:H))))</f>
        <v>18</v>
      </c>
      <c r="M17">
        <f>ABS(SUM(_xlfn.XLOOKUP(B17,Final_48_team_stats!B:B,Final_48_team_stats!Q:Q)-(_xlfn.XLOOKUP(C17,Final_48_team_stats!B:B,Final_48_team_stats!Q:Q))))</f>
        <v>3.8920373676992748E-4</v>
      </c>
      <c r="N17">
        <f>ABS(SUM(_xlfn.XLOOKUP(B17,Final_48_team_stats!B:B,Final_48_team_stats!G:G)-(_xlfn.XLOOKUP(C17,Final_48_team_stats!B:B,Final_48_team_stats!G:G))))</f>
        <v>4</v>
      </c>
      <c r="O17">
        <v>0</v>
      </c>
    </row>
    <row r="18" spans="1:15" x14ac:dyDescent="0.45">
      <c r="A18" t="s">
        <v>358</v>
      </c>
      <c r="B18" t="s">
        <v>295</v>
      </c>
      <c r="C18" t="s">
        <v>318</v>
      </c>
      <c r="D18" s="8">
        <f>ABS(SUM(_xlfn.XLOOKUP(B18,Final_48_team_stats!B:B,Final_48_team_stats!M:M)-_xlfn.XLOOKUP(C18,Final_48_team_stats!B:B,Final_48_team_stats!M:M)))</f>
        <v>0.4464285714285996</v>
      </c>
      <c r="E18" s="8">
        <f>ABS(SUM(_xlfn.XLOOKUP(B18,Final_48_team_stats!B:B,Final_48_team_stats!J:J)-_xlfn.XLOOKUP(Model_1_test18!C18,Final_48_team_stats!B:B,Final_48_team_stats!J:J)))</f>
        <v>7</v>
      </c>
      <c r="F18">
        <f>ABS(SUM(_xlfn.XLOOKUP(B18,Final_48_team_stats!B:B,Final_48_team_stats!K:K)-_xlfn.XLOOKUP(C18,Final_48_team_stats!B:B,Final_48_team_stats!K:K)))</f>
        <v>13.714285714285701</v>
      </c>
      <c r="G18">
        <v>1</v>
      </c>
      <c r="H18">
        <v>2880000</v>
      </c>
      <c r="I18">
        <v>13</v>
      </c>
      <c r="J18">
        <v>1.26</v>
      </c>
      <c r="K18">
        <f>ABS(SUM(_xlfn.XLOOKUP(B18,Final_48_team_stats!B:B,Final_48_team_stats!I:I)-(_xlfn.XLOOKUP(C18,Final_48_team_stats!B:B,Final_48_team_stats!I:I))))</f>
        <v>8.8571428571428967</v>
      </c>
      <c r="L18">
        <f>ABS(SUM(_xlfn.XLOOKUP(B18,Final_48_team_stats!B:B,Final_48_team_stats!H:H)-(_xlfn.XLOOKUP(C18,Final_48_team_stats!B:B,Final_48_team_stats!H:H))))</f>
        <v>2.2361111111111995</v>
      </c>
      <c r="M18">
        <f>ABS(SUM(_xlfn.XLOOKUP(B18,Final_48_team_stats!B:B,Final_48_team_stats!Q:Q)-(_xlfn.XLOOKUP(C18,Final_48_team_stats!B:B,Final_48_team_stats!Q:Q))))</f>
        <v>5.2985151074945724E-3</v>
      </c>
      <c r="N18">
        <f>ABS(SUM(_xlfn.XLOOKUP(B18,Final_48_team_stats!B:B,Final_48_team_stats!G:G)-(_xlfn.XLOOKUP(C18,Final_48_team_stats!B:B,Final_48_team_stats!G:G))))</f>
        <v>1</v>
      </c>
      <c r="O18">
        <v>2</v>
      </c>
    </row>
    <row r="19" spans="1:15" x14ac:dyDescent="0.45">
      <c r="A19" t="s">
        <v>359</v>
      </c>
      <c r="B19" t="s">
        <v>296</v>
      </c>
      <c r="C19" t="s">
        <v>311</v>
      </c>
      <c r="D19" s="8">
        <f>ABS(SUM(_xlfn.XLOOKUP(B19,Final_48_team_stats!B:B,Final_48_team_stats!M:M)-_xlfn.XLOOKUP(C19,Final_48_team_stats!B:B,Final_48_team_stats!M:M)))</f>
        <v>9.4857142857142893</v>
      </c>
      <c r="E19" s="8">
        <f>ABS(SUM(_xlfn.XLOOKUP(B19,Final_48_team_stats!B:B,Final_48_team_stats!J:J)-_xlfn.XLOOKUP(Model_1_test18!C19,Final_48_team_stats!B:B,Final_48_team_stats!J:J)))</f>
        <v>20.3333333333333</v>
      </c>
      <c r="F19">
        <f>ABS(SUM(_xlfn.XLOOKUP(B19,Final_48_team_stats!B:B,Final_48_team_stats!K:K)-_xlfn.XLOOKUP(C19,Final_48_team_stats!B:B,Final_48_team_stats!K:K)))</f>
        <v>3.4857142857143018</v>
      </c>
      <c r="G19">
        <v>1</v>
      </c>
      <c r="H19">
        <v>30000</v>
      </c>
      <c r="I19">
        <v>26</v>
      </c>
      <c r="J19">
        <v>1.72</v>
      </c>
      <c r="K19">
        <f>ABS(SUM(_xlfn.XLOOKUP(B19,Final_48_team_stats!B:B,Final_48_team_stats!I:I)-(_xlfn.XLOOKUP(C19,Final_48_team_stats!B:B,Final_48_team_stats!I:I))))</f>
        <v>8.3999999999999986</v>
      </c>
      <c r="L19">
        <f>ABS(SUM(_xlfn.XLOOKUP(B19,Final_48_team_stats!B:B,Final_48_team_stats!H:H)-(_xlfn.XLOOKUP(C19,Final_48_team_stats!B:B,Final_48_team_stats!H:H))))</f>
        <v>3.8888888888888005</v>
      </c>
      <c r="M19">
        <f>ABS(SUM(_xlfn.XLOOKUP(B19,Final_48_team_stats!B:B,Final_48_team_stats!Q:Q)-(_xlfn.XLOOKUP(C19,Final_48_team_stats!B:B,Final_48_team_stats!Q:Q))))</f>
        <v>4.3443277523410137E-2</v>
      </c>
      <c r="N19">
        <f>ABS(SUM(_xlfn.XLOOKUP(B19,Final_48_team_stats!B:B,Final_48_team_stats!G:G)-(_xlfn.XLOOKUP(C19,Final_48_team_stats!B:B,Final_48_team_stats!G:G))))</f>
        <v>1.5</v>
      </c>
      <c r="O19">
        <v>3</v>
      </c>
    </row>
    <row r="20" spans="1:15" x14ac:dyDescent="0.45">
      <c r="A20" t="s">
        <v>360</v>
      </c>
      <c r="B20" t="s">
        <v>297</v>
      </c>
      <c r="C20" t="s">
        <v>325</v>
      </c>
      <c r="D20" s="8">
        <f>ABS(SUM(_xlfn.XLOOKUP(B20,Final_48_team_stats!B:B,Final_48_team_stats!M:M)-_xlfn.XLOOKUP(C20,Final_48_team_stats!B:B,Final_48_team_stats!M:M)))</f>
        <v>14.1428571428571</v>
      </c>
      <c r="E20" s="8">
        <f>ABS(SUM(_xlfn.XLOOKUP(B20,Final_48_team_stats!B:B,Final_48_team_stats!J:J)-_xlfn.XLOOKUP(Model_1_test18!C20,Final_48_team_stats!B:B,Final_48_team_stats!J:J)))</f>
        <v>18.99999999999994</v>
      </c>
      <c r="F20">
        <f>ABS(SUM(_xlfn.XLOOKUP(B20,Final_48_team_stats!B:B,Final_48_team_stats!K:K)-_xlfn.XLOOKUP(C20,Final_48_team_stats!B:B,Final_48_team_stats!K:K)))</f>
        <v>20.035714285714299</v>
      </c>
      <c r="G20">
        <v>1</v>
      </c>
      <c r="H20">
        <v>1620000</v>
      </c>
      <c r="I20">
        <v>25</v>
      </c>
      <c r="J20">
        <v>0.94</v>
      </c>
      <c r="K20">
        <f>ABS(SUM(_xlfn.XLOOKUP(B20,Final_48_team_stats!B:B,Final_48_team_stats!I:I)-(_xlfn.XLOOKUP(C20,Final_48_team_stats!B:B,Final_48_team_stats!I:I))))</f>
        <v>21.714285714285698</v>
      </c>
      <c r="L20">
        <f>ABS(SUM(_xlfn.XLOOKUP(B20,Final_48_team_stats!B:B,Final_48_team_stats!H:H)-(_xlfn.XLOOKUP(C20,Final_48_team_stats!B:B,Final_48_team_stats!H:H))))</f>
        <v>13.5</v>
      </c>
      <c r="M20">
        <f>ABS(SUM(_xlfn.XLOOKUP(B20,Final_48_team_stats!B:B,Final_48_team_stats!Q:Q)-(_xlfn.XLOOKUP(C20,Final_48_team_stats!B:B,Final_48_team_stats!Q:Q))))</f>
        <v>2.1445054753112675E-2</v>
      </c>
      <c r="N20">
        <f>ABS(SUM(_xlfn.XLOOKUP(B20,Final_48_team_stats!B:B,Final_48_team_stats!G:G)-(_xlfn.XLOOKUP(C20,Final_48_team_stats!B:B,Final_48_team_stats!G:G))))</f>
        <v>2</v>
      </c>
      <c r="O20">
        <v>3</v>
      </c>
    </row>
    <row r="21" spans="1:15" x14ac:dyDescent="0.45">
      <c r="A21" t="s">
        <v>361</v>
      </c>
      <c r="B21" t="s">
        <v>298</v>
      </c>
      <c r="C21" t="s">
        <v>312</v>
      </c>
      <c r="D21" s="8">
        <f>ABS(SUM(_xlfn.XLOOKUP(B21,Final_48_team_stats!B:B,Final_48_team_stats!M:M)-_xlfn.XLOOKUP(C21,Final_48_team_stats!B:B,Final_48_team_stats!M:M)))</f>
        <v>8.4166666666666998</v>
      </c>
      <c r="E21" s="8">
        <f>ABS(SUM(_xlfn.XLOOKUP(B21,Final_48_team_stats!B:B,Final_48_team_stats!J:J)-_xlfn.XLOOKUP(Model_1_test18!C21,Final_48_team_stats!B:B,Final_48_team_stats!J:J)))</f>
        <v>14.3333333333333</v>
      </c>
      <c r="F21">
        <f>ABS(SUM(_xlfn.XLOOKUP(B21,Final_48_team_stats!B:B,Final_48_team_stats!K:K)-_xlfn.XLOOKUP(C21,Final_48_team_stats!B:B,Final_48_team_stats!K:K)))</f>
        <v>2.170454545454497</v>
      </c>
      <c r="G21">
        <v>1</v>
      </c>
      <c r="H21">
        <v>1200000</v>
      </c>
      <c r="I21">
        <v>39</v>
      </c>
      <c r="J21">
        <v>1.1299999999999999</v>
      </c>
      <c r="K21">
        <f>ABS(SUM(_xlfn.XLOOKUP(B21,Final_48_team_stats!B:B,Final_48_team_stats!I:I)-(_xlfn.XLOOKUP(C21,Final_48_team_stats!B:B,Final_48_team_stats!I:I))))</f>
        <v>17.6666666666667</v>
      </c>
      <c r="L21">
        <f>ABS(SUM(_xlfn.XLOOKUP(B21,Final_48_team_stats!B:B,Final_48_team_stats!H:H)-(_xlfn.XLOOKUP(C21,Final_48_team_stats!B:B,Final_48_team_stats!H:H))))</f>
        <v>2.5972222222222001</v>
      </c>
      <c r="M21">
        <f>ABS(SUM(_xlfn.XLOOKUP(B21,Final_48_team_stats!B:B,Final_48_team_stats!Q:Q)-(_xlfn.XLOOKUP(C21,Final_48_team_stats!B:B,Final_48_team_stats!Q:Q))))</f>
        <v>5.7647249498803815E-2</v>
      </c>
      <c r="N21">
        <f>ABS(SUM(_xlfn.XLOOKUP(B21,Final_48_team_stats!B:B,Final_48_team_stats!G:G)-(_xlfn.XLOOKUP(C21,Final_48_team_stats!B:B,Final_48_team_stats!G:G))))</f>
        <v>0.5</v>
      </c>
      <c r="O21">
        <v>2</v>
      </c>
    </row>
    <row r="22" spans="1:15" x14ac:dyDescent="0.45">
      <c r="A22" t="s">
        <v>362</v>
      </c>
      <c r="B22" t="s">
        <v>299</v>
      </c>
      <c r="C22" t="s">
        <v>324</v>
      </c>
      <c r="D22" s="8">
        <f>ABS(SUM(_xlfn.XLOOKUP(B22,Final_48_team_stats!B:B,Final_48_team_stats!M:M)-_xlfn.XLOOKUP(C22,Final_48_team_stats!B:B,Final_48_team_stats!M:M)))</f>
        <v>15.642857142857149</v>
      </c>
      <c r="E22" s="8">
        <f>ABS(SUM(_xlfn.XLOOKUP(B22,Final_48_team_stats!B:B,Final_48_team_stats!J:J)-_xlfn.XLOOKUP(Model_1_test18!C22,Final_48_team_stats!B:B,Final_48_team_stats!J:J)))</f>
        <v>6</v>
      </c>
      <c r="F22">
        <f>ABS(SUM(_xlfn.XLOOKUP(B22,Final_48_team_stats!B:B,Final_48_team_stats!K:K)-_xlfn.XLOOKUP(C22,Final_48_team_stats!B:B,Final_48_team_stats!K:K)))</f>
        <v>27.125</v>
      </c>
      <c r="G22">
        <v>1</v>
      </c>
      <c r="H22">
        <v>3570000</v>
      </c>
      <c r="I22">
        <v>41</v>
      </c>
      <c r="J22">
        <v>0.21999999999999997</v>
      </c>
      <c r="K22">
        <f>ABS(SUM(_xlfn.XLOOKUP(B22,Final_48_team_stats!B:B,Final_48_team_stats!I:I)-(_xlfn.XLOOKUP(C22,Final_48_team_stats!B:B,Final_48_team_stats!I:I))))</f>
        <v>17.339285714285801</v>
      </c>
      <c r="L22">
        <f>ABS(SUM(_xlfn.XLOOKUP(B22,Final_48_team_stats!B:B,Final_48_team_stats!H:H)-(_xlfn.XLOOKUP(C22,Final_48_team_stats!B:B,Final_48_team_stats!H:H))))</f>
        <v>3.9444444444444002</v>
      </c>
      <c r="M22">
        <f>ABS(SUM(_xlfn.XLOOKUP(B22,Final_48_team_stats!B:B,Final_48_team_stats!Q:Q)-(_xlfn.XLOOKUP(C22,Final_48_team_stats!B:B,Final_48_team_stats!Q:Q))))</f>
        <v>0.1202607866920811</v>
      </c>
      <c r="N22">
        <f>ABS(SUM(_xlfn.XLOOKUP(B22,Final_48_team_stats!B:B,Final_48_team_stats!G:G)-(_xlfn.XLOOKUP(C22,Final_48_team_stats!B:B,Final_48_team_stats!G:G))))</f>
        <v>2.5</v>
      </c>
      <c r="O22">
        <v>0</v>
      </c>
    </row>
    <row r="23" spans="1:15" x14ac:dyDescent="0.45">
      <c r="A23" t="s">
        <v>363</v>
      </c>
      <c r="B23" t="s">
        <v>300</v>
      </c>
      <c r="C23" t="s">
        <v>323</v>
      </c>
      <c r="D23" s="8">
        <f>ABS(SUM(_xlfn.XLOOKUP(B23,Final_48_team_stats!B:B,Final_48_team_stats!M:M)-_xlfn.XLOOKUP(C23,Final_48_team_stats!B:B,Final_48_team_stats!M:M)))</f>
        <v>3.5714285714284983</v>
      </c>
      <c r="E23" s="8">
        <f>ABS(SUM(_xlfn.XLOOKUP(B23,Final_48_team_stats!B:B,Final_48_team_stats!J:J)-_xlfn.XLOOKUP(Model_1_test18!C23,Final_48_team_stats!B:B,Final_48_team_stats!J:J)))</f>
        <v>4</v>
      </c>
      <c r="F23">
        <f>ABS(SUM(_xlfn.XLOOKUP(B23,Final_48_team_stats!B:B,Final_48_team_stats!K:K)-_xlfn.XLOOKUP(C23,Final_48_team_stats!B:B,Final_48_team_stats!K:K)))</f>
        <v>21.2222222222222</v>
      </c>
      <c r="G23">
        <v>1</v>
      </c>
      <c r="H23">
        <v>4300000</v>
      </c>
      <c r="I23">
        <v>7</v>
      </c>
      <c r="J23">
        <v>2.5</v>
      </c>
      <c r="K23">
        <f>ABS(SUM(_xlfn.XLOOKUP(B23,Final_48_team_stats!B:B,Final_48_team_stats!I:I)-(_xlfn.XLOOKUP(C23,Final_48_team_stats!B:B,Final_48_team_stats!I:I))))</f>
        <v>15.023809523809497</v>
      </c>
      <c r="L23">
        <f>ABS(SUM(_xlfn.XLOOKUP(B23,Final_48_team_stats!B:B,Final_48_team_stats!H:H)-(_xlfn.XLOOKUP(C23,Final_48_team_stats!B:B,Final_48_team_stats!H:H))))</f>
        <v>5.0694444444444997</v>
      </c>
      <c r="M23">
        <f>ABS(SUM(_xlfn.XLOOKUP(B23,Final_48_team_stats!B:B,Final_48_team_stats!Q:Q)-(_xlfn.XLOOKUP(C23,Final_48_team_stats!B:B,Final_48_team_stats!Q:Q))))</f>
        <v>4.6120174679685239E-2</v>
      </c>
      <c r="N23">
        <f>ABS(SUM(_xlfn.XLOOKUP(B23,Final_48_team_stats!B:B,Final_48_team_stats!G:G)-(_xlfn.XLOOKUP(C23,Final_48_team_stats!B:B,Final_48_team_stats!G:G))))</f>
        <v>2</v>
      </c>
      <c r="O23">
        <v>2</v>
      </c>
    </row>
    <row r="24" spans="1:15" x14ac:dyDescent="0.45">
      <c r="A24" t="s">
        <v>364</v>
      </c>
      <c r="B24" t="s">
        <v>282</v>
      </c>
      <c r="C24" t="s">
        <v>283</v>
      </c>
      <c r="D24" s="8">
        <f>ABS(SUM(_xlfn.XLOOKUP(B24,Final_48_team_stats!B:B,Final_48_team_stats!M:M)-_xlfn.XLOOKUP(C24,Final_48_team_stats!B:B,Final_48_team_stats!M:M)))</f>
        <v>5.8253968253969006</v>
      </c>
      <c r="E24" s="8">
        <f>ABS(SUM(_xlfn.XLOOKUP(B24,Final_48_team_stats!B:B,Final_48_team_stats!J:J)-_xlfn.XLOOKUP(Model_1_test18!C24,Final_48_team_stats!B:B,Final_48_team_stats!J:J)))</f>
        <v>4.6666666666666998</v>
      </c>
      <c r="F24">
        <f>ABS(SUM(_xlfn.XLOOKUP(B24,Final_48_team_stats!B:B,Final_48_team_stats!K:K)-_xlfn.XLOOKUP(C24,Final_48_team_stats!B:B,Final_48_team_stats!K:K)))</f>
        <v>27.514285714285798</v>
      </c>
      <c r="G24">
        <v>1</v>
      </c>
      <c r="H24">
        <v>100000</v>
      </c>
      <c r="I24">
        <v>25</v>
      </c>
      <c r="J24">
        <v>0.58000000000000007</v>
      </c>
      <c r="K24">
        <f>ABS(SUM(_xlfn.XLOOKUP(B24,Final_48_team_stats!B:B,Final_48_team_stats!I:I)-(_xlfn.XLOOKUP(C24,Final_48_team_stats!B:B,Final_48_team_stats!I:I))))</f>
        <v>27.174603174603099</v>
      </c>
      <c r="L24">
        <f>ABS(SUM(_xlfn.XLOOKUP(B24,Final_48_team_stats!B:B,Final_48_team_stats!H:H)-(_xlfn.XLOOKUP(C24,Final_48_team_stats!B:B,Final_48_team_stats!H:H))))</f>
        <v>8.3333333333333002</v>
      </c>
      <c r="M24">
        <f>ABS(SUM(_xlfn.XLOOKUP(B24,Final_48_team_stats!B:B,Final_48_team_stats!Q:Q)-(_xlfn.XLOOKUP(C24,Final_48_team_stats!B:B,Final_48_team_stats!Q:Q))))</f>
        <v>6.4056258169032099E-3</v>
      </c>
      <c r="N24">
        <f>ABS(SUM(_xlfn.XLOOKUP(B24,Final_48_team_stats!B:B,Final_48_team_stats!G:G)-(_xlfn.XLOOKUP(C24,Final_48_team_stats!B:B,Final_48_team_stats!G:G))))</f>
        <v>3</v>
      </c>
      <c r="O24">
        <v>6</v>
      </c>
    </row>
    <row r="25" spans="1:15" x14ac:dyDescent="0.45">
      <c r="A25" t="s">
        <v>365</v>
      </c>
      <c r="B25" t="s">
        <v>301</v>
      </c>
      <c r="C25" t="s">
        <v>316</v>
      </c>
      <c r="D25" s="8">
        <f>ABS(SUM(_xlfn.XLOOKUP(B25,Final_48_team_stats!B:B,Final_48_team_stats!M:M)-_xlfn.XLOOKUP(C25,Final_48_team_stats!B:B,Final_48_team_stats!M:M)))</f>
        <v>2.5714285714285801</v>
      </c>
      <c r="E25" s="8">
        <f>ABS(SUM(_xlfn.XLOOKUP(B25,Final_48_team_stats!B:B,Final_48_team_stats!J:J)-_xlfn.XLOOKUP(Model_1_test18!C25,Final_48_team_stats!B:B,Final_48_team_stats!J:J)))</f>
        <v>1.9999999999999396</v>
      </c>
      <c r="F25">
        <f>ABS(SUM(_xlfn.XLOOKUP(B25,Final_48_team_stats!B:B,Final_48_team_stats!K:K)-_xlfn.XLOOKUP(C25,Final_48_team_stats!B:B,Final_48_team_stats!K:K)))</f>
        <v>36.5</v>
      </c>
      <c r="G25">
        <v>1</v>
      </c>
      <c r="H25">
        <v>1370000</v>
      </c>
      <c r="I25">
        <v>46</v>
      </c>
      <c r="J25">
        <v>0.45000000000000018</v>
      </c>
      <c r="K25">
        <f>ABS(SUM(_xlfn.XLOOKUP(B25,Final_48_team_stats!B:B,Final_48_team_stats!I:I)-(_xlfn.XLOOKUP(C25,Final_48_team_stats!B:B,Final_48_team_stats!I:I))))</f>
        <v>4.2857142857142989</v>
      </c>
      <c r="L25">
        <f>ABS(SUM(_xlfn.XLOOKUP(B25,Final_48_team_stats!B:B,Final_48_team_stats!H:H)-(_xlfn.XLOOKUP(C25,Final_48_team_stats!B:B,Final_48_team_stats!H:H))))</f>
        <v>25.875</v>
      </c>
      <c r="M25">
        <f>ABS(SUM(_xlfn.XLOOKUP(B25,Final_48_team_stats!B:B,Final_48_team_stats!Q:Q)-(_xlfn.XLOOKUP(C25,Final_48_team_stats!B:B,Final_48_team_stats!Q:Q))))</f>
        <v>4.6238258429958989E-2</v>
      </c>
      <c r="N25">
        <f>ABS(SUM(_xlfn.XLOOKUP(B25,Final_48_team_stats!B:B,Final_48_team_stats!G:G)-(_xlfn.XLOOKUP(C25,Final_48_team_stats!B:B,Final_48_team_stats!G:G))))</f>
        <v>1.5</v>
      </c>
      <c r="O25">
        <v>3</v>
      </c>
    </row>
    <row r="26" spans="1:15" x14ac:dyDescent="0.45">
      <c r="A26" t="s">
        <v>366</v>
      </c>
      <c r="B26" t="s">
        <v>302</v>
      </c>
      <c r="C26" t="s">
        <v>314</v>
      </c>
      <c r="D26" s="8">
        <f>ABS(SUM(_xlfn.XLOOKUP(B26,Final_48_team_stats!B:B,Final_48_team_stats!M:M)-_xlfn.XLOOKUP(C26,Final_48_team_stats!B:B,Final_48_team_stats!M:M)))</f>
        <v>17.333333333333272</v>
      </c>
      <c r="E26" s="8">
        <f>ABS(SUM(_xlfn.XLOOKUP(B26,Final_48_team_stats!B:B,Final_48_team_stats!J:J)-_xlfn.XLOOKUP(Model_1_test18!C26,Final_48_team_stats!B:B,Final_48_team_stats!J:J)))</f>
        <v>44.6666666666667</v>
      </c>
      <c r="F26">
        <f>ABS(SUM(_xlfn.XLOOKUP(B26,Final_48_team_stats!B:B,Final_48_team_stats!K:K)-_xlfn.XLOOKUP(C26,Final_48_team_stats!B:B,Final_48_team_stats!K:K)))</f>
        <v>10.924999999999997</v>
      </c>
      <c r="G26">
        <v>2</v>
      </c>
      <c r="H26">
        <v>2000000</v>
      </c>
      <c r="I26">
        <v>37</v>
      </c>
      <c r="J26">
        <v>0.35999999999999988</v>
      </c>
      <c r="K26">
        <f>ABS(SUM(_xlfn.XLOOKUP(B26,Final_48_team_stats!B:B,Final_48_team_stats!I:I)-(_xlfn.XLOOKUP(C26,Final_48_team_stats!B:B,Final_48_team_stats!I:I))))</f>
        <v>40</v>
      </c>
      <c r="L26">
        <f>ABS(SUM(_xlfn.XLOOKUP(B26,Final_48_team_stats!B:B,Final_48_team_stats!H:H)-(_xlfn.XLOOKUP(C26,Final_48_team_stats!B:B,Final_48_team_stats!H:H))))</f>
        <v>14.9444444444444</v>
      </c>
      <c r="M26">
        <f>ABS(SUM(_xlfn.XLOOKUP(B26,Final_48_team_stats!B:B,Final_48_team_stats!Q:Q)-(_xlfn.XLOOKUP(C26,Final_48_team_stats!B:B,Final_48_team_stats!Q:Q))))</f>
        <v>3.5441896003350862E-2</v>
      </c>
      <c r="N26">
        <f>ABS(SUM(_xlfn.XLOOKUP(B26,Final_48_team_stats!B:B,Final_48_team_stats!G:G)-(_xlfn.XLOOKUP(C26,Final_48_team_stats!B:B,Final_48_team_stats!G:G))))</f>
        <v>1</v>
      </c>
      <c r="O26">
        <v>2</v>
      </c>
    </row>
    <row r="27" spans="1:15" x14ac:dyDescent="0.45">
      <c r="A27" t="s">
        <v>367</v>
      </c>
      <c r="B27" t="s">
        <v>303</v>
      </c>
      <c r="C27" t="s">
        <v>315</v>
      </c>
      <c r="D27" s="8">
        <f>ABS(SUM(_xlfn.XLOOKUP(B27,Final_48_team_stats!B:B,Final_48_team_stats!M:M)-_xlfn.XLOOKUP(C27,Final_48_team_stats!B:B,Final_48_team_stats!M:M)))</f>
        <v>3.375</v>
      </c>
      <c r="E27" s="8">
        <f>ABS(SUM(_xlfn.XLOOKUP(B27,Final_48_team_stats!B:B,Final_48_team_stats!J:J)-_xlfn.XLOOKUP(Model_1_test18!C27,Final_48_team_stats!B:B,Final_48_team_stats!J:J)))</f>
        <v>22.6666666666667</v>
      </c>
      <c r="F27">
        <f>ABS(SUM(_xlfn.XLOOKUP(B27,Final_48_team_stats!B:B,Final_48_team_stats!K:K)-_xlfn.XLOOKUP(C27,Final_48_team_stats!B:B,Final_48_team_stats!K:K)))</f>
        <v>69.0833333333334</v>
      </c>
      <c r="G27">
        <v>2</v>
      </c>
      <c r="H27">
        <v>210000</v>
      </c>
      <c r="I27">
        <v>41</v>
      </c>
      <c r="J27">
        <v>1.83</v>
      </c>
      <c r="K27">
        <f>ABS(SUM(_xlfn.XLOOKUP(B27,Final_48_team_stats!B:B,Final_48_team_stats!I:I)-(_xlfn.XLOOKUP(C27,Final_48_team_stats!B:B,Final_48_team_stats!I:I))))</f>
        <v>6.5</v>
      </c>
      <c r="L27">
        <f>ABS(SUM(_xlfn.XLOOKUP(B27,Final_48_team_stats!B:B,Final_48_team_stats!H:H)-(_xlfn.XLOOKUP(C27,Final_48_team_stats!B:B,Final_48_team_stats!H:H))))</f>
        <v>34.373737373737399</v>
      </c>
      <c r="M27">
        <f>ABS(SUM(_xlfn.XLOOKUP(B27,Final_48_team_stats!B:B,Final_48_team_stats!Q:Q)-(_xlfn.XLOOKUP(C27,Final_48_team_stats!B:B,Final_48_team_stats!Q:Q))))</f>
        <v>3.7664502412374304E-2</v>
      </c>
      <c r="N27">
        <f>ABS(SUM(_xlfn.XLOOKUP(B27,Final_48_team_stats!B:B,Final_48_team_stats!G:G)-(_xlfn.XLOOKUP(C27,Final_48_team_stats!B:B,Final_48_team_stats!G:G))))</f>
        <v>3</v>
      </c>
      <c r="O27">
        <v>1</v>
      </c>
    </row>
    <row r="28" spans="1:15" x14ac:dyDescent="0.45">
      <c r="A28" t="s">
        <v>368</v>
      </c>
      <c r="B28" t="s">
        <v>304</v>
      </c>
      <c r="C28" t="s">
        <v>289</v>
      </c>
      <c r="D28" s="8">
        <f>ABS(SUM(_xlfn.XLOOKUP(B28,Final_48_team_stats!B:B,Final_48_team_stats!M:M)-_xlfn.XLOOKUP(C28,Final_48_team_stats!B:B,Final_48_team_stats!M:M)))</f>
        <v>3.8214285714285703</v>
      </c>
      <c r="E28" s="8">
        <f>ABS(SUM(_xlfn.XLOOKUP(B28,Final_48_team_stats!B:B,Final_48_team_stats!J:J)-_xlfn.XLOOKUP(Model_1_test18!C28,Final_48_team_stats!B:B,Final_48_team_stats!J:J)))</f>
        <v>12</v>
      </c>
      <c r="F28">
        <f>ABS(SUM(_xlfn.XLOOKUP(B28,Final_48_team_stats!B:B,Final_48_team_stats!K:K)-_xlfn.XLOOKUP(C28,Final_48_team_stats!B:B,Final_48_team_stats!K:K)))</f>
        <v>6.0285714285714036</v>
      </c>
      <c r="G28">
        <v>2</v>
      </c>
      <c r="H28">
        <v>720000</v>
      </c>
      <c r="I28">
        <v>19</v>
      </c>
      <c r="J28">
        <v>4.38</v>
      </c>
      <c r="K28">
        <f>ABS(SUM(_xlfn.XLOOKUP(B28,Final_48_team_stats!B:B,Final_48_team_stats!I:I)-(_xlfn.XLOOKUP(C28,Final_48_team_stats!B:B,Final_48_team_stats!I:I))))</f>
        <v>11.589285714285701</v>
      </c>
      <c r="L28">
        <f>ABS(SUM(_xlfn.XLOOKUP(B28,Final_48_team_stats!B:B,Final_48_team_stats!H:H)-(_xlfn.XLOOKUP(C28,Final_48_team_stats!B:B,Final_48_team_stats!H:H))))</f>
        <v>12.7777777777777</v>
      </c>
      <c r="M28">
        <f>ABS(SUM(_xlfn.XLOOKUP(B28,Final_48_team_stats!B:B,Final_48_team_stats!Q:Q)-(_xlfn.XLOOKUP(C28,Final_48_team_stats!B:B,Final_48_team_stats!Q:Q))))</f>
        <v>8.2362731148164781E-3</v>
      </c>
      <c r="N28">
        <f>ABS(SUM(_xlfn.XLOOKUP(B28,Final_48_team_stats!B:B,Final_48_team_stats!G:G)-(_xlfn.XLOOKUP(C28,Final_48_team_stats!B:B,Final_48_team_stats!G:G))))</f>
        <v>1.5</v>
      </c>
      <c r="O28">
        <v>0</v>
      </c>
    </row>
    <row r="29" spans="1:15" x14ac:dyDescent="0.45">
      <c r="A29" t="s">
        <v>369</v>
      </c>
      <c r="B29" t="s">
        <v>280</v>
      </c>
      <c r="C29" t="s">
        <v>281</v>
      </c>
      <c r="D29" s="8">
        <f>ABS(SUM(_xlfn.XLOOKUP(B29,Final_48_team_stats!B:B,Final_48_team_stats!M:M)-_xlfn.XLOOKUP(C29,Final_48_team_stats!B:B,Final_48_team_stats!M:M)))</f>
        <v>15.7916666666666</v>
      </c>
      <c r="E29" s="8">
        <f>ABS(SUM(_xlfn.XLOOKUP(B29,Final_48_team_stats!B:B,Final_48_team_stats!J:J)-_xlfn.XLOOKUP(Model_1_test18!C29,Final_48_team_stats!B:B,Final_48_team_stats!J:J)))</f>
        <v>11.6666666666666</v>
      </c>
      <c r="F29">
        <f>ABS(SUM(_xlfn.XLOOKUP(B29,Final_48_team_stats!B:B,Final_48_team_stats!K:K)-_xlfn.XLOOKUP(C29,Final_48_team_stats!B:B,Final_48_team_stats!K:K)))</f>
        <v>5.5681818181817988</v>
      </c>
      <c r="G29">
        <v>2</v>
      </c>
      <c r="H29">
        <v>340000</v>
      </c>
      <c r="I29">
        <v>10</v>
      </c>
      <c r="J29">
        <v>0.38</v>
      </c>
      <c r="K29">
        <f>ABS(SUM(_xlfn.XLOOKUP(B29,Final_48_team_stats!B:B,Final_48_team_stats!I:I)-(_xlfn.XLOOKUP(C29,Final_48_team_stats!B:B,Final_48_team_stats!I:I))))</f>
        <v>27.0416666666666</v>
      </c>
      <c r="L29">
        <f>ABS(SUM(_xlfn.XLOOKUP(B29,Final_48_team_stats!B:B,Final_48_team_stats!H:H)-(_xlfn.XLOOKUP(C29,Final_48_team_stats!B:B,Final_48_team_stats!H:H))))</f>
        <v>39.920634920634903</v>
      </c>
      <c r="M29">
        <f>ABS(SUM(_xlfn.XLOOKUP(B29,Final_48_team_stats!B:B,Final_48_team_stats!Q:Q)-(_xlfn.XLOOKUP(C29,Final_48_team_stats!B:B,Final_48_team_stats!Q:Q))))</f>
        <v>5.3796060035911572E-2</v>
      </c>
      <c r="N29">
        <f>ABS(SUM(_xlfn.XLOOKUP(B29,Final_48_team_stats!B:B,Final_48_team_stats!G:G)-(_xlfn.XLOOKUP(C29,Final_48_team_stats!B:B,Final_48_team_stats!G:G))))</f>
        <v>0</v>
      </c>
      <c r="O29">
        <v>1</v>
      </c>
    </row>
    <row r="30" spans="1:15" x14ac:dyDescent="0.45">
      <c r="A30" t="s">
        <v>370</v>
      </c>
      <c r="B30" t="s">
        <v>8</v>
      </c>
      <c r="C30" t="s">
        <v>286</v>
      </c>
      <c r="D30" s="8">
        <f>ABS(SUM(_xlfn.XLOOKUP(B30,Final_48_team_stats!B:B,Final_48_team_stats!M:M)-_xlfn.XLOOKUP(C30,Final_48_team_stats!B:B,Final_48_team_stats!M:M)))</f>
        <v>2.5714285714285996</v>
      </c>
      <c r="E30" s="8">
        <f>ABS(SUM(_xlfn.XLOOKUP(B30,Final_48_team_stats!B:B,Final_48_team_stats!J:J)-_xlfn.XLOOKUP(Model_1_test18!C30,Final_48_team_stats!B:B,Final_48_team_stats!J:J)))</f>
        <v>3</v>
      </c>
      <c r="F30">
        <f>ABS(SUM(_xlfn.XLOOKUP(B30,Final_48_team_stats!B:B,Final_48_team_stats!K:K)-_xlfn.XLOOKUP(C30,Final_48_team_stats!B:B,Final_48_team_stats!K:K)))</f>
        <v>6.3333333333333002</v>
      </c>
      <c r="G30">
        <v>2</v>
      </c>
      <c r="H30">
        <v>4595000</v>
      </c>
      <c r="I30">
        <v>11</v>
      </c>
      <c r="J30">
        <v>0.73000000000000009</v>
      </c>
      <c r="K30">
        <f>ABS(SUM(_xlfn.XLOOKUP(B30,Final_48_team_stats!B:B,Final_48_team_stats!I:I)-(_xlfn.XLOOKUP(C30,Final_48_team_stats!B:B,Final_48_team_stats!I:I))))</f>
        <v>16.892857142857203</v>
      </c>
      <c r="L30">
        <f>ABS(SUM(_xlfn.XLOOKUP(B30,Final_48_team_stats!B:B,Final_48_team_stats!H:H)-(_xlfn.XLOOKUP(C30,Final_48_team_stats!B:B,Final_48_team_stats!H:H))))</f>
        <v>5.4000000000000021</v>
      </c>
      <c r="M30">
        <f>ABS(SUM(_xlfn.XLOOKUP(B30,Final_48_team_stats!B:B,Final_48_team_stats!Q:Q)-(_xlfn.XLOOKUP(C30,Final_48_team_stats!B:B,Final_48_team_stats!Q:Q))))</f>
        <v>1.8616707051402948E-2</v>
      </c>
      <c r="N30">
        <f>ABS(SUM(_xlfn.XLOOKUP(B30,Final_48_team_stats!B:B,Final_48_team_stats!G:G)-(_xlfn.XLOOKUP(C30,Final_48_team_stats!B:B,Final_48_team_stats!G:G))))</f>
        <v>0</v>
      </c>
      <c r="O30">
        <v>2</v>
      </c>
    </row>
    <row r="31" spans="1:15" x14ac:dyDescent="0.45">
      <c r="A31" t="s">
        <v>371</v>
      </c>
      <c r="B31" t="s">
        <v>305</v>
      </c>
      <c r="C31" t="s">
        <v>313</v>
      </c>
      <c r="D31" s="8">
        <f>ABS(SUM(_xlfn.XLOOKUP(B31,Final_48_team_stats!B:B,Final_48_team_stats!M:M)-_xlfn.XLOOKUP(C31,Final_48_team_stats!B:B,Final_48_team_stats!M:M)))</f>
        <v>7.4857142857142893</v>
      </c>
      <c r="E31" s="8">
        <f>ABS(SUM(_xlfn.XLOOKUP(B31,Final_48_team_stats!B:B,Final_48_team_stats!J:J)-_xlfn.XLOOKUP(Model_1_test18!C31,Final_48_team_stats!B:B,Final_48_team_stats!J:J)))</f>
        <v>12</v>
      </c>
      <c r="F31">
        <f>ABS(SUM(_xlfn.XLOOKUP(B31,Final_48_team_stats!B:B,Final_48_team_stats!K:K)-_xlfn.XLOOKUP(C31,Final_48_team_stats!B:B,Final_48_team_stats!K:K)))</f>
        <v>26.5555555555556</v>
      </c>
      <c r="G31">
        <v>2</v>
      </c>
      <c r="H31">
        <v>275000</v>
      </c>
      <c r="I31">
        <v>35</v>
      </c>
      <c r="J31">
        <v>0.48</v>
      </c>
      <c r="K31">
        <f>ABS(SUM(_xlfn.XLOOKUP(B31,Final_48_team_stats!B:B,Final_48_team_stats!I:I)-(_xlfn.XLOOKUP(C31,Final_48_team_stats!B:B,Final_48_team_stats!I:I))))</f>
        <v>6.4571428571429017</v>
      </c>
      <c r="L31">
        <f>ABS(SUM(_xlfn.XLOOKUP(B31,Final_48_team_stats!B:B,Final_48_team_stats!H:H)-(_xlfn.XLOOKUP(C31,Final_48_team_stats!B:B,Final_48_team_stats!H:H))))</f>
        <v>19.466666666666697</v>
      </c>
      <c r="M31">
        <f>ABS(SUM(_xlfn.XLOOKUP(B31,Final_48_team_stats!B:B,Final_48_team_stats!Q:Q)-(_xlfn.XLOOKUP(C31,Final_48_team_stats!B:B,Final_48_team_stats!Q:Q))))</f>
        <v>3.9681721671373502E-2</v>
      </c>
      <c r="N31">
        <f>ABS(SUM(_xlfn.XLOOKUP(B31,Final_48_team_stats!B:B,Final_48_team_stats!G:G)-(_xlfn.XLOOKUP(C31,Final_48_team_stats!B:B,Final_48_team_stats!G:G))))</f>
        <v>3.5</v>
      </c>
      <c r="O31">
        <v>1</v>
      </c>
    </row>
    <row r="32" spans="1:15" x14ac:dyDescent="0.45">
      <c r="A32" t="s">
        <v>372</v>
      </c>
      <c r="B32" t="s">
        <v>284</v>
      </c>
      <c r="C32" t="s">
        <v>285</v>
      </c>
      <c r="D32" s="8">
        <f>ABS(SUM(_xlfn.XLOOKUP(B32,Final_48_team_stats!B:B,Final_48_team_stats!M:M)-_xlfn.XLOOKUP(C32,Final_48_team_stats!B:B,Final_48_team_stats!M:M)))</f>
        <v>1.2222222222222001</v>
      </c>
      <c r="E32" s="8">
        <f>ABS(SUM(_xlfn.XLOOKUP(B32,Final_48_team_stats!B:B,Final_48_team_stats!J:J)-_xlfn.XLOOKUP(Model_1_test18!C32,Final_48_team_stats!B:B,Final_48_team_stats!J:J)))</f>
        <v>5.3333333333333002</v>
      </c>
      <c r="F32">
        <f>ABS(SUM(_xlfn.XLOOKUP(B32,Final_48_team_stats!B:B,Final_48_team_stats!K:K)-_xlfn.XLOOKUP(C32,Final_48_team_stats!B:B,Final_48_team_stats!K:K)))</f>
        <v>24.6666666666666</v>
      </c>
      <c r="G32">
        <v>2</v>
      </c>
      <c r="H32">
        <v>9310000</v>
      </c>
      <c r="I32">
        <v>77</v>
      </c>
      <c r="J32">
        <v>1.52</v>
      </c>
      <c r="K32">
        <f>ABS(SUM(_xlfn.XLOOKUP(B32,Final_48_team_stats!B:B,Final_48_team_stats!I:I)-(_xlfn.XLOOKUP(C32,Final_48_team_stats!B:B,Final_48_team_stats!I:I))))</f>
        <v>5.7777777777777999</v>
      </c>
      <c r="L32">
        <f>ABS(SUM(_xlfn.XLOOKUP(B32,Final_48_team_stats!B:B,Final_48_team_stats!H:H)-(_xlfn.XLOOKUP(C32,Final_48_team_stats!B:B,Final_48_team_stats!H:H))))</f>
        <v>10.5416666666667</v>
      </c>
      <c r="M32">
        <f>ABS(SUM(_xlfn.XLOOKUP(B32,Final_48_team_stats!B:B,Final_48_team_stats!Q:Q)-(_xlfn.XLOOKUP(C32,Final_48_team_stats!B:B,Final_48_team_stats!Q:Q))))</f>
        <v>1.8356007166050847E-2</v>
      </c>
      <c r="N32">
        <f>ABS(SUM(_xlfn.XLOOKUP(B32,Final_48_team_stats!B:B,Final_48_team_stats!G:G)-(_xlfn.XLOOKUP(C32,Final_48_team_stats!B:B,Final_48_team_stats!G:G))))</f>
        <v>2.5</v>
      </c>
      <c r="O32">
        <v>3</v>
      </c>
    </row>
    <row r="33" spans="1:15" x14ac:dyDescent="0.45">
      <c r="A33" t="s">
        <v>373</v>
      </c>
      <c r="B33" t="s">
        <v>306</v>
      </c>
      <c r="C33" t="s">
        <v>320</v>
      </c>
      <c r="D33" s="8">
        <f>ABS(SUM(_xlfn.XLOOKUP(B33,Final_48_team_stats!B:B,Final_48_team_stats!M:M)-_xlfn.XLOOKUP(C33,Final_48_team_stats!B:B,Final_48_team_stats!M:M)))</f>
        <v>1.4444444444444398</v>
      </c>
      <c r="E33" s="8">
        <f>ABS(SUM(_xlfn.XLOOKUP(B33,Final_48_team_stats!B:B,Final_48_team_stats!J:J)-_xlfn.XLOOKUP(Model_1_test18!C33,Final_48_team_stats!B:B,Final_48_team_stats!J:J)))</f>
        <v>16.6666666666667</v>
      </c>
      <c r="F33">
        <f>ABS(SUM(_xlfn.XLOOKUP(B33,Final_48_team_stats!B:B,Final_48_team_stats!K:K)-_xlfn.XLOOKUP(C33,Final_48_team_stats!B:B,Final_48_team_stats!K:K)))</f>
        <v>33.7777777777778</v>
      </c>
      <c r="G33">
        <v>2</v>
      </c>
      <c r="H33">
        <v>300000</v>
      </c>
      <c r="I33">
        <v>18</v>
      </c>
      <c r="J33">
        <v>1.8499999999999999</v>
      </c>
      <c r="K33">
        <f>ABS(SUM(_xlfn.XLOOKUP(B33,Final_48_team_stats!B:B,Final_48_team_stats!I:I)-(_xlfn.XLOOKUP(C33,Final_48_team_stats!B:B,Final_48_team_stats!I:I))))</f>
        <v>0.11111111111110006</v>
      </c>
      <c r="L33">
        <f>ABS(SUM(_xlfn.XLOOKUP(B33,Final_48_team_stats!B:B,Final_48_team_stats!H:H)-(_xlfn.XLOOKUP(C33,Final_48_team_stats!B:B,Final_48_team_stats!H:H))))</f>
        <v>4.9166666666666003</v>
      </c>
      <c r="M33">
        <f>ABS(SUM(_xlfn.XLOOKUP(B33,Final_48_team_stats!B:B,Final_48_team_stats!Q:Q)-(_xlfn.XLOOKUP(C33,Final_48_team_stats!B:B,Final_48_team_stats!Q:Q))))</f>
        <v>2.318840579710145E-2</v>
      </c>
      <c r="N33">
        <f>ABS(SUM(_xlfn.XLOOKUP(B33,Final_48_team_stats!B:B,Final_48_team_stats!G:G)-(_xlfn.XLOOKUP(C33,Final_48_team_stats!B:B,Final_48_team_stats!G:G))))</f>
        <v>2</v>
      </c>
      <c r="O33">
        <v>1</v>
      </c>
    </row>
    <row r="34" spans="1:15" x14ac:dyDescent="0.45">
      <c r="A34" t="s">
        <v>374</v>
      </c>
      <c r="B34" t="s">
        <v>288</v>
      </c>
      <c r="C34" t="s">
        <v>291</v>
      </c>
      <c r="D34" s="8">
        <f>ABS(SUM(_xlfn.XLOOKUP(B34,Final_48_team_stats!B:B,Final_48_team_stats!M:M)-_xlfn.XLOOKUP(C34,Final_48_team_stats!B:B,Final_48_team_stats!M:M)))</f>
        <v>5.8857142857141991</v>
      </c>
      <c r="E34" s="8">
        <f>ABS(SUM(_xlfn.XLOOKUP(B34,Final_48_team_stats!B:B,Final_48_team_stats!J:J)-_xlfn.XLOOKUP(Model_1_test18!C34,Final_48_team_stats!B:B,Final_48_team_stats!J:J)))</f>
        <v>2</v>
      </c>
      <c r="F34">
        <f>ABS(SUM(_xlfn.XLOOKUP(B34,Final_48_team_stats!B:B,Final_48_team_stats!K:K)-_xlfn.XLOOKUP(C34,Final_48_team_stats!B:B,Final_48_team_stats!K:K)))</f>
        <v>6.9642857142858006</v>
      </c>
      <c r="G34">
        <v>2</v>
      </c>
      <c r="H34">
        <v>2420000</v>
      </c>
      <c r="I34">
        <v>31</v>
      </c>
      <c r="J34">
        <v>1.5999999999999999</v>
      </c>
      <c r="K34">
        <f>ABS(SUM(_xlfn.XLOOKUP(B34,Final_48_team_stats!B:B,Final_48_team_stats!I:I)-(_xlfn.XLOOKUP(C34,Final_48_team_stats!B:B,Final_48_team_stats!I:I))))</f>
        <v>15.257142857142796</v>
      </c>
      <c r="L34">
        <f>ABS(SUM(_xlfn.XLOOKUP(B34,Final_48_team_stats!B:B,Final_48_team_stats!H:H)-(_xlfn.XLOOKUP(C34,Final_48_team_stats!B:B,Final_48_team_stats!H:H))))</f>
        <v>19.227272727272801</v>
      </c>
      <c r="M34">
        <f>ABS(SUM(_xlfn.XLOOKUP(B34,Final_48_team_stats!B:B,Final_48_team_stats!Q:Q)-(_xlfn.XLOOKUP(C34,Final_48_team_stats!B:B,Final_48_team_stats!Q:Q))))</f>
        <v>5.2459500647855373E-2</v>
      </c>
      <c r="N34">
        <f>ABS(SUM(_xlfn.XLOOKUP(B34,Final_48_team_stats!B:B,Final_48_team_stats!G:G)-(_xlfn.XLOOKUP(C34,Final_48_team_stats!B:B,Final_48_team_stats!G:G))))</f>
        <v>0</v>
      </c>
      <c r="O34">
        <v>4</v>
      </c>
    </row>
    <row r="35" spans="1:15" x14ac:dyDescent="0.45">
      <c r="A35" t="s">
        <v>375</v>
      </c>
      <c r="B35" t="s">
        <v>287</v>
      </c>
      <c r="C35" t="s">
        <v>292</v>
      </c>
      <c r="D35" s="8">
        <f>ABS(SUM(_xlfn.XLOOKUP(B35,Final_48_team_stats!B:B,Final_48_team_stats!M:M)-_xlfn.XLOOKUP(C35,Final_48_team_stats!B:B,Final_48_team_stats!M:M)))</f>
        <v>3.7777777777777803</v>
      </c>
      <c r="E35" s="8">
        <f>ABS(SUM(_xlfn.XLOOKUP(B35,Final_48_team_stats!B:B,Final_48_team_stats!J:J)-_xlfn.XLOOKUP(Model_1_test18!C35,Final_48_team_stats!B:B,Final_48_team_stats!J:J)))</f>
        <v>33.6666666666666</v>
      </c>
      <c r="F35">
        <f>ABS(SUM(_xlfn.XLOOKUP(B35,Final_48_team_stats!B:B,Final_48_team_stats!K:K)-_xlfn.XLOOKUP(C35,Final_48_team_stats!B:B,Final_48_team_stats!K:K)))</f>
        <v>18.7121212121212</v>
      </c>
      <c r="G35">
        <v>2</v>
      </c>
      <c r="H35">
        <v>3980000</v>
      </c>
      <c r="I35">
        <v>24</v>
      </c>
      <c r="J35">
        <v>0.66999999999999993</v>
      </c>
      <c r="K35">
        <f>ABS(SUM(_xlfn.XLOOKUP(B35,Final_48_team_stats!B:B,Final_48_team_stats!I:I)-(_xlfn.XLOOKUP(C35,Final_48_team_stats!B:B,Final_48_team_stats!I:I))))</f>
        <v>2.4166666666666998</v>
      </c>
      <c r="L35">
        <f>ABS(SUM(_xlfn.XLOOKUP(B35,Final_48_team_stats!B:B,Final_48_team_stats!H:H)-(_xlfn.XLOOKUP(C35,Final_48_team_stats!B:B,Final_48_team_stats!H:H))))</f>
        <v>13.375</v>
      </c>
      <c r="M35">
        <f>ABS(SUM(_xlfn.XLOOKUP(B35,Final_48_team_stats!B:B,Final_48_team_stats!Q:Q)-(_xlfn.XLOOKUP(C35,Final_48_team_stats!B:B,Final_48_team_stats!Q:Q))))</f>
        <v>6.3421490834810745E-3</v>
      </c>
      <c r="N35">
        <f>ABS(SUM(_xlfn.XLOOKUP(B35,Final_48_team_stats!B:B,Final_48_team_stats!G:G)-(_xlfn.XLOOKUP(C35,Final_48_team_stats!B:B,Final_48_team_stats!G:G))))</f>
        <v>2.5</v>
      </c>
      <c r="O35">
        <v>1</v>
      </c>
    </row>
    <row r="36" spans="1:15" x14ac:dyDescent="0.45">
      <c r="A36" t="s">
        <v>376</v>
      </c>
      <c r="B36" t="s">
        <v>293</v>
      </c>
      <c r="C36" t="s">
        <v>352</v>
      </c>
      <c r="D36" s="8">
        <f>ABS(SUM(_xlfn.XLOOKUP(B36,Final_48_team_stats!B:B,Final_48_team_stats!M:M)-_xlfn.XLOOKUP(C36,Final_48_team_stats!B:B,Final_48_team_stats!M:M)))</f>
        <v>0.96428571428569931</v>
      </c>
      <c r="E36" s="8">
        <f>ABS(SUM(_xlfn.XLOOKUP(B36,Final_48_team_stats!B:B,Final_48_team_stats!J:J)-_xlfn.XLOOKUP(Model_1_test18!C36,Final_48_team_stats!B:B,Final_48_team_stats!J:J)))</f>
        <v>8.3333333333333002</v>
      </c>
      <c r="F36">
        <f>ABS(SUM(_xlfn.XLOOKUP(B36,Final_48_team_stats!B:B,Final_48_team_stats!K:K)-_xlfn.XLOOKUP(C36,Final_48_team_stats!B:B,Final_48_team_stats!K:K)))</f>
        <v>0.61904761904759908</v>
      </c>
      <c r="G36">
        <v>2</v>
      </c>
      <c r="H36">
        <v>960000</v>
      </c>
      <c r="I36">
        <v>59</v>
      </c>
      <c r="J36">
        <v>2.34</v>
      </c>
      <c r="K36">
        <f>ABS(SUM(_xlfn.XLOOKUP(B36,Final_48_team_stats!B:B,Final_48_team_stats!I:I)-(_xlfn.XLOOKUP(C36,Final_48_team_stats!B:B,Final_48_team_stats!I:I))))</f>
        <v>16.714285714285701</v>
      </c>
      <c r="L36">
        <f>ABS(SUM(_xlfn.XLOOKUP(B36,Final_48_team_stats!B:B,Final_48_team_stats!H:H)-(_xlfn.XLOOKUP(C36,Final_48_team_stats!B:B,Final_48_team_stats!H:H))))</f>
        <v>7.375</v>
      </c>
      <c r="M36">
        <f>ABS(SUM(_xlfn.XLOOKUP(B36,Final_48_team_stats!B:B,Final_48_team_stats!Q:Q)-(_xlfn.XLOOKUP(C36,Final_48_team_stats!B:B,Final_48_team_stats!Q:Q))))</f>
        <v>5.3909846811883946E-2</v>
      </c>
      <c r="N36">
        <f>ABS(SUM(_xlfn.XLOOKUP(B36,Final_48_team_stats!B:B,Final_48_team_stats!G:G)-(_xlfn.XLOOKUP(C36,Final_48_team_stats!B:B,Final_48_team_stats!G:G))))</f>
        <v>0</v>
      </c>
      <c r="O36">
        <v>4</v>
      </c>
    </row>
    <row r="37" spans="1:15" x14ac:dyDescent="0.45">
      <c r="A37" t="s">
        <v>377</v>
      </c>
      <c r="B37" t="s">
        <v>307</v>
      </c>
      <c r="C37" t="s">
        <v>321</v>
      </c>
      <c r="D37" s="8">
        <f>ABS(SUM(_xlfn.XLOOKUP(B37,Final_48_team_stats!B:B,Final_48_team_stats!M:M)-_xlfn.XLOOKUP(C37,Final_48_team_stats!B:B,Final_48_team_stats!M:M)))</f>
        <v>6.8666666666666005</v>
      </c>
      <c r="E37" s="8">
        <f>ABS(SUM(_xlfn.XLOOKUP(B37,Final_48_team_stats!B:B,Final_48_team_stats!J:J)-_xlfn.XLOOKUP(Model_1_test18!C37,Final_48_team_stats!B:B,Final_48_team_stats!J:J)))</f>
        <v>25</v>
      </c>
      <c r="F37">
        <f>ABS(SUM(_xlfn.XLOOKUP(B37,Final_48_team_stats!B:B,Final_48_team_stats!K:K)-_xlfn.XLOOKUP(C37,Final_48_team_stats!B:B,Final_48_team_stats!K:K)))</f>
        <v>2.4924242424242991</v>
      </c>
      <c r="G37">
        <v>2</v>
      </c>
      <c r="H37">
        <v>2890000</v>
      </c>
      <c r="I37">
        <v>52</v>
      </c>
      <c r="J37">
        <v>2.08</v>
      </c>
      <c r="K37">
        <f>ABS(SUM(_xlfn.XLOOKUP(B37,Final_48_team_stats!B:B,Final_48_team_stats!I:I)-(_xlfn.XLOOKUP(C37,Final_48_team_stats!B:B,Final_48_team_stats!I:I))))</f>
        <v>20.3333333333333</v>
      </c>
      <c r="L37">
        <f>ABS(SUM(_xlfn.XLOOKUP(B37,Final_48_team_stats!B:B,Final_48_team_stats!H:H)-(_xlfn.XLOOKUP(C37,Final_48_team_stats!B:B,Final_48_team_stats!H:H))))</f>
        <v>10.589285714285701</v>
      </c>
      <c r="M37">
        <f>ABS(SUM(_xlfn.XLOOKUP(B37,Final_48_team_stats!B:B,Final_48_team_stats!Q:Q)-(_xlfn.XLOOKUP(C37,Final_48_team_stats!B:B,Final_48_team_stats!Q:Q))))</f>
        <v>1.1815971421836574E-2</v>
      </c>
      <c r="N37">
        <f>ABS(SUM(_xlfn.XLOOKUP(B37,Final_48_team_stats!B:B,Final_48_team_stats!G:G)-(_xlfn.XLOOKUP(C37,Final_48_team_stats!B:B,Final_48_team_stats!G:G))))</f>
        <v>2</v>
      </c>
      <c r="O37">
        <v>0</v>
      </c>
    </row>
    <row r="38" spans="1:15" x14ac:dyDescent="0.45">
      <c r="A38" t="s">
        <v>378</v>
      </c>
      <c r="B38" t="s">
        <v>290</v>
      </c>
      <c r="C38" t="s">
        <v>294</v>
      </c>
      <c r="D38" s="8">
        <f>ABS(SUM(_xlfn.XLOOKUP(B38,Final_48_team_stats!B:B,Final_48_team_stats!M:M)-_xlfn.XLOOKUP(C38,Final_48_team_stats!B:B,Final_48_team_stats!M:M)))</f>
        <v>7.1666666666666003</v>
      </c>
      <c r="E38" s="8">
        <f>ABS(SUM(_xlfn.XLOOKUP(B38,Final_48_team_stats!B:B,Final_48_team_stats!J:J)-_xlfn.XLOOKUP(Model_1_test18!C38,Final_48_team_stats!B:B,Final_48_team_stats!J:J)))</f>
        <v>1</v>
      </c>
      <c r="F38">
        <f>ABS(SUM(_xlfn.XLOOKUP(B38,Final_48_team_stats!B:B,Final_48_team_stats!K:K)-_xlfn.XLOOKUP(C38,Final_48_team_stats!B:B,Final_48_team_stats!K:K)))</f>
        <v>5.75</v>
      </c>
      <c r="G38">
        <v>2</v>
      </c>
      <c r="H38">
        <v>1370000</v>
      </c>
      <c r="I38">
        <v>12</v>
      </c>
      <c r="J38">
        <v>2.1599999999999997</v>
      </c>
      <c r="K38">
        <f>ABS(SUM(_xlfn.XLOOKUP(B38,Final_48_team_stats!B:B,Final_48_team_stats!I:I)-(_xlfn.XLOOKUP(C38,Final_48_team_stats!B:B,Final_48_team_stats!I:I))))</f>
        <v>15.5</v>
      </c>
      <c r="L38">
        <f>ABS(SUM(_xlfn.XLOOKUP(B38,Final_48_team_stats!B:B,Final_48_team_stats!H:H)-(_xlfn.XLOOKUP(C38,Final_48_team_stats!B:B,Final_48_team_stats!H:H))))</f>
        <v>24.6666666666667</v>
      </c>
      <c r="M38">
        <f>ABS(SUM(_xlfn.XLOOKUP(B38,Final_48_team_stats!B:B,Final_48_team_stats!Q:Q)-(_xlfn.XLOOKUP(C38,Final_48_team_stats!B:B,Final_48_team_stats!Q:Q))))</f>
        <v>6.9139378293396114E-2</v>
      </c>
      <c r="N38">
        <f>ABS(SUM(_xlfn.XLOOKUP(B38,Final_48_team_stats!B:B,Final_48_team_stats!G:G)-(_xlfn.XLOOKUP(C38,Final_48_team_stats!B:B,Final_48_team_stats!G:G))))</f>
        <v>5.5</v>
      </c>
      <c r="O38">
        <v>0</v>
      </c>
    </row>
    <row r="39" spans="1:15" x14ac:dyDescent="0.45">
      <c r="A39" t="s">
        <v>379</v>
      </c>
      <c r="B39" t="s">
        <v>308</v>
      </c>
      <c r="C39" t="s">
        <v>319</v>
      </c>
      <c r="D39" s="8">
        <f>ABS(SUM(_xlfn.XLOOKUP(B39,Final_48_team_stats!B:B,Final_48_team_stats!M:M)-_xlfn.XLOOKUP(C39,Final_48_team_stats!B:B,Final_48_team_stats!M:M)))</f>
        <v>2.8000000000000003</v>
      </c>
      <c r="E39" s="8">
        <f>ABS(SUM(_xlfn.XLOOKUP(B39,Final_48_team_stats!B:B,Final_48_team_stats!J:J)-_xlfn.XLOOKUP(Model_1_test18!C39,Final_48_team_stats!B:B,Final_48_team_stats!J:J)))</f>
        <v>1</v>
      </c>
      <c r="F39">
        <f>ABS(SUM(_xlfn.XLOOKUP(B39,Final_48_team_stats!B:B,Final_48_team_stats!K:K)-_xlfn.XLOOKUP(C39,Final_48_team_stats!B:B,Final_48_team_stats!K:K)))</f>
        <v>11.1388888888888</v>
      </c>
      <c r="G39">
        <v>2</v>
      </c>
      <c r="H39">
        <v>515000</v>
      </c>
      <c r="I39">
        <v>26</v>
      </c>
      <c r="J39">
        <v>1.17</v>
      </c>
      <c r="K39">
        <f>ABS(SUM(_xlfn.XLOOKUP(B39,Final_48_team_stats!B:B,Final_48_team_stats!I:I)-(_xlfn.XLOOKUP(C39,Final_48_team_stats!B:B,Final_48_team_stats!I:I))))</f>
        <v>4.8000000000000007</v>
      </c>
      <c r="L39">
        <f>ABS(SUM(_xlfn.XLOOKUP(B39,Final_48_team_stats!B:B,Final_48_team_stats!H:H)-(_xlfn.XLOOKUP(C39,Final_48_team_stats!B:B,Final_48_team_stats!H:H))))</f>
        <v>15.2</v>
      </c>
      <c r="M39">
        <f>ABS(SUM(_xlfn.XLOOKUP(B39,Final_48_team_stats!B:B,Final_48_team_stats!Q:Q)-(_xlfn.XLOOKUP(C39,Final_48_team_stats!B:B,Final_48_team_stats!Q:Q))))</f>
        <v>6.4307793261841842E-2</v>
      </c>
      <c r="N39">
        <f>ABS(SUM(_xlfn.XLOOKUP(B39,Final_48_team_stats!B:B,Final_48_team_stats!G:G)-(_xlfn.XLOOKUP(C39,Final_48_team_stats!B:B,Final_48_team_stats!G:G))))</f>
        <v>0.5</v>
      </c>
      <c r="O39">
        <v>4</v>
      </c>
    </row>
    <row r="40" spans="1:15" x14ac:dyDescent="0.45">
      <c r="A40" t="s">
        <v>380</v>
      </c>
      <c r="B40" t="s">
        <v>309</v>
      </c>
      <c r="C40" t="s">
        <v>317</v>
      </c>
      <c r="D40" s="8">
        <f>ABS(SUM(_xlfn.XLOOKUP(B40,Final_48_team_stats!B:B,Final_48_team_stats!M:M)-_xlfn.XLOOKUP(C40,Final_48_team_stats!B:B,Final_48_team_stats!M:M)))</f>
        <v>6.08928571428571</v>
      </c>
      <c r="E40" s="8">
        <f>ABS(SUM(_xlfn.XLOOKUP(B40,Final_48_team_stats!B:B,Final_48_team_stats!J:J)-_xlfn.XLOOKUP(Model_1_test18!C40,Final_48_team_stats!B:B,Final_48_team_stats!J:J)))</f>
        <v>12.3333333333333</v>
      </c>
      <c r="F40">
        <f>ABS(SUM(_xlfn.XLOOKUP(B40,Final_48_team_stats!B:B,Final_48_team_stats!K:K)-_xlfn.XLOOKUP(C40,Final_48_team_stats!B:B,Final_48_team_stats!K:K)))</f>
        <v>3.875</v>
      </c>
      <c r="G40">
        <v>2</v>
      </c>
      <c r="H40">
        <v>1904000</v>
      </c>
      <c r="I40">
        <v>59</v>
      </c>
      <c r="J40">
        <v>1.44</v>
      </c>
      <c r="K40">
        <f>ABS(SUM(_xlfn.XLOOKUP(B40,Final_48_team_stats!B:B,Final_48_team_stats!I:I)-(_xlfn.XLOOKUP(C40,Final_48_team_stats!B:B,Final_48_team_stats!I:I))))</f>
        <v>13.160714285714199</v>
      </c>
      <c r="L40">
        <f>ABS(SUM(_xlfn.XLOOKUP(B40,Final_48_team_stats!B:B,Final_48_team_stats!H:H)-(_xlfn.XLOOKUP(C40,Final_48_team_stats!B:B,Final_48_team_stats!H:H))))</f>
        <v>15.25</v>
      </c>
      <c r="M40">
        <f>ABS(SUM(_xlfn.XLOOKUP(B40,Final_48_team_stats!B:B,Final_48_team_stats!Q:Q)-(_xlfn.XLOOKUP(C40,Final_48_team_stats!B:B,Final_48_team_stats!Q:Q))))</f>
        <v>5.0936244695452965E-3</v>
      </c>
      <c r="N40">
        <f>ABS(SUM(_xlfn.XLOOKUP(B40,Final_48_team_stats!B:B,Final_48_team_stats!G:G)-(_xlfn.XLOOKUP(C40,Final_48_team_stats!B:B,Final_48_team_stats!G:G))))</f>
        <v>1.5</v>
      </c>
      <c r="O40">
        <v>0</v>
      </c>
    </row>
    <row r="41" spans="1:15" x14ac:dyDescent="0.45">
      <c r="A41" t="s">
        <v>381</v>
      </c>
      <c r="B41" t="s">
        <v>310</v>
      </c>
      <c r="C41" t="s">
        <v>322</v>
      </c>
      <c r="D41" s="8">
        <f>ABS(SUM(_xlfn.XLOOKUP(B41,Final_48_team_stats!B:B,Final_48_team_stats!M:M)-_xlfn.XLOOKUP(C41,Final_48_team_stats!B:B,Final_48_team_stats!M:M)))</f>
        <v>1.9714285714285005</v>
      </c>
      <c r="E41" s="8">
        <f>ABS(SUM(_xlfn.XLOOKUP(B41,Final_48_team_stats!B:B,Final_48_team_stats!J:J)-_xlfn.XLOOKUP(Model_1_test18!C41,Final_48_team_stats!B:B,Final_48_team_stats!J:J)))</f>
        <v>8.5833333333333997</v>
      </c>
      <c r="F41">
        <f>ABS(SUM(_xlfn.XLOOKUP(B41,Final_48_team_stats!B:B,Final_48_team_stats!K:K)-_xlfn.XLOOKUP(C41,Final_48_team_stats!B:B,Final_48_team_stats!K:K)))</f>
        <v>2.7936507936508015</v>
      </c>
      <c r="G41">
        <v>2</v>
      </c>
      <c r="H41">
        <v>26000</v>
      </c>
      <c r="I41">
        <v>56</v>
      </c>
      <c r="J41">
        <v>0.63000000000000012</v>
      </c>
      <c r="K41">
        <f>ABS(SUM(_xlfn.XLOOKUP(B41,Final_48_team_stats!B:B,Final_48_team_stats!I:I)-(_xlfn.XLOOKUP(C41,Final_48_team_stats!B:B,Final_48_team_stats!I:I))))</f>
        <v>5.5142857142856982</v>
      </c>
      <c r="L41">
        <f>ABS(SUM(_xlfn.XLOOKUP(B41,Final_48_team_stats!B:B,Final_48_team_stats!H:H)-(_xlfn.XLOOKUP(C41,Final_48_team_stats!B:B,Final_48_team_stats!H:H))))</f>
        <v>8.7361111111111001</v>
      </c>
      <c r="M41">
        <f>ABS(SUM(_xlfn.XLOOKUP(B41,Final_48_team_stats!B:B,Final_48_team_stats!Q:Q)-(_xlfn.XLOOKUP(C41,Final_48_team_stats!B:B,Final_48_team_stats!Q:Q))))</f>
        <v>2.4986527885431653E-2</v>
      </c>
      <c r="N41">
        <f>ABS(SUM(_xlfn.XLOOKUP(B41,Final_48_team_stats!B:B,Final_48_team_stats!G:G)-(_xlfn.XLOOKUP(C41,Final_48_team_stats!B:B,Final_48_team_stats!G:G))))</f>
        <v>1.5</v>
      </c>
      <c r="O41">
        <v>2</v>
      </c>
    </row>
    <row r="42" spans="1:15" x14ac:dyDescent="0.45">
      <c r="A42" t="s">
        <v>382</v>
      </c>
      <c r="B42" t="s">
        <v>297</v>
      </c>
      <c r="C42" t="s">
        <v>298</v>
      </c>
      <c r="D42" s="8">
        <f>ABS(SUM(_xlfn.XLOOKUP(B42,Final_48_team_stats!B:B,Final_48_team_stats!M:M)-_xlfn.XLOOKUP(C42,Final_48_team_stats!B:B,Final_48_team_stats!M:M)))</f>
        <v>5.3928571428570997</v>
      </c>
      <c r="E42" s="8">
        <f>ABS(SUM(_xlfn.XLOOKUP(B42,Final_48_team_stats!B:B,Final_48_team_stats!J:J)-_xlfn.XLOOKUP(Model_1_test18!C42,Final_48_team_stats!B:B,Final_48_team_stats!J:J)))</f>
        <v>7.3333333333333002</v>
      </c>
      <c r="F42">
        <f>ABS(SUM(_xlfn.XLOOKUP(B42,Final_48_team_stats!B:B,Final_48_team_stats!K:K)-_xlfn.XLOOKUP(C42,Final_48_team_stats!B:B,Final_48_team_stats!K:K)))</f>
        <v>11.204545454545503</v>
      </c>
      <c r="G42">
        <v>2</v>
      </c>
      <c r="H42">
        <v>1500000</v>
      </c>
      <c r="I42">
        <v>21</v>
      </c>
      <c r="J42">
        <v>1.8299999999999998</v>
      </c>
      <c r="K42">
        <f>ABS(SUM(_xlfn.XLOOKUP(B42,Final_48_team_stats!B:B,Final_48_team_stats!I:I)-(_xlfn.XLOOKUP(C42,Final_48_team_stats!B:B,Final_48_team_stats!I:I))))</f>
        <v>15.142857142857203</v>
      </c>
      <c r="L42">
        <f>ABS(SUM(_xlfn.XLOOKUP(B42,Final_48_team_stats!B:B,Final_48_team_stats!H:H)-(_xlfn.XLOOKUP(C42,Final_48_team_stats!B:B,Final_48_team_stats!H:H))))</f>
        <v>11.875</v>
      </c>
      <c r="M42">
        <f>ABS(SUM(_xlfn.XLOOKUP(B42,Final_48_team_stats!B:B,Final_48_team_stats!Q:Q)-(_xlfn.XLOOKUP(C42,Final_48_team_stats!B:B,Final_48_team_stats!Q:Q))))</f>
        <v>3.4062637530425099E-2</v>
      </c>
      <c r="N42">
        <f>ABS(SUM(_xlfn.XLOOKUP(B42,Final_48_team_stats!B:B,Final_48_team_stats!G:G)-(_xlfn.XLOOKUP(C42,Final_48_team_stats!B:B,Final_48_team_stats!G:G))))</f>
        <v>0</v>
      </c>
      <c r="O42">
        <v>2</v>
      </c>
    </row>
    <row r="43" spans="1:15" x14ac:dyDescent="0.45">
      <c r="A43" t="s">
        <v>383</v>
      </c>
      <c r="B43" t="s">
        <v>295</v>
      </c>
      <c r="C43" t="s">
        <v>296</v>
      </c>
      <c r="D43" s="8">
        <f>ABS(SUM(_xlfn.XLOOKUP(B43,Final_48_team_stats!B:B,Final_48_team_stats!M:M)-_xlfn.XLOOKUP(C43,Final_48_team_stats!B:B,Final_48_team_stats!M:M)))</f>
        <v>1.7142857142856904</v>
      </c>
      <c r="E43" s="8">
        <f>ABS(SUM(_xlfn.XLOOKUP(B43,Final_48_team_stats!B:B,Final_48_team_stats!J:J)-_xlfn.XLOOKUP(Model_1_test18!C43,Final_48_team_stats!B:B,Final_48_team_stats!J:J)))</f>
        <v>31.6666666666667</v>
      </c>
      <c r="F43">
        <f>ABS(SUM(_xlfn.XLOOKUP(B43,Final_48_team_stats!B:B,Final_48_team_stats!K:K)-_xlfn.XLOOKUP(C43,Final_48_team_stats!B:B,Final_48_team_stats!K:K)))</f>
        <v>2</v>
      </c>
      <c r="G43">
        <v>2</v>
      </c>
      <c r="H43">
        <v>3195000</v>
      </c>
      <c r="I43">
        <v>56</v>
      </c>
      <c r="J43">
        <v>2.04</v>
      </c>
      <c r="K43">
        <f>ABS(SUM(_xlfn.XLOOKUP(B43,Final_48_team_stats!B:B,Final_48_team_stats!I:I)-(_xlfn.XLOOKUP(C43,Final_48_team_stats!B:B,Final_48_team_stats!I:I))))</f>
        <v>0.85714285714289673</v>
      </c>
      <c r="L43">
        <f>ABS(SUM(_xlfn.XLOOKUP(B43,Final_48_team_stats!B:B,Final_48_team_stats!H:H)-(_xlfn.XLOOKUP(C43,Final_48_team_stats!B:B,Final_48_team_stats!H:H))))</f>
        <v>7</v>
      </c>
      <c r="M43">
        <f>ABS(SUM(_xlfn.XLOOKUP(B43,Final_48_team_stats!B:B,Final_48_team_stats!Q:Q)-(_xlfn.XLOOKUP(C43,Final_48_team_stats!B:B,Final_48_team_stats!Q:Q))))</f>
        <v>1.6915105235656494E-2</v>
      </c>
      <c r="N43">
        <f>ABS(SUM(_xlfn.XLOOKUP(B43,Final_48_team_stats!B:B,Final_48_team_stats!G:G)-(_xlfn.XLOOKUP(C43,Final_48_team_stats!B:B,Final_48_team_stats!G:G))))</f>
        <v>2</v>
      </c>
      <c r="O43">
        <v>3</v>
      </c>
    </row>
    <row r="44" spans="1:15" x14ac:dyDescent="0.45">
      <c r="A44" t="s">
        <v>384</v>
      </c>
      <c r="B44" t="s">
        <v>311</v>
      </c>
      <c r="C44" t="s">
        <v>318</v>
      </c>
      <c r="D44" s="8">
        <f>ABS(SUM(_xlfn.XLOOKUP(B44,Final_48_team_stats!B:B,Final_48_team_stats!M:M)-_xlfn.XLOOKUP(C44,Final_48_team_stats!B:B,Final_48_team_stats!M:M)))</f>
        <v>7.3249999999999993</v>
      </c>
      <c r="E44" s="8">
        <f>ABS(SUM(_xlfn.XLOOKUP(B44,Final_48_team_stats!B:B,Final_48_team_stats!J:J)-_xlfn.XLOOKUP(Model_1_test18!C44,Final_48_team_stats!B:B,Final_48_team_stats!J:J)))</f>
        <v>4.3333333333333997</v>
      </c>
      <c r="F44">
        <f>ABS(SUM(_xlfn.XLOOKUP(B44,Final_48_team_stats!B:B,Final_48_team_stats!K:K)-_xlfn.XLOOKUP(C44,Final_48_team_stats!B:B,Final_48_team_stats!K:K)))</f>
        <v>12.228571428571399</v>
      </c>
      <c r="G44">
        <v>2</v>
      </c>
      <c r="H44">
        <v>345000</v>
      </c>
      <c r="I44">
        <v>17</v>
      </c>
      <c r="J44">
        <v>0.4800000000000002</v>
      </c>
      <c r="K44">
        <f>ABS(SUM(_xlfn.XLOOKUP(B44,Final_48_team_stats!B:B,Final_48_team_stats!I:I)-(_xlfn.XLOOKUP(C44,Final_48_team_stats!B:B,Final_48_team_stats!I:I))))</f>
        <v>0.39999999999999858</v>
      </c>
      <c r="L44">
        <f>ABS(SUM(_xlfn.XLOOKUP(B44,Final_48_team_stats!B:B,Final_48_team_stats!H:H)-(_xlfn.XLOOKUP(C44,Final_48_team_stats!B:B,Final_48_team_stats!H:H))))</f>
        <v>13.125</v>
      </c>
      <c r="M44">
        <f>ABS(SUM(_xlfn.XLOOKUP(B44,Final_48_team_stats!B:B,Final_48_team_stats!Q:Q)-(_xlfn.XLOOKUP(C44,Final_48_team_stats!B:B,Final_48_team_stats!Q:Q))))</f>
        <v>2.1229657180259071E-2</v>
      </c>
      <c r="N44">
        <f>ABS(SUM(_xlfn.XLOOKUP(B44,Final_48_team_stats!B:B,Final_48_team_stats!G:G)-(_xlfn.XLOOKUP(C44,Final_48_team_stats!B:B,Final_48_team_stats!G:G))))</f>
        <v>0.5</v>
      </c>
      <c r="O44">
        <v>1</v>
      </c>
    </row>
    <row r="45" spans="1:15" x14ac:dyDescent="0.45">
      <c r="A45" t="s">
        <v>385</v>
      </c>
      <c r="B45" t="s">
        <v>312</v>
      </c>
      <c r="C45" t="s">
        <v>325</v>
      </c>
      <c r="D45" s="8">
        <f>ABS(SUM(_xlfn.XLOOKUP(B45,Final_48_team_stats!B:B,Final_48_team_stats!M:M)-_xlfn.XLOOKUP(C45,Final_48_team_stats!B:B,Final_48_team_stats!M:M)))</f>
        <v>0.33333333333330017</v>
      </c>
      <c r="E45" s="8">
        <f>ABS(SUM(_xlfn.XLOOKUP(B45,Final_48_team_stats!B:B,Final_48_team_stats!J:J)-_xlfn.XLOOKUP(Model_1_test18!C45,Final_48_team_stats!B:B,Final_48_team_stats!J:J)))</f>
        <v>25.99999999999994</v>
      </c>
      <c r="F45">
        <f>ABS(SUM(_xlfn.XLOOKUP(B45,Final_48_team_stats!B:B,Final_48_team_stats!K:K)-_xlfn.XLOOKUP(C45,Final_48_team_stats!B:B,Final_48_team_stats!K:K)))</f>
        <v>6.6607142857142989</v>
      </c>
      <c r="G45">
        <v>2</v>
      </c>
      <c r="H45">
        <v>1080000</v>
      </c>
      <c r="I45">
        <v>35</v>
      </c>
      <c r="J45">
        <v>1.2599999999999998</v>
      </c>
      <c r="K45">
        <f>ABS(SUM(_xlfn.XLOOKUP(B45,Final_48_team_stats!B:B,Final_48_team_stats!I:I)-(_xlfn.XLOOKUP(C45,Final_48_team_stats!B:B,Final_48_team_stats!I:I))))</f>
        <v>19.1904761904762</v>
      </c>
      <c r="L45">
        <f>ABS(SUM(_xlfn.XLOOKUP(B45,Final_48_team_stats!B:B,Final_48_team_stats!H:H)-(_xlfn.XLOOKUP(C45,Final_48_team_stats!B:B,Final_48_team_stats!H:H))))</f>
        <v>4.2222222222222001</v>
      </c>
      <c r="M45">
        <f>ABS(SUM(_xlfn.XLOOKUP(B45,Final_48_team_stats!B:B,Final_48_team_stats!Q:Q)-(_xlfn.XLOOKUP(C45,Final_48_team_stats!B:B,Final_48_team_stats!Q:Q))))</f>
        <v>7.026483227611624E-2</v>
      </c>
      <c r="N45">
        <f>ABS(SUM(_xlfn.XLOOKUP(B45,Final_48_team_stats!B:B,Final_48_team_stats!G:G)-(_xlfn.XLOOKUP(C45,Final_48_team_stats!B:B,Final_48_team_stats!G:G))))</f>
        <v>2.5</v>
      </c>
      <c r="O45">
        <v>1</v>
      </c>
    </row>
    <row r="46" spans="1:15" x14ac:dyDescent="0.45">
      <c r="A46" t="s">
        <v>386</v>
      </c>
      <c r="B46" t="s">
        <v>299</v>
      </c>
      <c r="C46" t="s">
        <v>302</v>
      </c>
      <c r="D46" s="8">
        <f>ABS(SUM(_xlfn.XLOOKUP(B46,Final_48_team_stats!B:B,Final_48_team_stats!M:M)-_xlfn.XLOOKUP(C46,Final_48_team_stats!B:B,Final_48_team_stats!M:M)))</f>
        <v>0.16666666666660035</v>
      </c>
      <c r="E46" s="8">
        <f>ABS(SUM(_xlfn.XLOOKUP(B46,Final_48_team_stats!B:B,Final_48_team_stats!J:J)-_xlfn.XLOOKUP(Model_1_test18!C46,Final_48_team_stats!B:B,Final_48_team_stats!J:J)))</f>
        <v>0.33333333333339965</v>
      </c>
      <c r="F46">
        <f>ABS(SUM(_xlfn.XLOOKUP(B46,Final_48_team_stats!B:B,Final_48_team_stats!K:K)-_xlfn.XLOOKUP(C46,Final_48_team_stats!B:B,Final_48_team_stats!K:K)))</f>
        <v>22.299999999999997</v>
      </c>
      <c r="G46">
        <v>2</v>
      </c>
      <c r="H46">
        <v>0</v>
      </c>
      <c r="I46">
        <v>45</v>
      </c>
      <c r="J46">
        <v>2.37</v>
      </c>
      <c r="K46">
        <f>ABS(SUM(_xlfn.XLOOKUP(B46,Final_48_team_stats!B:B,Final_48_team_stats!I:I)-(_xlfn.XLOOKUP(C46,Final_48_team_stats!B:B,Final_48_team_stats!I:I))))</f>
        <v>6.7083333333333002</v>
      </c>
      <c r="L46">
        <f>ABS(SUM(_xlfn.XLOOKUP(B46,Final_48_team_stats!B:B,Final_48_team_stats!H:H)-(_xlfn.XLOOKUP(C46,Final_48_team_stats!B:B,Final_48_team_stats!H:H))))</f>
        <v>10.9444444444444</v>
      </c>
      <c r="M46">
        <f>ABS(SUM(_xlfn.XLOOKUP(B46,Final_48_team_stats!B:B,Final_48_team_stats!Q:Q)-(_xlfn.XLOOKUP(C46,Final_48_team_stats!B:B,Final_48_team_stats!Q:Q))))</f>
        <v>8.4187133052178953E-2</v>
      </c>
      <c r="N46">
        <f>ABS(SUM(_xlfn.XLOOKUP(B46,Final_48_team_stats!B:B,Final_48_team_stats!G:G)-(_xlfn.XLOOKUP(C46,Final_48_team_stats!B:B,Final_48_team_stats!G:G))))</f>
        <v>1.5</v>
      </c>
      <c r="O46">
        <v>5</v>
      </c>
    </row>
    <row r="47" spans="1:15" x14ac:dyDescent="0.45">
      <c r="A47" t="s">
        <v>387</v>
      </c>
      <c r="B47" t="s">
        <v>300</v>
      </c>
      <c r="C47" t="s">
        <v>303</v>
      </c>
      <c r="D47" s="8">
        <f>ABS(SUM(_xlfn.XLOOKUP(B47,Final_48_team_stats!B:B,Final_48_team_stats!M:M)-_xlfn.XLOOKUP(C47,Final_48_team_stats!B:B,Final_48_team_stats!M:M)))</f>
        <v>11.946428571428498</v>
      </c>
      <c r="E47" s="8">
        <f>ABS(SUM(_xlfn.XLOOKUP(B47,Final_48_team_stats!B:B,Final_48_team_stats!J:J)-_xlfn.XLOOKUP(Model_1_test18!C47,Final_48_team_stats!B:B,Final_48_team_stats!J:J)))</f>
        <v>16.6666666666667</v>
      </c>
      <c r="F47">
        <f>ABS(SUM(_xlfn.XLOOKUP(B47,Final_48_team_stats!B:B,Final_48_team_stats!K:K)-_xlfn.XLOOKUP(C47,Final_48_team_stats!B:B,Final_48_team_stats!K:K)))</f>
        <v>16.3333333333334</v>
      </c>
      <c r="G47">
        <v>2</v>
      </c>
      <c r="H47">
        <v>4865000</v>
      </c>
      <c r="I47">
        <v>70</v>
      </c>
      <c r="J47">
        <v>1.1900000000000002</v>
      </c>
      <c r="K47">
        <f>ABS(SUM(_xlfn.XLOOKUP(B47,Final_48_team_stats!B:B,Final_48_team_stats!I:I)-(_xlfn.XLOOKUP(C47,Final_48_team_stats!B:B,Final_48_team_stats!I:I))))</f>
        <v>11.892857142857103</v>
      </c>
      <c r="L47">
        <f>ABS(SUM(_xlfn.XLOOKUP(B47,Final_48_team_stats!B:B,Final_48_team_stats!H:H)-(_xlfn.XLOOKUP(C47,Final_48_team_stats!B:B,Final_48_team_stats!H:H))))</f>
        <v>4.1111111111111001</v>
      </c>
      <c r="M47">
        <f>ABS(SUM(_xlfn.XLOOKUP(B47,Final_48_team_stats!B:B,Final_48_team_stats!Q:Q)-(_xlfn.XLOOKUP(C47,Final_48_team_stats!B:B,Final_48_team_stats!Q:Q))))</f>
        <v>5.8587136385997871E-2</v>
      </c>
      <c r="N47">
        <f>ABS(SUM(_xlfn.XLOOKUP(B47,Final_48_team_stats!B:B,Final_48_team_stats!G:G)-(_xlfn.XLOOKUP(C47,Final_48_team_stats!B:B,Final_48_team_stats!G:G))))</f>
        <v>0.5</v>
      </c>
      <c r="O47">
        <v>0</v>
      </c>
    </row>
    <row r="48" spans="1:15" x14ac:dyDescent="0.45">
      <c r="A48" t="s">
        <v>388</v>
      </c>
      <c r="B48" t="s">
        <v>313</v>
      </c>
      <c r="C48" t="s">
        <v>285</v>
      </c>
      <c r="D48" s="8">
        <f>ABS(SUM(_xlfn.XLOOKUP(B48,Final_48_team_stats!B:B,Final_48_team_stats!M:M)-_xlfn.XLOOKUP(C48,Final_48_team_stats!B:B,Final_48_team_stats!M:M)))</f>
        <v>0.86666666666669911</v>
      </c>
      <c r="E48" s="8">
        <f>ABS(SUM(_xlfn.XLOOKUP(B48,Final_48_team_stats!B:B,Final_48_team_stats!J:J)-_xlfn.XLOOKUP(Model_1_test18!C48,Final_48_team_stats!B:B,Final_48_team_stats!J:J)))</f>
        <v>13.3333333333333</v>
      </c>
      <c r="F48">
        <f>ABS(SUM(_xlfn.XLOOKUP(B48,Final_48_team_stats!B:B,Final_48_team_stats!K:K)-_xlfn.XLOOKUP(C48,Final_48_team_stats!B:B,Final_48_team_stats!K:K)))</f>
        <v>10.7777777777777</v>
      </c>
      <c r="G48">
        <v>2</v>
      </c>
      <c r="H48">
        <v>585000</v>
      </c>
      <c r="I48">
        <v>75</v>
      </c>
      <c r="J48">
        <v>1.0999999999999999</v>
      </c>
      <c r="K48">
        <f>ABS(SUM(_xlfn.XLOOKUP(B48,Final_48_team_stats!B:B,Final_48_team_stats!I:I)-(_xlfn.XLOOKUP(C48,Final_48_team_stats!B:B,Final_48_team_stats!I:I))))</f>
        <v>4.444444444450113E-2</v>
      </c>
      <c r="L48">
        <f>ABS(SUM(_xlfn.XLOOKUP(B48,Final_48_team_stats!B:B,Final_48_team_stats!H:H)-(_xlfn.XLOOKUP(C48,Final_48_team_stats!B:B,Final_48_team_stats!H:H))))</f>
        <v>1</v>
      </c>
      <c r="M48">
        <f>ABS(SUM(_xlfn.XLOOKUP(B48,Final_48_team_stats!B:B,Final_48_team_stats!Q:Q)-(_xlfn.XLOOKUP(C48,Final_48_team_stats!B:B,Final_48_team_stats!Q:Q))))</f>
        <v>4.3893725663066652E-2</v>
      </c>
      <c r="N48">
        <f>ABS(SUM(_xlfn.XLOOKUP(B48,Final_48_team_stats!B:B,Final_48_team_stats!G:G)-(_xlfn.XLOOKUP(C48,Final_48_team_stats!B:B,Final_48_team_stats!G:G))))</f>
        <v>0.5</v>
      </c>
      <c r="O48">
        <v>2</v>
      </c>
    </row>
    <row r="49" spans="1:15" x14ac:dyDescent="0.45">
      <c r="A49" t="s">
        <v>389</v>
      </c>
      <c r="B49" t="s">
        <v>301</v>
      </c>
      <c r="C49" t="s">
        <v>282</v>
      </c>
      <c r="D49" s="8">
        <f>ABS(SUM(_xlfn.XLOOKUP(B49,Final_48_team_stats!B:B,Final_48_team_stats!M:M)-_xlfn.XLOOKUP(C49,Final_48_team_stats!B:B,Final_48_team_stats!M:M)))</f>
        <v>2.8571428571427795</v>
      </c>
      <c r="E49" s="8">
        <f>ABS(SUM(_xlfn.XLOOKUP(B49,Final_48_team_stats!B:B,Final_48_team_stats!J:J)-_xlfn.XLOOKUP(Model_1_test18!C49,Final_48_team_stats!B:B,Final_48_team_stats!J:J)))</f>
        <v>5.6666666666666998</v>
      </c>
      <c r="F49">
        <f>ABS(SUM(_xlfn.XLOOKUP(B49,Final_48_team_stats!B:B,Final_48_team_stats!K:K)-_xlfn.XLOOKUP(C49,Final_48_team_stats!B:B,Final_48_team_stats!K:K)))</f>
        <v>12.589285714285801</v>
      </c>
      <c r="G49">
        <v>2</v>
      </c>
      <c r="H49">
        <v>900000</v>
      </c>
      <c r="I49">
        <v>11</v>
      </c>
      <c r="J49">
        <v>0.61</v>
      </c>
      <c r="K49">
        <f>ABS(SUM(_xlfn.XLOOKUP(B49,Final_48_team_stats!B:B,Final_48_team_stats!I:I)-(_xlfn.XLOOKUP(C49,Final_48_team_stats!B:B,Final_48_team_stats!I:I))))</f>
        <v>4.1428571428572027</v>
      </c>
      <c r="L49">
        <f>ABS(SUM(_xlfn.XLOOKUP(B49,Final_48_team_stats!B:B,Final_48_team_stats!H:H)-(_xlfn.XLOOKUP(C49,Final_48_team_stats!B:B,Final_48_team_stats!H:H))))</f>
        <v>14.5</v>
      </c>
      <c r="M49">
        <f>ABS(SUM(_xlfn.XLOOKUP(B49,Final_48_team_stats!B:B,Final_48_team_stats!Q:Q)-(_xlfn.XLOOKUP(C49,Final_48_team_stats!B:B,Final_48_team_stats!Q:Q))))</f>
        <v>3.0018650421395704E-2</v>
      </c>
      <c r="N49">
        <f>ABS(SUM(_xlfn.XLOOKUP(B49,Final_48_team_stats!B:B,Final_48_team_stats!G:G)-(_xlfn.XLOOKUP(C49,Final_48_team_stats!B:B,Final_48_team_stats!G:G))))</f>
        <v>2.5</v>
      </c>
      <c r="O49">
        <v>1</v>
      </c>
    </row>
    <row r="50" spans="1:15" x14ac:dyDescent="0.45">
      <c r="A50" t="s">
        <v>390</v>
      </c>
      <c r="B50" t="s">
        <v>305</v>
      </c>
      <c r="C50" t="s">
        <v>284</v>
      </c>
      <c r="D50" s="8">
        <f>ABS(SUM(_xlfn.XLOOKUP(B50,Final_48_team_stats!B:B,Final_48_team_stats!M:M)-_xlfn.XLOOKUP(C50,Final_48_team_stats!B:B,Final_48_team_stats!M:M)))</f>
        <v>7.8412698412697903</v>
      </c>
      <c r="E50" s="8">
        <f>ABS(SUM(_xlfn.XLOOKUP(B50,Final_48_team_stats!B:B,Final_48_team_stats!J:J)-_xlfn.XLOOKUP(Model_1_test18!C50,Final_48_team_stats!B:B,Final_48_team_stats!J:J)))</f>
        <v>4</v>
      </c>
      <c r="F50">
        <f>ABS(SUM(_xlfn.XLOOKUP(B50,Final_48_team_stats!B:B,Final_48_team_stats!K:K)-_xlfn.XLOOKUP(C50,Final_48_team_stats!B:B,Final_48_team_stats!K:K)))</f>
        <v>12.6666666666667</v>
      </c>
      <c r="G50">
        <v>3</v>
      </c>
      <c r="H50">
        <v>9000000</v>
      </c>
      <c r="I50">
        <v>37</v>
      </c>
      <c r="J50">
        <v>8.9999999999999969E-2</v>
      </c>
      <c r="K50">
        <f>ABS(SUM(_xlfn.XLOOKUP(B50,Final_48_team_stats!B:B,Final_48_team_stats!I:I)-(_xlfn.XLOOKUP(C50,Final_48_team_stats!B:B,Final_48_team_stats!I:I))))</f>
        <v>12.1904761904762</v>
      </c>
      <c r="L50">
        <f>ABS(SUM(_xlfn.XLOOKUP(B50,Final_48_team_stats!B:B,Final_48_team_stats!H:H)-(_xlfn.XLOOKUP(C50,Final_48_team_stats!B:B,Final_48_team_stats!H:H))))</f>
        <v>7.9249999999999972</v>
      </c>
      <c r="M50">
        <f>ABS(SUM(_xlfn.XLOOKUP(B50,Final_48_team_stats!B:B,Final_48_team_stats!Q:Q)-(_xlfn.XLOOKUP(C50,Final_48_team_stats!B:B,Final_48_team_stats!Q:Q))))</f>
        <v>6.5219440168389306E-2</v>
      </c>
      <c r="N50">
        <f>ABS(SUM(_xlfn.XLOOKUP(B50,Final_48_team_stats!B:B,Final_48_team_stats!G:G)-(_xlfn.XLOOKUP(C50,Final_48_team_stats!B:B,Final_48_team_stats!G:G))))</f>
        <v>0.5</v>
      </c>
      <c r="O50">
        <v>3</v>
      </c>
    </row>
    <row r="51" spans="1:15" x14ac:dyDescent="0.45">
      <c r="A51" t="s">
        <v>391</v>
      </c>
      <c r="B51" t="s">
        <v>314</v>
      </c>
      <c r="C51" t="s">
        <v>324</v>
      </c>
      <c r="D51" s="8">
        <f>ABS(SUM(_xlfn.XLOOKUP(B51,Final_48_team_stats!B:B,Final_48_team_stats!M:M)-_xlfn.XLOOKUP(C51,Final_48_team_stats!B:B,Final_48_team_stats!M:M)))</f>
        <v>1.5238095238095193</v>
      </c>
      <c r="E51" s="8">
        <f>ABS(SUM(_xlfn.XLOOKUP(B51,Final_48_team_stats!B:B,Final_48_team_stats!J:J)-_xlfn.XLOOKUP(Model_1_test18!C51,Final_48_team_stats!B:B,Final_48_team_stats!J:J)))</f>
        <v>50.3333333333333</v>
      </c>
      <c r="F51">
        <f>ABS(SUM(_xlfn.XLOOKUP(B51,Final_48_team_stats!B:B,Final_48_team_stats!K:K)-_xlfn.XLOOKUP(C51,Final_48_team_stats!B:B,Final_48_team_stats!K:K)))</f>
        <v>15.75</v>
      </c>
      <c r="G51">
        <v>3</v>
      </c>
      <c r="H51">
        <v>1570000</v>
      </c>
      <c r="I51">
        <v>33</v>
      </c>
      <c r="J51">
        <v>0.54999999999999982</v>
      </c>
      <c r="K51">
        <f>ABS(SUM(_xlfn.XLOOKUP(B51,Final_48_team_stats!B:B,Final_48_team_stats!I:I)-(_xlfn.XLOOKUP(C51,Final_48_team_stats!B:B,Final_48_team_stats!I:I))))</f>
        <v>15.952380952380899</v>
      </c>
      <c r="L51">
        <f>ABS(SUM(_xlfn.XLOOKUP(B51,Final_48_team_stats!B:B,Final_48_team_stats!H:H)-(_xlfn.XLOOKUP(C51,Final_48_team_stats!B:B,Final_48_team_stats!H:H))))</f>
        <v>7.9444444444444002</v>
      </c>
      <c r="M51">
        <f>ABS(SUM(_xlfn.XLOOKUP(B51,Final_48_team_stats!B:B,Final_48_team_stats!Q:Q)-(_xlfn.XLOOKUP(C51,Final_48_team_stats!B:B,Final_48_team_stats!Q:Q))))</f>
        <v>6.3175763655128059E-4</v>
      </c>
      <c r="N51">
        <f>ABS(SUM(_xlfn.XLOOKUP(B51,Final_48_team_stats!B:B,Final_48_team_stats!G:G)-(_xlfn.XLOOKUP(C51,Final_48_team_stats!B:B,Final_48_team_stats!G:G))))</f>
        <v>0</v>
      </c>
      <c r="O51">
        <v>1</v>
      </c>
    </row>
    <row r="52" spans="1:15" x14ac:dyDescent="0.45">
      <c r="A52" t="s">
        <v>392</v>
      </c>
      <c r="B52" t="s">
        <v>315</v>
      </c>
      <c r="C52" t="s">
        <v>323</v>
      </c>
      <c r="D52" s="8">
        <f>ABS(SUM(_xlfn.XLOOKUP(B52,Final_48_team_stats!B:B,Final_48_team_stats!M:M)-_xlfn.XLOOKUP(C52,Final_48_team_stats!B:B,Final_48_team_stats!M:M)))</f>
        <v>5</v>
      </c>
      <c r="E52" s="8">
        <f>ABS(SUM(_xlfn.XLOOKUP(B52,Final_48_team_stats!B:B,Final_48_team_stats!J:J)-_xlfn.XLOOKUP(Model_1_test18!C52,Final_48_team_stats!B:B,Final_48_team_stats!J:J)))</f>
        <v>10</v>
      </c>
      <c r="F52">
        <f>ABS(SUM(_xlfn.XLOOKUP(B52,Final_48_team_stats!B:B,Final_48_team_stats!K:K)-_xlfn.XLOOKUP(C52,Final_48_team_stats!B:B,Final_48_team_stats!K:K)))</f>
        <v>31.5277777777778</v>
      </c>
      <c r="G52">
        <v>3</v>
      </c>
      <c r="H52">
        <v>775000</v>
      </c>
      <c r="I52">
        <v>22</v>
      </c>
      <c r="J52">
        <v>3.09</v>
      </c>
      <c r="K52">
        <f>ABS(SUM(_xlfn.XLOOKUP(B52,Final_48_team_stats!B:B,Final_48_team_stats!I:I)-(_xlfn.XLOOKUP(C52,Final_48_team_stats!B:B,Final_48_team_stats!I:I))))</f>
        <v>20.4166666666666</v>
      </c>
      <c r="L52">
        <f>ABS(SUM(_xlfn.XLOOKUP(B52,Final_48_team_stats!B:B,Final_48_team_stats!H:H)-(_xlfn.XLOOKUP(C52,Final_48_team_stats!B:B,Final_48_team_stats!H:H))))</f>
        <v>25.193181818181799</v>
      </c>
      <c r="M52">
        <f>ABS(SUM(_xlfn.XLOOKUP(B52,Final_48_team_stats!B:B,Final_48_team_stats!Q:Q)-(_xlfn.XLOOKUP(C52,Final_48_team_stats!B:B,Final_48_team_stats!Q:Q))))</f>
        <v>5.0131464118686936E-2</v>
      </c>
      <c r="N52">
        <f>ABS(SUM(_xlfn.XLOOKUP(B52,Final_48_team_stats!B:B,Final_48_team_stats!G:G)-(_xlfn.XLOOKUP(C52,Final_48_team_stats!B:B,Final_48_team_stats!G:G))))</f>
        <v>1.5</v>
      </c>
      <c r="O52">
        <v>1</v>
      </c>
    </row>
    <row r="53" spans="1:15" x14ac:dyDescent="0.45">
      <c r="A53" t="s">
        <v>393</v>
      </c>
      <c r="B53" t="s">
        <v>316</v>
      </c>
      <c r="C53" t="s">
        <v>283</v>
      </c>
      <c r="D53" s="8">
        <f>ABS(SUM(_xlfn.XLOOKUP(B53,Final_48_team_stats!B:B,Final_48_team_stats!M:M)-_xlfn.XLOOKUP(C53,Final_48_team_stats!B:B,Final_48_team_stats!M:M)))</f>
        <v>6.1111111111111001</v>
      </c>
      <c r="E53" s="8">
        <f>ABS(SUM(_xlfn.XLOOKUP(B53,Final_48_team_stats!B:B,Final_48_team_stats!J:J)-_xlfn.XLOOKUP(Model_1_test18!C53,Final_48_team_stats!B:B,Final_48_team_stats!J:J)))</f>
        <v>12.333333333333339</v>
      </c>
      <c r="F53">
        <f>ABS(SUM(_xlfn.XLOOKUP(B53,Final_48_team_stats!B:B,Final_48_team_stats!K:K)-_xlfn.XLOOKUP(C53,Final_48_team_stats!B:B,Final_48_team_stats!K:K)))</f>
        <v>51.424999999999997</v>
      </c>
      <c r="G53">
        <v>3</v>
      </c>
      <c r="H53">
        <v>2170000</v>
      </c>
      <c r="I53">
        <v>10</v>
      </c>
      <c r="J53">
        <v>3.29</v>
      </c>
      <c r="K53">
        <f>ABS(SUM(_xlfn.XLOOKUP(B53,Final_48_team_stats!B:B,Final_48_team_stats!I:I)-(_xlfn.XLOOKUP(C53,Final_48_team_stats!B:B,Final_48_team_stats!I:I))))</f>
        <v>35.603174603174601</v>
      </c>
      <c r="L53">
        <f>ABS(SUM(_xlfn.XLOOKUP(B53,Final_48_team_stats!B:B,Final_48_team_stats!H:H)-(_xlfn.XLOOKUP(C53,Final_48_team_stats!B:B,Final_48_team_stats!H:H))))</f>
        <v>19.7083333333333</v>
      </c>
      <c r="M53">
        <f>ABS(SUM(_xlfn.XLOOKUP(B53,Final_48_team_stats!B:B,Final_48_team_stats!Q:Q)-(_xlfn.XLOOKUP(C53,Final_48_team_stats!B:B,Final_48_team_stats!Q:Q))))</f>
        <v>9.8139821916600756E-3</v>
      </c>
      <c r="N53">
        <f>ABS(SUM(_xlfn.XLOOKUP(B53,Final_48_team_stats!B:B,Final_48_team_stats!G:G)-(_xlfn.XLOOKUP(C53,Final_48_team_stats!B:B,Final_48_team_stats!G:G))))</f>
        <v>2</v>
      </c>
      <c r="O53">
        <v>2</v>
      </c>
    </row>
    <row r="54" spans="1:15" x14ac:dyDescent="0.45">
      <c r="A54" t="s">
        <v>394</v>
      </c>
      <c r="B54" t="s">
        <v>304</v>
      </c>
      <c r="C54" t="s">
        <v>280</v>
      </c>
      <c r="D54" s="8">
        <f>ABS(SUM(_xlfn.XLOOKUP(B54,Final_48_team_stats!B:B,Final_48_team_stats!M:M)-_xlfn.XLOOKUP(C54,Final_48_team_stats!B:B,Final_48_team_stats!M:M)))</f>
        <v>1.3035714285714297</v>
      </c>
      <c r="E54" s="8">
        <f>ABS(SUM(_xlfn.XLOOKUP(B54,Final_48_team_stats!B:B,Final_48_team_stats!J:J)-_xlfn.XLOOKUP(Model_1_test18!C54,Final_48_team_stats!B:B,Final_48_team_stats!J:J)))</f>
        <v>46</v>
      </c>
      <c r="F54">
        <f>ABS(SUM(_xlfn.XLOOKUP(B54,Final_48_team_stats!B:B,Final_48_team_stats!K:K)-_xlfn.XLOOKUP(C54,Final_48_team_stats!B:B,Final_48_team_stats!K:K)))</f>
        <v>6.1785714285714022</v>
      </c>
      <c r="G54">
        <v>3</v>
      </c>
      <c r="H54">
        <v>2320000</v>
      </c>
      <c r="I54">
        <v>26</v>
      </c>
      <c r="J54">
        <v>1.21</v>
      </c>
      <c r="K54">
        <f>ABS(SUM(_xlfn.XLOOKUP(B54,Final_48_team_stats!B:B,Final_48_team_stats!I:I)-(_xlfn.XLOOKUP(C54,Final_48_team_stats!B:B,Final_48_team_stats!I:I))))</f>
        <v>16.910714285714299</v>
      </c>
      <c r="L54">
        <f>ABS(SUM(_xlfn.XLOOKUP(B54,Final_48_team_stats!B:B,Final_48_team_stats!H:H)-(_xlfn.XLOOKUP(C54,Final_48_team_stats!B:B,Final_48_team_stats!H:H))))</f>
        <v>36.365079365079403</v>
      </c>
      <c r="M54">
        <f>ABS(SUM(_xlfn.XLOOKUP(B54,Final_48_team_stats!B:B,Final_48_team_stats!Q:Q)-(_xlfn.XLOOKUP(C54,Final_48_team_stats!B:B,Final_48_team_stats!Q:Q))))</f>
        <v>4.0073083687652597E-2</v>
      </c>
      <c r="N54">
        <f>ABS(SUM(_xlfn.XLOOKUP(B54,Final_48_team_stats!B:B,Final_48_team_stats!G:G)-(_xlfn.XLOOKUP(C54,Final_48_team_stats!B:B,Final_48_team_stats!G:G))))</f>
        <v>1</v>
      </c>
      <c r="O54">
        <v>3</v>
      </c>
    </row>
    <row r="55" spans="1:15" x14ac:dyDescent="0.45">
      <c r="A55" t="s">
        <v>395</v>
      </c>
      <c r="B55" t="s">
        <v>289</v>
      </c>
      <c r="C55" t="s">
        <v>281</v>
      </c>
      <c r="D55" s="8">
        <f>ABS(SUM(_xlfn.XLOOKUP(B55,Final_48_team_stats!B:B,Final_48_team_stats!M:M)-_xlfn.XLOOKUP(C55,Final_48_team_stats!B:B,Final_48_team_stats!M:M)))</f>
        <v>20.9166666666666</v>
      </c>
      <c r="E55" s="8">
        <f>ABS(SUM(_xlfn.XLOOKUP(B55,Final_48_team_stats!B:B,Final_48_team_stats!J:J)-_xlfn.XLOOKUP(Model_1_test18!C55,Final_48_team_stats!B:B,Final_48_team_stats!J:J)))</f>
        <v>22.3333333333334</v>
      </c>
      <c r="F55">
        <f>ABS(SUM(_xlfn.XLOOKUP(B55,Final_48_team_stats!B:B,Final_48_team_stats!K:K)-_xlfn.XLOOKUP(C55,Final_48_team_stats!B:B,Final_48_team_stats!K:K)))</f>
        <v>5.4181818181818002</v>
      </c>
      <c r="G55">
        <v>3</v>
      </c>
      <c r="H55">
        <v>1260000</v>
      </c>
      <c r="I55">
        <v>35</v>
      </c>
      <c r="J55">
        <v>0.2599999999999999</v>
      </c>
      <c r="K55">
        <f>ABS(SUM(_xlfn.XLOOKUP(B55,Final_48_team_stats!B:B,Final_48_team_stats!I:I)-(_xlfn.XLOOKUP(C55,Final_48_team_stats!B:B,Final_48_team_stats!I:I))))</f>
        <v>55.5416666666666</v>
      </c>
      <c r="L55">
        <f>ABS(SUM(_xlfn.XLOOKUP(B55,Final_48_team_stats!B:B,Final_48_team_stats!H:H)-(_xlfn.XLOOKUP(C55,Final_48_team_stats!B:B,Final_48_team_stats!H:H))))</f>
        <v>9.2222222222222001</v>
      </c>
      <c r="M55">
        <f>ABS(SUM(_xlfn.XLOOKUP(B55,Final_48_team_stats!B:B,Final_48_team_stats!Q:Q)-(_xlfn.XLOOKUP(C55,Final_48_team_stats!B:B,Final_48_team_stats!Q:Q))))</f>
        <v>2.1959249463075453E-2</v>
      </c>
      <c r="N55">
        <f>ABS(SUM(_xlfn.XLOOKUP(B55,Final_48_team_stats!B:B,Final_48_team_stats!G:G)-(_xlfn.XLOOKUP(C55,Final_48_team_stats!B:B,Final_48_team_stats!G:G))))</f>
        <v>2.5</v>
      </c>
      <c r="O55">
        <v>1</v>
      </c>
    </row>
    <row r="56" spans="1:15" x14ac:dyDescent="0.45">
      <c r="A56" t="s">
        <v>396</v>
      </c>
      <c r="B56" t="s">
        <v>317</v>
      </c>
      <c r="C56" t="s">
        <v>292</v>
      </c>
      <c r="D56" s="8">
        <f>ABS(SUM(_xlfn.XLOOKUP(B56,Final_48_team_stats!B:B,Final_48_team_stats!M:M)-_xlfn.XLOOKUP(C56,Final_48_team_stats!B:B,Final_48_team_stats!M:M)))</f>
        <v>0.59722222222221966</v>
      </c>
      <c r="E56" s="8">
        <f>ABS(SUM(_xlfn.XLOOKUP(B56,Final_48_team_stats!B:B,Final_48_team_stats!J:J)-_xlfn.XLOOKUP(Model_1_test18!C56,Final_48_team_stats!B:B,Final_48_team_stats!J:J)))</f>
        <v>14.6666666666666</v>
      </c>
      <c r="F56">
        <f>ABS(SUM(_xlfn.XLOOKUP(B56,Final_48_team_stats!B:B,Final_48_team_stats!K:K)-_xlfn.XLOOKUP(C56,Final_48_team_stats!B:B,Final_48_team_stats!K:K)))</f>
        <v>16.1666666666666</v>
      </c>
      <c r="G56">
        <v>3</v>
      </c>
      <c r="H56">
        <v>724000</v>
      </c>
      <c r="I56">
        <v>48</v>
      </c>
      <c r="J56">
        <v>0.81</v>
      </c>
      <c r="K56">
        <f>ABS(SUM(_xlfn.XLOOKUP(B56,Final_48_team_stats!B:B,Final_48_team_stats!I:I)-(_xlfn.XLOOKUP(C56,Final_48_team_stats!B:B,Final_48_team_stats!I:I))))</f>
        <v>2.7916666666666998</v>
      </c>
      <c r="L56">
        <f>ABS(SUM(_xlfn.XLOOKUP(B56,Final_48_team_stats!B:B,Final_48_team_stats!H:H)-(_xlfn.XLOOKUP(C56,Final_48_team_stats!B:B,Final_48_team_stats!H:H))))</f>
        <v>8</v>
      </c>
      <c r="M56">
        <f>ABS(SUM(_xlfn.XLOOKUP(B56,Final_48_team_stats!B:B,Final_48_team_stats!Q:Q)-(_xlfn.XLOOKUP(C56,Final_48_team_stats!B:B,Final_48_team_stats!Q:Q))))</f>
        <v>5.7543491370770639E-5</v>
      </c>
      <c r="N56">
        <f>ABS(SUM(_xlfn.XLOOKUP(B56,Final_48_team_stats!B:B,Final_48_team_stats!G:G)-(_xlfn.XLOOKUP(C56,Final_48_team_stats!B:B,Final_48_team_stats!G:G))))</f>
        <v>1.5</v>
      </c>
      <c r="O56">
        <v>2</v>
      </c>
    </row>
    <row r="57" spans="1:15" x14ac:dyDescent="0.45">
      <c r="A57" t="s">
        <v>397</v>
      </c>
      <c r="B57" t="s">
        <v>309</v>
      </c>
      <c r="C57" t="s">
        <v>287</v>
      </c>
      <c r="D57" s="8">
        <f>ABS(SUM(_xlfn.XLOOKUP(B57,Final_48_team_stats!B:B,Final_48_team_stats!M:M)-_xlfn.XLOOKUP(C57,Final_48_team_stats!B:B,Final_48_team_stats!M:M)))</f>
        <v>1.71428571428571</v>
      </c>
      <c r="E57" s="8">
        <f>ABS(SUM(_xlfn.XLOOKUP(B57,Final_48_team_stats!B:B,Final_48_team_stats!J:J)-_xlfn.XLOOKUP(Model_1_test18!C57,Final_48_team_stats!B:B,Final_48_team_stats!J:J)))</f>
        <v>31.3333333333333</v>
      </c>
      <c r="F57">
        <f>ABS(SUM(_xlfn.XLOOKUP(B57,Final_48_team_stats!B:B,Final_48_team_stats!K:K)-_xlfn.XLOOKUP(C57,Final_48_team_stats!B:B,Final_48_team_stats!K:K)))</f>
        <v>1.3295454545454</v>
      </c>
      <c r="G57">
        <v>3</v>
      </c>
      <c r="H57">
        <v>2800000</v>
      </c>
      <c r="I57">
        <v>13</v>
      </c>
      <c r="J57">
        <v>0.62</v>
      </c>
      <c r="K57">
        <f>ABS(SUM(_xlfn.XLOOKUP(B57,Final_48_team_stats!B:B,Final_48_team_stats!I:I)-(_xlfn.XLOOKUP(C57,Final_48_team_stats!B:B,Final_48_team_stats!I:I))))</f>
        <v>13.535714285714199</v>
      </c>
      <c r="L57">
        <f>ABS(SUM(_xlfn.XLOOKUP(B57,Final_48_team_stats!B:B,Final_48_team_stats!H:H)-(_xlfn.XLOOKUP(C57,Final_48_team_stats!B:B,Final_48_team_stats!H:H))))</f>
        <v>6.125</v>
      </c>
      <c r="M57">
        <f>ABS(SUM(_xlfn.XLOOKUP(B57,Final_48_team_stats!B:B,Final_48_team_stats!Q:Q)-(_xlfn.XLOOKUP(C57,Final_48_team_stats!B:B,Final_48_team_stats!Q:Q))))</f>
        <v>1.1909811225650074E-3</v>
      </c>
      <c r="N57">
        <f>ABS(SUM(_xlfn.XLOOKUP(B57,Final_48_team_stats!B:B,Final_48_team_stats!G:G)-(_xlfn.XLOOKUP(C57,Final_48_team_stats!B:B,Final_48_team_stats!G:G))))</f>
        <v>2.5</v>
      </c>
      <c r="O57">
        <v>1</v>
      </c>
    </row>
    <row r="58" spans="1:15" x14ac:dyDescent="0.45">
      <c r="A58" t="s">
        <v>398</v>
      </c>
      <c r="B58" t="s">
        <v>311</v>
      </c>
      <c r="C58" t="s">
        <v>295</v>
      </c>
      <c r="D58" s="8">
        <f>ABS(SUM(_xlfn.XLOOKUP(B58,Final_48_team_stats!B:B,Final_48_team_stats!M:M)-_xlfn.XLOOKUP(C58,Final_48_team_stats!B:B,Final_48_team_stats!M:M)))</f>
        <v>7.7714285714285989</v>
      </c>
      <c r="E58" s="8">
        <f>ABS(SUM(_xlfn.XLOOKUP(B58,Final_48_team_stats!B:B,Final_48_team_stats!J:J)-_xlfn.XLOOKUP(Model_1_test18!C58,Final_48_team_stats!B:B,Final_48_team_stats!J:J)))</f>
        <v>11.3333333333334</v>
      </c>
      <c r="F58">
        <f>ABS(SUM(_xlfn.XLOOKUP(B58,Final_48_team_stats!B:B,Final_48_team_stats!K:K)-_xlfn.XLOOKUP(C58,Final_48_team_stats!B:B,Final_48_team_stats!K:K)))</f>
        <v>1.4857142857143018</v>
      </c>
      <c r="G58">
        <v>3</v>
      </c>
      <c r="H58">
        <v>3225000</v>
      </c>
      <c r="I58">
        <v>30</v>
      </c>
      <c r="J58">
        <v>0.56999999999999995</v>
      </c>
      <c r="K58">
        <f>ABS(SUM(_xlfn.XLOOKUP(B58,Final_48_team_stats!B:B,Final_48_team_stats!I:I)-(_xlfn.XLOOKUP(C58,Final_48_team_stats!B:B,Final_48_team_stats!I:I))))</f>
        <v>9.2571428571428953</v>
      </c>
      <c r="L58">
        <f>ABS(SUM(_xlfn.XLOOKUP(B58,Final_48_team_stats!B:B,Final_48_team_stats!H:H)-(_xlfn.XLOOKUP(C58,Final_48_team_stats!B:B,Final_48_team_stats!H:H))))</f>
        <v>10.8888888888888</v>
      </c>
      <c r="M58">
        <f>ABS(SUM(_xlfn.XLOOKUP(B58,Final_48_team_stats!B:B,Final_48_team_stats!Q:Q)-(_xlfn.XLOOKUP(C58,Final_48_team_stats!B:B,Final_48_team_stats!Q:Q))))</f>
        <v>2.6528172287753643E-2</v>
      </c>
      <c r="N58">
        <f>ABS(SUM(_xlfn.XLOOKUP(B58,Final_48_team_stats!B:B,Final_48_team_stats!G:G)-(_xlfn.XLOOKUP(C58,Final_48_team_stats!B:B,Final_48_team_stats!G:G))))</f>
        <v>0.5</v>
      </c>
      <c r="O58">
        <v>3</v>
      </c>
    </row>
    <row r="59" spans="1:15" x14ac:dyDescent="0.45">
      <c r="A59" t="s">
        <v>399</v>
      </c>
      <c r="B59" t="s">
        <v>306</v>
      </c>
      <c r="C59" t="s">
        <v>8</v>
      </c>
      <c r="D59" s="8">
        <f>ABS(SUM(_xlfn.XLOOKUP(B59,Final_48_team_stats!B:B,Final_48_team_stats!M:M)-_xlfn.XLOOKUP(C59,Final_48_team_stats!B:B,Final_48_team_stats!M:M)))</f>
        <v>6.6507936507936307</v>
      </c>
      <c r="E59" s="8">
        <f>ABS(SUM(_xlfn.XLOOKUP(B59,Final_48_team_stats!B:B,Final_48_team_stats!J:J)-_xlfn.XLOOKUP(Model_1_test18!C59,Final_48_team_stats!B:B,Final_48_team_stats!J:J)))</f>
        <v>6</v>
      </c>
      <c r="F59">
        <f>ABS(SUM(_xlfn.XLOOKUP(B59,Final_48_team_stats!B:B,Final_48_team_stats!K:K)-_xlfn.XLOOKUP(C59,Final_48_team_stats!B:B,Final_48_team_stats!K:K)))</f>
        <v>16.6666666666667</v>
      </c>
      <c r="G59">
        <v>3</v>
      </c>
      <c r="H59">
        <v>3000000</v>
      </c>
      <c r="I59">
        <v>6</v>
      </c>
      <c r="J59">
        <v>1.23</v>
      </c>
      <c r="K59">
        <f>ABS(SUM(_xlfn.XLOOKUP(B59,Final_48_team_stats!B:B,Final_48_team_stats!I:I)-(_xlfn.XLOOKUP(C59,Final_48_team_stats!B:B,Final_48_team_stats!I:I))))</f>
        <v>15.746031746031697</v>
      </c>
      <c r="L59">
        <f>ABS(SUM(_xlfn.XLOOKUP(B59,Final_48_team_stats!B:B,Final_48_team_stats!H:H)-(_xlfn.XLOOKUP(C59,Final_48_team_stats!B:B,Final_48_team_stats!H:H))))</f>
        <v>4.5666666666665989</v>
      </c>
      <c r="M59">
        <f>ABS(SUM(_xlfn.XLOOKUP(B59,Final_48_team_stats!B:B,Final_48_team_stats!Q:Q)-(_xlfn.XLOOKUP(C59,Final_48_team_stats!B:B,Final_48_team_stats!Q:Q))))</f>
        <v>2.9937629937629939E-2</v>
      </c>
      <c r="N59">
        <f>ABS(SUM(_xlfn.XLOOKUP(B59,Final_48_team_stats!B:B,Final_48_team_stats!G:G)-(_xlfn.XLOOKUP(C59,Final_48_team_stats!B:B,Final_48_team_stats!G:G))))</f>
        <v>0.5</v>
      </c>
      <c r="O59">
        <v>1</v>
      </c>
    </row>
    <row r="60" spans="1:15" x14ac:dyDescent="0.45">
      <c r="A60" t="s">
        <v>400</v>
      </c>
      <c r="B60" t="s">
        <v>318</v>
      </c>
      <c r="C60" t="s">
        <v>296</v>
      </c>
      <c r="D60" s="8">
        <f>ABS(SUM(_xlfn.XLOOKUP(B60,Final_48_team_stats!B:B,Final_48_team_stats!M:M)-_xlfn.XLOOKUP(C60,Final_48_team_stats!B:B,Final_48_team_stats!M:M)))</f>
        <v>2.16071428571429</v>
      </c>
      <c r="E60" s="8">
        <f>ABS(SUM(_xlfn.XLOOKUP(B60,Final_48_team_stats!B:B,Final_48_team_stats!J:J)-_xlfn.XLOOKUP(Model_1_test18!C60,Final_48_team_stats!B:B,Final_48_team_stats!J:J)))</f>
        <v>24.6666666666667</v>
      </c>
      <c r="F60">
        <f>ABS(SUM(_xlfn.XLOOKUP(B60,Final_48_team_stats!B:B,Final_48_team_stats!K:K)-_xlfn.XLOOKUP(C60,Final_48_team_stats!B:B,Final_48_team_stats!K:K)))</f>
        <v>15.714285714285701</v>
      </c>
      <c r="G60">
        <v>3</v>
      </c>
      <c r="H60">
        <v>315000</v>
      </c>
      <c r="I60">
        <v>43</v>
      </c>
      <c r="J60">
        <v>0.31000000000000005</v>
      </c>
      <c r="K60">
        <f>ABS(SUM(_xlfn.XLOOKUP(B60,Final_48_team_stats!B:B,Final_48_team_stats!I:I)-(_xlfn.XLOOKUP(C60,Final_48_team_stats!B:B,Final_48_team_stats!I:I))))</f>
        <v>8</v>
      </c>
      <c r="L60">
        <f>ABS(SUM(_xlfn.XLOOKUP(B60,Final_48_team_stats!B:B,Final_48_team_stats!H:H)-(_xlfn.XLOOKUP(C60,Final_48_team_stats!B:B,Final_48_team_stats!H:H))))</f>
        <v>9.2361111111111995</v>
      </c>
      <c r="M60">
        <f>ABS(SUM(_xlfn.XLOOKUP(B60,Final_48_team_stats!B:B,Final_48_team_stats!Q:Q)-(_xlfn.XLOOKUP(C60,Final_48_team_stats!B:B,Final_48_team_stats!Q:Q))))</f>
        <v>2.2213620343151066E-2</v>
      </c>
      <c r="N60">
        <f>ABS(SUM(_xlfn.XLOOKUP(B60,Final_48_team_stats!B:B,Final_48_team_stats!G:G)-(_xlfn.XLOOKUP(C60,Final_48_team_stats!B:B,Final_48_team_stats!G:G))))</f>
        <v>1</v>
      </c>
      <c r="O60">
        <v>5</v>
      </c>
    </row>
    <row r="61" spans="1:15" x14ac:dyDescent="0.45">
      <c r="A61" t="s">
        <v>401</v>
      </c>
      <c r="B61" t="s">
        <v>308</v>
      </c>
      <c r="C61" t="s">
        <v>288</v>
      </c>
      <c r="D61" s="8">
        <f>ABS(SUM(_xlfn.XLOOKUP(B61,Final_48_team_stats!B:B,Final_48_team_stats!M:M)-_xlfn.XLOOKUP(C61,Final_48_team_stats!B:B,Final_48_team_stats!M:M)))</f>
        <v>11.6857142857142</v>
      </c>
      <c r="E61" s="8">
        <f>ABS(SUM(_xlfn.XLOOKUP(B61,Final_48_team_stats!B:B,Final_48_team_stats!J:J)-_xlfn.XLOOKUP(Model_1_test18!C61,Final_48_team_stats!B:B,Final_48_team_stats!J:J)))</f>
        <v>0</v>
      </c>
      <c r="F61">
        <f>ABS(SUM(_xlfn.XLOOKUP(B61,Final_48_team_stats!B:B,Final_48_team_stats!K:K)-_xlfn.XLOOKUP(C61,Final_48_team_stats!B:B,Final_48_team_stats!K:K)))</f>
        <v>1.5</v>
      </c>
      <c r="G61">
        <v>3</v>
      </c>
      <c r="H61">
        <v>2650000</v>
      </c>
      <c r="I61">
        <v>37</v>
      </c>
      <c r="J61">
        <v>0.87999999999999989</v>
      </c>
      <c r="K61">
        <f>ABS(SUM(_xlfn.XLOOKUP(B61,Final_48_team_stats!B:B,Final_48_team_stats!I:I)-(_xlfn.XLOOKUP(C61,Final_48_team_stats!B:B,Final_48_team_stats!I:I))))</f>
        <v>22.257142857142796</v>
      </c>
      <c r="L61">
        <f>ABS(SUM(_xlfn.XLOOKUP(B61,Final_48_team_stats!B:B,Final_48_team_stats!H:H)-(_xlfn.XLOOKUP(C61,Final_48_team_stats!B:B,Final_48_team_stats!H:H))))</f>
        <v>14.7</v>
      </c>
      <c r="M61">
        <f>ABS(SUM(_xlfn.XLOOKUP(B61,Final_48_team_stats!B:B,Final_48_team_stats!Q:Q)-(_xlfn.XLOOKUP(C61,Final_48_team_stats!B:B,Final_48_team_stats!Q:Q))))</f>
        <v>0.10381718692002827</v>
      </c>
      <c r="N61">
        <f>ABS(SUM(_xlfn.XLOOKUP(B61,Final_48_team_stats!B:B,Final_48_team_stats!G:G)-(_xlfn.XLOOKUP(C61,Final_48_team_stats!B:B,Final_48_team_stats!G:G))))</f>
        <v>0.5</v>
      </c>
      <c r="O61">
        <v>2</v>
      </c>
    </row>
    <row r="62" spans="1:15" x14ac:dyDescent="0.45">
      <c r="A62" t="s">
        <v>402</v>
      </c>
      <c r="B62" t="s">
        <v>319</v>
      </c>
      <c r="C62" t="s">
        <v>291</v>
      </c>
      <c r="D62" s="8">
        <f>ABS(SUM(_xlfn.XLOOKUP(B62,Final_48_team_stats!B:B,Final_48_team_stats!M:M)-_xlfn.XLOOKUP(C62,Final_48_team_stats!B:B,Final_48_team_stats!M:M)))</f>
        <v>3</v>
      </c>
      <c r="E62" s="8">
        <f>ABS(SUM(_xlfn.XLOOKUP(B62,Final_48_team_stats!B:B,Final_48_team_stats!J:J)-_xlfn.XLOOKUP(Model_1_test18!C62,Final_48_team_stats!B:B,Final_48_team_stats!J:J)))</f>
        <v>1</v>
      </c>
      <c r="F62">
        <f>ABS(SUM(_xlfn.XLOOKUP(B62,Final_48_team_stats!B:B,Final_48_team_stats!K:K)-_xlfn.XLOOKUP(C62,Final_48_team_stats!B:B,Final_48_team_stats!K:K)))</f>
        <v>16.603174603174601</v>
      </c>
      <c r="G62">
        <v>3</v>
      </c>
      <c r="H62">
        <v>285000</v>
      </c>
      <c r="I62">
        <v>20</v>
      </c>
      <c r="J62">
        <v>0.19999999999999996</v>
      </c>
      <c r="K62">
        <f>ABS(SUM(_xlfn.XLOOKUP(B62,Final_48_team_stats!B:B,Final_48_team_stats!I:I)-(_xlfn.XLOOKUP(C62,Final_48_team_stats!B:B,Final_48_team_stats!I:I))))</f>
        <v>11.8</v>
      </c>
      <c r="L62">
        <f>ABS(SUM(_xlfn.XLOOKUP(B62,Final_48_team_stats!B:B,Final_48_team_stats!H:H)-(_xlfn.XLOOKUP(C62,Final_48_team_stats!B:B,Final_48_team_stats!H:H))))</f>
        <v>19.727272727272801</v>
      </c>
      <c r="M62">
        <f>ABS(SUM(_xlfn.XLOOKUP(B62,Final_48_team_stats!B:B,Final_48_team_stats!Q:Q)-(_xlfn.XLOOKUP(C62,Final_48_team_stats!B:B,Final_48_team_stats!Q:Q))))</f>
        <v>1.2950106989668947E-2</v>
      </c>
      <c r="N62">
        <f>ABS(SUM(_xlfn.XLOOKUP(B62,Final_48_team_stats!B:B,Final_48_team_stats!G:G)-(_xlfn.XLOOKUP(C62,Final_48_team_stats!B:B,Final_48_team_stats!G:G))))</f>
        <v>0</v>
      </c>
      <c r="O62">
        <v>0</v>
      </c>
    </row>
    <row r="63" spans="1:15" x14ac:dyDescent="0.45">
      <c r="A63" t="s">
        <v>403</v>
      </c>
      <c r="B63" t="s">
        <v>320</v>
      </c>
      <c r="C63" t="s">
        <v>286</v>
      </c>
      <c r="D63" s="8">
        <f>ABS(SUM(_xlfn.XLOOKUP(B63,Final_48_team_stats!B:B,Final_48_team_stats!M:M)-_xlfn.XLOOKUP(C63,Final_48_team_stats!B:B,Final_48_team_stats!M:M)))</f>
        <v>10.66666666666667</v>
      </c>
      <c r="E63" s="8">
        <f>ABS(SUM(_xlfn.XLOOKUP(B63,Final_48_team_stats!B:B,Final_48_team_stats!J:J)-_xlfn.XLOOKUP(Model_1_test18!C63,Final_48_team_stats!B:B,Final_48_team_stats!J:J)))</f>
        <v>7.6666666666666998</v>
      </c>
      <c r="F63">
        <f>ABS(SUM(_xlfn.XLOOKUP(B63,Final_48_team_stats!B:B,Final_48_team_stats!K:K)-_xlfn.XLOOKUP(C63,Final_48_team_stats!B:B,Final_48_team_stats!K:K)))</f>
        <v>10.7777777777778</v>
      </c>
      <c r="G63">
        <v>3</v>
      </c>
      <c r="H63">
        <v>1895000</v>
      </c>
      <c r="I63">
        <v>13</v>
      </c>
      <c r="J63">
        <v>1.9699999999999998</v>
      </c>
      <c r="K63">
        <f>ABS(SUM(_xlfn.XLOOKUP(B63,Final_48_team_stats!B:B,Final_48_team_stats!I:I)-(_xlfn.XLOOKUP(C63,Final_48_team_stats!B:B,Final_48_team_stats!I:I))))</f>
        <v>32.75</v>
      </c>
      <c r="L63">
        <f>ABS(SUM(_xlfn.XLOOKUP(B63,Final_48_team_stats!B:B,Final_48_team_stats!H:H)-(_xlfn.XLOOKUP(C63,Final_48_team_stats!B:B,Final_48_team_stats!H:H))))</f>
        <v>5.0500000000000007</v>
      </c>
      <c r="M63">
        <f>ABS(SUM(_xlfn.XLOOKUP(B63,Final_48_team_stats!B:B,Final_48_team_stats!Q:Q)-(_xlfn.XLOOKUP(C63,Final_48_team_stats!B:B,Final_48_team_stats!Q:Q))))</f>
        <v>7.1742742786134336E-2</v>
      </c>
      <c r="N63">
        <f>ABS(SUM(_xlfn.XLOOKUP(B63,Final_48_team_stats!B:B,Final_48_team_stats!G:G)-(_xlfn.XLOOKUP(C63,Final_48_team_stats!B:B,Final_48_team_stats!G:G))))</f>
        <v>2.5</v>
      </c>
      <c r="O63">
        <v>0</v>
      </c>
    </row>
    <row r="64" spans="1:15" x14ac:dyDescent="0.45">
      <c r="A64" t="s">
        <v>404</v>
      </c>
      <c r="B64" t="s">
        <v>321</v>
      </c>
      <c r="C64" t="s">
        <v>352</v>
      </c>
      <c r="D64" s="8">
        <f>ABS(SUM(_xlfn.XLOOKUP(B64,Final_48_team_stats!B:B,Final_48_team_stats!M:M)-_xlfn.XLOOKUP(C64,Final_48_team_stats!B:B,Final_48_team_stats!M:M)))</f>
        <v>0.95238095238090104</v>
      </c>
      <c r="E64" s="8">
        <f>ABS(SUM(_xlfn.XLOOKUP(B64,Final_48_team_stats!B:B,Final_48_team_stats!J:J)-_xlfn.XLOOKUP(Model_1_test18!C64,Final_48_team_stats!B:B,Final_48_team_stats!J:J)))</f>
        <v>1.3333333333333997</v>
      </c>
      <c r="F64">
        <f>ABS(SUM(_xlfn.XLOOKUP(B64,Final_48_team_stats!B:B,Final_48_team_stats!K:K)-_xlfn.XLOOKUP(C64,Final_48_team_stats!B:B,Final_48_team_stats!K:K)))</f>
        <v>6.25</v>
      </c>
      <c r="G64">
        <v>3</v>
      </c>
      <c r="H64">
        <v>930000</v>
      </c>
      <c r="I64">
        <v>8</v>
      </c>
      <c r="J64">
        <v>0.99999999999999989</v>
      </c>
      <c r="K64">
        <f>ABS(SUM(_xlfn.XLOOKUP(B64,Final_48_team_stats!B:B,Final_48_team_stats!I:I)-(_xlfn.XLOOKUP(C64,Final_48_team_stats!B:B,Final_48_team_stats!I:I))))</f>
        <v>1.3809523809524009</v>
      </c>
      <c r="L64">
        <f>ABS(SUM(_xlfn.XLOOKUP(B64,Final_48_team_stats!B:B,Final_48_team_stats!H:H)-(_xlfn.XLOOKUP(C64,Final_48_team_stats!B:B,Final_48_team_stats!H:H))))</f>
        <v>0.375</v>
      </c>
      <c r="M64">
        <f>ABS(SUM(_xlfn.XLOOKUP(B64,Final_48_team_stats!B:B,Final_48_team_stats!Q:Q)-(_xlfn.XLOOKUP(C64,Final_48_team_stats!B:B,Final_48_team_stats!Q:Q))))</f>
        <v>1.2429858399493524E-2</v>
      </c>
      <c r="N64">
        <f>ABS(SUM(_xlfn.XLOOKUP(B64,Final_48_team_stats!B:B,Final_48_team_stats!G:G)-(_xlfn.XLOOKUP(C64,Final_48_team_stats!B:B,Final_48_team_stats!G:G))))</f>
        <v>2.5</v>
      </c>
      <c r="O64">
        <v>0</v>
      </c>
    </row>
    <row r="65" spans="1:15" x14ac:dyDescent="0.45">
      <c r="A65" t="s">
        <v>405</v>
      </c>
      <c r="B65" t="s">
        <v>307</v>
      </c>
      <c r="C65" t="s">
        <v>293</v>
      </c>
      <c r="D65" s="8">
        <f>ABS(SUM(_xlfn.XLOOKUP(B65,Final_48_team_stats!B:B,Final_48_team_stats!M:M)-_xlfn.XLOOKUP(C65,Final_48_team_stats!B:B,Final_48_team_stats!M:M)))</f>
        <v>4.95</v>
      </c>
      <c r="E65" s="8">
        <f>ABS(SUM(_xlfn.XLOOKUP(B65,Final_48_team_stats!B:B,Final_48_team_stats!J:J)-_xlfn.XLOOKUP(Model_1_test18!C65,Final_48_team_stats!B:B,Final_48_team_stats!J:J)))</f>
        <v>34.6666666666667</v>
      </c>
      <c r="F65">
        <f>ABS(SUM(_xlfn.XLOOKUP(B65,Final_48_team_stats!B:B,Final_48_team_stats!K:K)-_xlfn.XLOOKUP(C65,Final_48_team_stats!B:B,Final_48_team_stats!K:K)))</f>
        <v>4.3766233766233</v>
      </c>
      <c r="G65">
        <v>3</v>
      </c>
      <c r="H65">
        <v>1000000</v>
      </c>
      <c r="I65">
        <v>15</v>
      </c>
      <c r="J65">
        <v>0.65999999999999992</v>
      </c>
      <c r="K65">
        <f>ABS(SUM(_xlfn.XLOOKUP(B65,Final_48_team_stats!B:B,Final_48_team_stats!I:I)-(_xlfn.XLOOKUP(C65,Final_48_team_stats!B:B,Final_48_team_stats!I:I))))</f>
        <v>5</v>
      </c>
      <c r="L65">
        <f>ABS(SUM(_xlfn.XLOOKUP(B65,Final_48_team_stats!B:B,Final_48_team_stats!H:H)-(_xlfn.XLOOKUP(C65,Final_48_team_stats!B:B,Final_48_team_stats!H:H))))</f>
        <v>17.589285714285701</v>
      </c>
      <c r="M65">
        <f>ABS(SUM(_xlfn.XLOOKUP(B65,Final_48_team_stats!B:B,Final_48_team_stats!Q:Q)-(_xlfn.XLOOKUP(C65,Final_48_team_stats!B:B,Final_48_team_stats!Q:Q))))</f>
        <v>7.8155676633214044E-2</v>
      </c>
      <c r="N65">
        <f>ABS(SUM(_xlfn.XLOOKUP(B65,Final_48_team_stats!B:B,Final_48_team_stats!G:G)-(_xlfn.XLOOKUP(C65,Final_48_team_stats!B:B,Final_48_team_stats!G:G))))</f>
        <v>0.5</v>
      </c>
      <c r="O65">
        <v>1</v>
      </c>
    </row>
    <row r="66" spans="1:15" x14ac:dyDescent="0.45">
      <c r="A66" t="s">
        <v>406</v>
      </c>
      <c r="B66" t="s">
        <v>322</v>
      </c>
      <c r="C66" t="s">
        <v>294</v>
      </c>
      <c r="D66" s="8">
        <f>ABS(SUM(_xlfn.XLOOKUP(B66,Final_48_team_stats!B:B,Final_48_team_stats!M:M)-_xlfn.XLOOKUP(C66,Final_48_team_stats!B:B,Final_48_team_stats!M:M)))</f>
        <v>2.5714285714285001</v>
      </c>
      <c r="E66" s="8">
        <f>ABS(SUM(_xlfn.XLOOKUP(B66,Final_48_team_stats!B:B,Final_48_team_stats!J:J)-_xlfn.XLOOKUP(Model_1_test18!C66,Final_48_team_stats!B:B,Final_48_team_stats!J:J)))</f>
        <v>16.75</v>
      </c>
      <c r="F66">
        <f>ABS(SUM(_xlfn.XLOOKUP(B66,Final_48_team_stats!B:B,Final_48_team_stats!K:K)-_xlfn.XLOOKUP(C66,Final_48_team_stats!B:B,Final_48_team_stats!K:K)))</f>
        <v>24.446428571428601</v>
      </c>
      <c r="G66">
        <v>3</v>
      </c>
      <c r="H66">
        <v>174000</v>
      </c>
      <c r="I66">
        <v>8</v>
      </c>
      <c r="J66">
        <v>1.1299999999999999</v>
      </c>
      <c r="K66">
        <f>ABS(SUM(_xlfn.XLOOKUP(B66,Final_48_team_stats!B:B,Final_48_team_stats!I:I)-(_xlfn.XLOOKUP(C66,Final_48_team_stats!B:B,Final_48_team_stats!I:I))))</f>
        <v>19.214285714285701</v>
      </c>
      <c r="L66">
        <f>ABS(SUM(_xlfn.XLOOKUP(B66,Final_48_team_stats!B:B,Final_48_team_stats!H:H)-(_xlfn.XLOOKUP(C66,Final_48_team_stats!B:B,Final_48_team_stats!H:H))))</f>
        <v>26.7361111111111</v>
      </c>
      <c r="M66">
        <f>ABS(SUM(_xlfn.XLOOKUP(B66,Final_48_team_stats!B:B,Final_48_team_stats!Q:Q)-(_xlfn.XLOOKUP(C66,Final_48_team_stats!B:B,Final_48_team_stats!Q:Q))))</f>
        <v>2.5375731622201581E-2</v>
      </c>
      <c r="N66">
        <f>ABS(SUM(_xlfn.XLOOKUP(B66,Final_48_team_stats!B:B,Final_48_team_stats!G:G)-(_xlfn.XLOOKUP(C66,Final_48_team_stats!B:B,Final_48_team_stats!G:G))))</f>
        <v>2.5</v>
      </c>
      <c r="O66">
        <v>0</v>
      </c>
    </row>
    <row r="67" spans="1:15" x14ac:dyDescent="0.45">
      <c r="A67" t="s">
        <v>407</v>
      </c>
      <c r="B67" t="s">
        <v>310</v>
      </c>
      <c r="C67" t="s">
        <v>290</v>
      </c>
      <c r="D67" s="8">
        <f>ABS(SUM(_xlfn.XLOOKUP(B67,Final_48_team_stats!B:B,Final_48_team_stats!M:M)-_xlfn.XLOOKUP(C67,Final_48_team_stats!B:B,Final_48_team_stats!M:M)))</f>
        <v>6.5666666666666007</v>
      </c>
      <c r="E67" s="8">
        <f>ABS(SUM(_xlfn.XLOOKUP(B67,Final_48_team_stats!B:B,Final_48_team_stats!J:J)-_xlfn.XLOOKUP(Model_1_test18!C67,Final_48_team_stats!B:B,Final_48_team_stats!J:J)))</f>
        <v>24.3333333333334</v>
      </c>
      <c r="F67">
        <f>ABS(SUM(_xlfn.XLOOKUP(B67,Final_48_team_stats!B:B,Final_48_team_stats!K:K)-_xlfn.XLOOKUP(C67,Final_48_team_stats!B:B,Final_48_team_stats!K:K)))</f>
        <v>27.4027777777778</v>
      </c>
      <c r="G67">
        <v>3</v>
      </c>
      <c r="H67">
        <v>1570000</v>
      </c>
      <c r="I67">
        <v>76</v>
      </c>
      <c r="J67">
        <v>3.44</v>
      </c>
      <c r="K67">
        <f>ABS(SUM(_xlfn.XLOOKUP(B67,Final_48_team_stats!B:B,Final_48_team_stats!I:I)-(_xlfn.XLOOKUP(C67,Final_48_team_stats!B:B,Final_48_team_stats!I:I))))</f>
        <v>1.7999999999999972</v>
      </c>
      <c r="L67">
        <f>ABS(SUM(_xlfn.XLOOKUP(B67,Final_48_team_stats!B:B,Final_48_team_stats!H:H)-(_xlfn.XLOOKUP(C67,Final_48_team_stats!B:B,Final_48_team_stats!H:H))))</f>
        <v>6.6666666666666998</v>
      </c>
      <c r="M67">
        <f>ABS(SUM(_xlfn.XLOOKUP(B67,Final_48_team_stats!B:B,Final_48_team_stats!Q:Q)-(_xlfn.XLOOKUP(C67,Final_48_team_stats!B:B,Final_48_team_stats!Q:Q))))</f>
        <v>6.8750174556626187E-2</v>
      </c>
      <c r="N67">
        <f>ABS(SUM(_xlfn.XLOOKUP(B67,Final_48_team_stats!B:B,Final_48_team_stats!G:G)-(_xlfn.XLOOKUP(C67,Final_48_team_stats!B:B,Final_48_team_stats!G:G))))</f>
        <v>1.5</v>
      </c>
      <c r="O67">
        <v>4</v>
      </c>
    </row>
    <row r="68" spans="1:15" x14ac:dyDescent="0.45">
      <c r="A68" t="s">
        <v>408</v>
      </c>
      <c r="B68" t="s">
        <v>323</v>
      </c>
      <c r="C68" t="s">
        <v>303</v>
      </c>
      <c r="D68" s="8">
        <f>ABS(SUM(_xlfn.XLOOKUP(B68,Final_48_team_stats!B:B,Final_48_team_stats!M:M)-_xlfn.XLOOKUP(C68,Final_48_team_stats!B:B,Final_48_team_stats!M:M)))</f>
        <v>8.375</v>
      </c>
      <c r="E68" s="8">
        <f>ABS(SUM(_xlfn.XLOOKUP(B68,Final_48_team_stats!B:B,Final_48_team_stats!J:J)-_xlfn.XLOOKUP(Model_1_test18!C68,Final_48_team_stats!B:B,Final_48_team_stats!J:J)))</f>
        <v>12.6666666666667</v>
      </c>
      <c r="F68">
        <f>ABS(SUM(_xlfn.XLOOKUP(B68,Final_48_team_stats!B:B,Final_48_team_stats!K:K)-_xlfn.XLOOKUP(C68,Final_48_team_stats!B:B,Final_48_team_stats!K:K)))</f>
        <v>37.5555555555556</v>
      </c>
      <c r="G68">
        <v>3</v>
      </c>
      <c r="H68">
        <v>565000</v>
      </c>
      <c r="I68">
        <v>63</v>
      </c>
      <c r="J68">
        <v>0.32</v>
      </c>
      <c r="K68">
        <f>ABS(SUM(_xlfn.XLOOKUP(B68,Final_48_team_stats!B:B,Final_48_team_stats!I:I)-(_xlfn.XLOOKUP(C68,Final_48_team_stats!B:B,Final_48_team_stats!I:I))))</f>
        <v>26.9166666666666</v>
      </c>
      <c r="L68">
        <f>ABS(SUM(_xlfn.XLOOKUP(B68,Final_48_team_stats!B:B,Final_48_team_stats!H:H)-(_xlfn.XLOOKUP(C68,Final_48_team_stats!B:B,Final_48_team_stats!H:H))))</f>
        <v>9.1805555555555998</v>
      </c>
      <c r="M68">
        <f>ABS(SUM(_xlfn.XLOOKUP(B68,Final_48_team_stats!B:B,Final_48_team_stats!Q:Q)-(_xlfn.XLOOKUP(C68,Final_48_team_stats!B:B,Final_48_team_stats!Q:Q))))</f>
        <v>1.2466961706312632E-2</v>
      </c>
      <c r="N68">
        <f>ABS(SUM(_xlfn.XLOOKUP(B68,Final_48_team_stats!B:B,Final_48_team_stats!G:G)-(_xlfn.XLOOKUP(C68,Final_48_team_stats!B:B,Final_48_team_stats!G:G))))</f>
        <v>1.5</v>
      </c>
      <c r="O68">
        <v>1</v>
      </c>
    </row>
    <row r="69" spans="1:15" x14ac:dyDescent="0.45">
      <c r="A69" t="s">
        <v>409</v>
      </c>
      <c r="B69" t="s">
        <v>315</v>
      </c>
      <c r="C69" t="s">
        <v>300</v>
      </c>
      <c r="D69" s="8">
        <f>ABS(SUM(_xlfn.XLOOKUP(B69,Final_48_team_stats!B:B,Final_48_team_stats!M:M)-_xlfn.XLOOKUP(C69,Final_48_team_stats!B:B,Final_48_team_stats!M:M)))</f>
        <v>8.5714285714284983</v>
      </c>
      <c r="E69" s="8">
        <f>ABS(SUM(_xlfn.XLOOKUP(B69,Final_48_team_stats!B:B,Final_48_team_stats!J:J)-_xlfn.XLOOKUP(Model_1_test18!C69,Final_48_team_stats!B:B,Final_48_team_stats!J:J)))</f>
        <v>6</v>
      </c>
      <c r="F69">
        <f>ABS(SUM(_xlfn.XLOOKUP(B69,Final_48_team_stats!B:B,Final_48_team_stats!K:K)-_xlfn.XLOOKUP(C69,Final_48_team_stats!B:B,Final_48_team_stats!K:K)))</f>
        <v>52.75</v>
      </c>
      <c r="G69">
        <v>3</v>
      </c>
      <c r="H69">
        <v>5075000</v>
      </c>
      <c r="I69">
        <v>29</v>
      </c>
      <c r="J69">
        <v>0.91</v>
      </c>
      <c r="K69">
        <f>ABS(SUM(_xlfn.XLOOKUP(B69,Final_48_team_stats!B:B,Final_48_team_stats!I:I)-(_xlfn.XLOOKUP(C69,Final_48_team_stats!B:B,Final_48_team_stats!I:I))))</f>
        <v>5.3928571428571033</v>
      </c>
      <c r="L69">
        <f>ABS(SUM(_xlfn.XLOOKUP(B69,Final_48_team_stats!B:B,Final_48_team_stats!H:H)-(_xlfn.XLOOKUP(C69,Final_48_team_stats!B:B,Final_48_team_stats!H:H))))</f>
        <v>30.262626262626299</v>
      </c>
      <c r="M69">
        <f>ABS(SUM(_xlfn.XLOOKUP(B69,Final_48_team_stats!B:B,Final_48_team_stats!Q:Q)-(_xlfn.XLOOKUP(C69,Final_48_team_stats!B:B,Final_48_team_stats!Q:Q))))</f>
        <v>9.6251638798372174E-2</v>
      </c>
      <c r="N69">
        <f>ABS(SUM(_xlfn.XLOOKUP(B69,Final_48_team_stats!B:B,Final_48_team_stats!G:G)-(_xlfn.XLOOKUP(C69,Final_48_team_stats!B:B,Final_48_team_stats!G:G))))</f>
        <v>3.5</v>
      </c>
      <c r="O69">
        <v>2</v>
      </c>
    </row>
    <row r="70" spans="1:15" x14ac:dyDescent="0.45">
      <c r="A70" t="s">
        <v>410</v>
      </c>
      <c r="B70" t="s">
        <v>289</v>
      </c>
      <c r="C70" t="s">
        <v>282</v>
      </c>
      <c r="D70" s="8">
        <f>ABS(SUM(_xlfn.XLOOKUP(B70,Final_48_team_stats!B:B,Final_48_team_stats!M:M)-_xlfn.XLOOKUP(C70,Final_48_team_stats!B:B,Final_48_team_stats!M:M)))</f>
        <v>8.5357142857141994</v>
      </c>
      <c r="E70" s="8">
        <f>ABS(SUM(_xlfn.XLOOKUP(B70,Final_48_team_stats!B:B,Final_48_team_stats!J:J)-_xlfn.XLOOKUP(Model_1_test18!C70,Final_48_team_stats!B:B,Final_48_team_stats!J:J)))</f>
        <v>6.3333333333333002</v>
      </c>
      <c r="F70">
        <f>ABS(SUM(_xlfn.XLOOKUP(B70,Final_48_team_stats!B:B,Final_48_team_stats!K:K)-_xlfn.XLOOKUP(C70,Final_48_team_stats!B:B,Final_48_team_stats!K:K)))</f>
        <v>10.885714285714201</v>
      </c>
      <c r="G70">
        <v>3</v>
      </c>
      <c r="H70">
        <v>1600000</v>
      </c>
      <c r="I70">
        <v>30</v>
      </c>
      <c r="J70">
        <v>0.76999999999999991</v>
      </c>
      <c r="K70">
        <f>ABS(SUM(_xlfn.XLOOKUP(B70,Final_48_team_stats!B:B,Final_48_team_stats!I:I)-(_xlfn.XLOOKUP(C70,Final_48_team_stats!B:B,Final_48_team_stats!I:I))))</f>
        <v>26.589285714285701</v>
      </c>
      <c r="L70">
        <f>ABS(SUM(_xlfn.XLOOKUP(B70,Final_48_team_stats!B:B,Final_48_team_stats!H:H)-(_xlfn.XLOOKUP(C70,Final_48_team_stats!B:B,Final_48_team_stats!H:H))))</f>
        <v>21</v>
      </c>
      <c r="M70">
        <f>ABS(SUM(_xlfn.XLOOKUP(B70,Final_48_team_stats!B:B,Final_48_team_stats!Q:Q)-(_xlfn.XLOOKUP(C70,Final_48_team_stats!B:B,Final_48_team_stats!Q:Q))))</f>
        <v>1.2249224862155822E-2</v>
      </c>
      <c r="N70">
        <f>ABS(SUM(_xlfn.XLOOKUP(B70,Final_48_team_stats!B:B,Final_48_team_stats!G:G)-(_xlfn.XLOOKUP(C70,Final_48_team_stats!B:B,Final_48_team_stats!G:G))))</f>
        <v>0.5</v>
      </c>
      <c r="O70">
        <v>1</v>
      </c>
    </row>
    <row r="71" spans="1:15" x14ac:dyDescent="0.45">
      <c r="A71" t="s">
        <v>411</v>
      </c>
      <c r="B71" t="s">
        <v>314</v>
      </c>
      <c r="C71" t="s">
        <v>299</v>
      </c>
      <c r="D71" s="8">
        <f>ABS(SUM(_xlfn.XLOOKUP(B71,Final_48_team_stats!B:B,Final_48_team_stats!M:M)-_xlfn.XLOOKUP(C71,Final_48_team_stats!B:B,Final_48_team_stats!M:M)))</f>
        <v>17.166666666666671</v>
      </c>
      <c r="E71" s="8">
        <f>ABS(SUM(_xlfn.XLOOKUP(B71,Final_48_team_stats!B:B,Final_48_team_stats!J:J)-_xlfn.XLOOKUP(Model_1_test18!C71,Final_48_team_stats!B:B,Final_48_team_stats!J:J)))</f>
        <v>44.3333333333333</v>
      </c>
      <c r="F71">
        <f>ABS(SUM(_xlfn.XLOOKUP(B71,Final_48_team_stats!B:B,Final_48_team_stats!K:K)-_xlfn.XLOOKUP(C71,Final_48_team_stats!B:B,Final_48_team_stats!K:K)))</f>
        <v>11.375</v>
      </c>
      <c r="G71">
        <v>3</v>
      </c>
      <c r="H71">
        <v>2000000</v>
      </c>
      <c r="I71">
        <v>8</v>
      </c>
      <c r="J71">
        <v>1.9800000000000002</v>
      </c>
      <c r="K71">
        <f>ABS(SUM(_xlfn.XLOOKUP(B71,Final_48_team_stats!B:B,Final_48_team_stats!I:I)-(_xlfn.XLOOKUP(C71,Final_48_team_stats!B:B,Final_48_team_stats!I:I))))</f>
        <v>33.2916666666667</v>
      </c>
      <c r="L71">
        <f>ABS(SUM(_xlfn.XLOOKUP(B71,Final_48_team_stats!B:B,Final_48_team_stats!H:H)-(_xlfn.XLOOKUP(C71,Final_48_team_stats!B:B,Final_48_team_stats!H:H))))</f>
        <v>4</v>
      </c>
      <c r="M71">
        <f>ABS(SUM(_xlfn.XLOOKUP(B71,Final_48_team_stats!B:B,Final_48_team_stats!Q:Q)-(_xlfn.XLOOKUP(C71,Final_48_team_stats!B:B,Final_48_team_stats!Q:Q))))</f>
        <v>0.11962902905552981</v>
      </c>
      <c r="N71">
        <f>ABS(SUM(_xlfn.XLOOKUP(B71,Final_48_team_stats!B:B,Final_48_team_stats!G:G)-(_xlfn.XLOOKUP(C71,Final_48_team_stats!B:B,Final_48_team_stats!G:G))))</f>
        <v>2.5</v>
      </c>
      <c r="O71">
        <v>0</v>
      </c>
    </row>
    <row r="72" spans="1:15" x14ac:dyDescent="0.45">
      <c r="A72" t="s">
        <v>412</v>
      </c>
      <c r="B72" t="s">
        <v>324</v>
      </c>
      <c r="C72" t="s">
        <v>302</v>
      </c>
      <c r="D72" s="8">
        <f>ABS(SUM(_xlfn.XLOOKUP(B72,Final_48_team_stats!B:B,Final_48_team_stats!M:M)-_xlfn.XLOOKUP(C72,Final_48_team_stats!B:B,Final_48_team_stats!M:M)))</f>
        <v>15.80952380952375</v>
      </c>
      <c r="E72" s="8">
        <f>ABS(SUM(_xlfn.XLOOKUP(B72,Final_48_team_stats!B:B,Final_48_team_stats!J:J)-_xlfn.XLOOKUP(Model_1_test18!C72,Final_48_team_stats!B:B,Final_48_team_stats!J:J)))</f>
        <v>5.6666666666666003</v>
      </c>
      <c r="F72">
        <f>ABS(SUM(_xlfn.XLOOKUP(B72,Final_48_team_stats!B:B,Final_48_team_stats!K:K)-_xlfn.XLOOKUP(C72,Final_48_team_stats!B:B,Final_48_team_stats!K:K)))</f>
        <v>4.8250000000000028</v>
      </c>
      <c r="G72">
        <v>3</v>
      </c>
      <c r="H72">
        <v>3570000</v>
      </c>
      <c r="I72">
        <v>4</v>
      </c>
      <c r="J72">
        <v>0.17999999999999994</v>
      </c>
      <c r="K72">
        <f>ABS(SUM(_xlfn.XLOOKUP(B72,Final_48_team_stats!B:B,Final_48_team_stats!I:I)-(_xlfn.XLOOKUP(C72,Final_48_team_stats!B:B,Final_48_team_stats!I:I))))</f>
        <v>24.047619047619101</v>
      </c>
      <c r="L72">
        <f>ABS(SUM(_xlfn.XLOOKUP(B72,Final_48_team_stats!B:B,Final_48_team_stats!H:H)-(_xlfn.XLOOKUP(C72,Final_48_team_stats!B:B,Final_48_team_stats!H:H))))</f>
        <v>7</v>
      </c>
      <c r="M72">
        <f>ABS(SUM(_xlfn.XLOOKUP(B72,Final_48_team_stats!B:B,Final_48_team_stats!Q:Q)-(_xlfn.XLOOKUP(C72,Final_48_team_stats!B:B,Final_48_team_stats!Q:Q))))</f>
        <v>3.6073653639902142E-2</v>
      </c>
      <c r="N72">
        <f>ABS(SUM(_xlfn.XLOOKUP(B72,Final_48_team_stats!B:B,Final_48_team_stats!G:G)-(_xlfn.XLOOKUP(C72,Final_48_team_stats!B:B,Final_48_team_stats!G:G))))</f>
        <v>1</v>
      </c>
      <c r="O72">
        <v>2</v>
      </c>
    </row>
    <row r="73" spans="1:15" x14ac:dyDescent="0.45">
      <c r="A73" t="s">
        <v>413</v>
      </c>
      <c r="B73" t="s">
        <v>325</v>
      </c>
      <c r="C73" t="s">
        <v>298</v>
      </c>
      <c r="D73" s="8">
        <f>ABS(SUM(_xlfn.XLOOKUP(B73,Final_48_team_stats!B:B,Final_48_team_stats!M:M)-_xlfn.XLOOKUP(C73,Final_48_team_stats!B:B,Final_48_team_stats!M:M)))</f>
        <v>8.75</v>
      </c>
      <c r="E73" s="8">
        <f>ABS(SUM(_xlfn.XLOOKUP(B73,Final_48_team_stats!B:B,Final_48_team_stats!J:J)-_xlfn.XLOOKUP(Model_1_test18!C73,Final_48_team_stats!B:B,Final_48_team_stats!J:J)))</f>
        <v>11.666666666666639</v>
      </c>
      <c r="F73">
        <f>ABS(SUM(_xlfn.XLOOKUP(B73,Final_48_team_stats!B:B,Final_48_team_stats!K:K)-_xlfn.XLOOKUP(C73,Final_48_team_stats!B:B,Final_48_team_stats!K:K)))</f>
        <v>8.8311688311687959</v>
      </c>
      <c r="G73">
        <v>3</v>
      </c>
      <c r="H73">
        <v>120000</v>
      </c>
      <c r="I73">
        <v>4</v>
      </c>
      <c r="J73">
        <v>1.3699999999999999</v>
      </c>
      <c r="K73">
        <f>ABS(SUM(_xlfn.XLOOKUP(B73,Final_48_team_stats!B:B,Final_48_team_stats!I:I)-(_xlfn.XLOOKUP(C73,Final_48_team_stats!B:B,Final_48_team_stats!I:I))))</f>
        <v>36.857142857142904</v>
      </c>
      <c r="L73">
        <f>ABS(SUM(_xlfn.XLOOKUP(B73,Final_48_team_stats!B:B,Final_48_team_stats!H:H)-(_xlfn.XLOOKUP(C73,Final_48_team_stats!B:B,Final_48_team_stats!H:H))))</f>
        <v>1.625</v>
      </c>
      <c r="M73">
        <f>ABS(SUM(_xlfn.XLOOKUP(B73,Final_48_team_stats!B:B,Final_48_team_stats!Q:Q)-(_xlfn.XLOOKUP(C73,Final_48_team_stats!B:B,Final_48_team_stats!Q:Q))))</f>
        <v>1.2617582777312425E-2</v>
      </c>
      <c r="N73">
        <f>ABS(SUM(_xlfn.XLOOKUP(B73,Final_48_team_stats!B:B,Final_48_team_stats!G:G)-(_xlfn.XLOOKUP(C73,Final_48_team_stats!B:B,Final_48_team_stats!G:G))))</f>
        <v>2</v>
      </c>
      <c r="O73">
        <v>0</v>
      </c>
    </row>
    <row r="74" spans="1:15" x14ac:dyDescent="0.45">
      <c r="A74" t="s">
        <v>414</v>
      </c>
      <c r="B74" t="s">
        <v>312</v>
      </c>
      <c r="C74" t="s">
        <v>297</v>
      </c>
      <c r="D74" s="8">
        <f>ABS(SUM(_xlfn.XLOOKUP(B74,Final_48_team_stats!B:B,Final_48_team_stats!M:M)-_xlfn.XLOOKUP(C74,Final_48_team_stats!B:B,Final_48_team_stats!M:M)))</f>
        <v>13.8095238095238</v>
      </c>
      <c r="E74" s="8">
        <f>ABS(SUM(_xlfn.XLOOKUP(B74,Final_48_team_stats!B:B,Final_48_team_stats!J:J)-_xlfn.XLOOKUP(Model_1_test18!C74,Final_48_team_stats!B:B,Final_48_team_stats!J:J)))</f>
        <v>7</v>
      </c>
      <c r="F74">
        <f>ABS(SUM(_xlfn.XLOOKUP(B74,Final_48_team_stats!B:B,Final_48_team_stats!K:K)-_xlfn.XLOOKUP(C74,Final_48_team_stats!B:B,Final_48_team_stats!K:K)))</f>
        <v>13.375</v>
      </c>
      <c r="G74">
        <v>4</v>
      </c>
      <c r="H74">
        <v>2700000</v>
      </c>
      <c r="I74">
        <v>60</v>
      </c>
      <c r="J74">
        <v>1.2399999999999998</v>
      </c>
      <c r="K74">
        <f>ABS(SUM(_xlfn.XLOOKUP(B74,Final_48_team_stats!B:B,Final_48_team_stats!I:I)-(_xlfn.XLOOKUP(C74,Final_48_team_stats!B:B,Final_48_team_stats!I:I))))</f>
        <v>2.5238095238094971</v>
      </c>
      <c r="L74">
        <f>ABS(SUM(_xlfn.XLOOKUP(B74,Final_48_team_stats!B:B,Final_48_team_stats!H:H)-(_xlfn.XLOOKUP(C74,Final_48_team_stats!B:B,Final_48_team_stats!H:H))))</f>
        <v>9.2777777777777999</v>
      </c>
      <c r="M74">
        <f>ABS(SUM(_xlfn.XLOOKUP(B74,Final_48_team_stats!B:B,Final_48_team_stats!Q:Q)-(_xlfn.XLOOKUP(C74,Final_48_team_stats!B:B,Final_48_team_stats!Q:Q))))</f>
        <v>9.1709887029228915E-2</v>
      </c>
      <c r="N74">
        <f>ABS(SUM(_xlfn.XLOOKUP(B74,Final_48_team_stats!B:B,Final_48_team_stats!G:G)-(_xlfn.XLOOKUP(C74,Final_48_team_stats!B:B,Final_48_team_stats!G:G))))</f>
        <v>0.5</v>
      </c>
      <c r="O74">
        <v>2</v>
      </c>
    </row>
    <row r="75" spans="1:15" x14ac:dyDescent="0.45">
      <c r="A75" t="s">
        <v>415</v>
      </c>
      <c r="B75" t="s">
        <v>287</v>
      </c>
      <c r="C75" t="s">
        <v>320</v>
      </c>
      <c r="D75" s="8">
        <f>ABS(SUM(_xlfn.XLOOKUP(B75,Final_48_team_stats!B:B,Final_48_team_stats!M:M)-_xlfn.XLOOKUP(C75,Final_48_team_stats!B:B,Final_48_team_stats!M:M)))</f>
        <v>4.6666666666666696</v>
      </c>
      <c r="E75" s="8">
        <f>ABS(SUM(_xlfn.XLOOKUP(B75,Final_48_team_stats!B:B,Final_48_team_stats!J:J)-_xlfn.XLOOKUP(Model_1_test18!C75,Final_48_team_stats!B:B,Final_48_team_stats!J:J)))</f>
        <v>34</v>
      </c>
      <c r="F75">
        <f>ABS(SUM(_xlfn.XLOOKUP(B75,Final_48_team_stats!B:B,Final_48_team_stats!K:K)-_xlfn.XLOOKUP(C75,Final_48_team_stats!B:B,Final_48_team_stats!K:K)))</f>
        <v>2.2323232323231998</v>
      </c>
      <c r="G75">
        <v>4</v>
      </c>
      <c r="H75">
        <v>2300000</v>
      </c>
      <c r="I75">
        <v>30</v>
      </c>
      <c r="J75">
        <v>1.7399999999999998</v>
      </c>
      <c r="K75">
        <f>ABS(SUM(_xlfn.XLOOKUP(B75,Final_48_team_stats!B:B,Final_48_team_stats!I:I)-(_xlfn.XLOOKUP(C75,Final_48_team_stats!B:B,Final_48_team_stats!I:I))))</f>
        <v>4.25</v>
      </c>
      <c r="L75">
        <f>ABS(SUM(_xlfn.XLOOKUP(B75,Final_48_team_stats!B:B,Final_48_team_stats!H:H)-(_xlfn.XLOOKUP(C75,Final_48_team_stats!B:B,Final_48_team_stats!H:H))))</f>
        <v>6</v>
      </c>
      <c r="M75">
        <f>ABS(SUM(_xlfn.XLOOKUP(B75,Final_48_team_stats!B:B,Final_48_team_stats!Q:Q)-(_xlfn.XLOOKUP(C75,Final_48_team_stats!B:B,Final_48_team_stats!Q:Q))))</f>
        <v>4.7595988735490063E-2</v>
      </c>
      <c r="N75">
        <f>ABS(SUM(_xlfn.XLOOKUP(B75,Final_48_team_stats!B:B,Final_48_team_stats!G:G)-(_xlfn.XLOOKUP(C75,Final_48_team_stats!B:B,Final_48_team_stats!G:G))))</f>
        <v>1.5</v>
      </c>
      <c r="O75">
        <v>0</v>
      </c>
    </row>
    <row r="76" spans="1:15" x14ac:dyDescent="0.45">
      <c r="A76" t="s">
        <v>416</v>
      </c>
      <c r="B76" t="s">
        <v>288</v>
      </c>
      <c r="C76" t="s">
        <v>313</v>
      </c>
      <c r="D76" s="8">
        <f>ABS(SUM(_xlfn.XLOOKUP(B76,Final_48_team_stats!B:B,Final_48_team_stats!M:M)-_xlfn.XLOOKUP(C76,Final_48_team_stats!B:B,Final_48_team_stats!M:M)))</f>
        <v>3.0857142857142001</v>
      </c>
      <c r="E76" s="8">
        <f>ABS(SUM(_xlfn.XLOOKUP(B76,Final_48_team_stats!B:B,Final_48_team_stats!J:J)-_xlfn.XLOOKUP(Model_1_test18!C76,Final_48_team_stats!B:B,Final_48_team_stats!J:J)))</f>
        <v>34.3333333333333</v>
      </c>
      <c r="F76">
        <f>ABS(SUM(_xlfn.XLOOKUP(B76,Final_48_team_stats!B:B,Final_48_team_stats!K:K)-_xlfn.XLOOKUP(C76,Final_48_team_stats!B:B,Final_48_team_stats!K:K)))</f>
        <v>3.4722222222222996</v>
      </c>
      <c r="G76">
        <v>4</v>
      </c>
      <c r="H76">
        <v>2225000</v>
      </c>
      <c r="I76">
        <v>1</v>
      </c>
      <c r="J76">
        <v>1.2200000000000002</v>
      </c>
      <c r="K76">
        <f>ABS(SUM(_xlfn.XLOOKUP(B76,Final_48_team_stats!B:B,Final_48_team_stats!I:I)-(_xlfn.XLOOKUP(C76,Final_48_team_stats!B:B,Final_48_team_stats!I:I))))</f>
        <v>14.257142857142796</v>
      </c>
      <c r="L76">
        <f>ABS(SUM(_xlfn.XLOOKUP(B76,Final_48_team_stats!B:B,Final_48_team_stats!H:H)-(_xlfn.XLOOKUP(C76,Final_48_team_stats!B:B,Final_48_team_stats!H:H))))</f>
        <v>16.1666666666667</v>
      </c>
      <c r="M76">
        <f>ABS(SUM(_xlfn.XLOOKUP(B76,Final_48_team_stats!B:B,Final_48_team_stats!Q:Q)-(_xlfn.XLOOKUP(C76,Final_48_team_stats!B:B,Final_48_team_stats!Q:Q))))</f>
        <v>3.7299202300250606E-2</v>
      </c>
      <c r="N76">
        <f>ABS(SUM(_xlfn.XLOOKUP(B76,Final_48_team_stats!B:B,Final_48_team_stats!G:G)-(_xlfn.XLOOKUP(C76,Final_48_team_stats!B:B,Final_48_team_stats!G:G))))</f>
        <v>1.5</v>
      </c>
      <c r="O76">
        <v>0</v>
      </c>
    </row>
    <row r="77" spans="1:15" x14ac:dyDescent="0.45">
      <c r="A77" t="s">
        <v>417</v>
      </c>
      <c r="B77" t="s">
        <v>284</v>
      </c>
      <c r="C77" t="s">
        <v>319</v>
      </c>
      <c r="D77" s="8">
        <f>ABS(SUM(_xlfn.XLOOKUP(B77,Final_48_team_stats!B:B,Final_48_team_stats!M:M)-_xlfn.XLOOKUP(C77,Final_48_team_stats!B:B,Final_48_team_stats!M:M)))</f>
        <v>6.1555555555554999</v>
      </c>
      <c r="E77" s="8">
        <f>ABS(SUM(_xlfn.XLOOKUP(B77,Final_48_team_stats!B:B,Final_48_team_stats!J:J)-_xlfn.XLOOKUP(Model_1_test18!C77,Final_48_team_stats!B:B,Final_48_team_stats!J:J)))</f>
        <v>27.3333333333333</v>
      </c>
      <c r="F77">
        <f>ABS(SUM(_xlfn.XLOOKUP(B77,Final_48_team_stats!B:B,Final_48_team_stats!K:K)-_xlfn.XLOOKUP(C77,Final_48_team_stats!B:B,Final_48_team_stats!K:K)))</f>
        <v>0.77777777777779988</v>
      </c>
      <c r="G77">
        <v>4</v>
      </c>
      <c r="H77">
        <v>8635000</v>
      </c>
      <c r="I77">
        <v>12</v>
      </c>
      <c r="J77">
        <v>1.1399999999999999</v>
      </c>
      <c r="K77">
        <f>ABS(SUM(_xlfn.XLOOKUP(B77,Final_48_team_stats!B:B,Final_48_team_stats!I:I)-(_xlfn.XLOOKUP(C77,Final_48_team_stats!B:B,Final_48_team_stats!I:I))))</f>
        <v>18.533333333333299</v>
      </c>
      <c r="L77">
        <f>ABS(SUM(_xlfn.XLOOKUP(B77,Final_48_team_stats!B:B,Final_48_team_stats!H:H)-(_xlfn.XLOOKUP(C77,Final_48_team_stats!B:B,Final_48_team_stats!H:H))))</f>
        <v>5.125</v>
      </c>
      <c r="M77">
        <f>ABS(SUM(_xlfn.XLOOKUP(B77,Final_48_team_stats!B:B,Final_48_team_stats!Q:Q)-(_xlfn.XLOOKUP(C77,Final_48_team_stats!B:B,Final_48_team_stats!Q:Q))))</f>
        <v>2.7747909854951625E-2</v>
      </c>
      <c r="N77">
        <f>ABS(SUM(_xlfn.XLOOKUP(B77,Final_48_team_stats!B:B,Final_48_team_stats!G:G)-(_xlfn.XLOOKUP(C77,Final_48_team_stats!B:B,Final_48_team_stats!G:G))))</f>
        <v>1.5</v>
      </c>
      <c r="O77">
        <v>1</v>
      </c>
    </row>
    <row r="78" spans="1:15" x14ac:dyDescent="0.45">
      <c r="A78" t="s">
        <v>418</v>
      </c>
      <c r="B78" t="s">
        <v>292</v>
      </c>
      <c r="C78" t="s">
        <v>311</v>
      </c>
      <c r="D78" s="8">
        <f>ABS(SUM(_xlfn.XLOOKUP(B78,Final_48_team_stats!B:B,Final_48_team_stats!M:M)-_xlfn.XLOOKUP(C78,Final_48_team_stats!B:B,Final_48_team_stats!M:M)))</f>
        <v>14.97777777777778</v>
      </c>
      <c r="E78" s="8">
        <f>ABS(SUM(_xlfn.XLOOKUP(B78,Final_48_team_stats!B:B,Final_48_team_stats!J:J)-_xlfn.XLOOKUP(Model_1_test18!C78,Final_48_team_stats!B:B,Final_48_team_stats!J:J)))</f>
        <v>13</v>
      </c>
      <c r="F78">
        <f>ABS(SUM(_xlfn.XLOOKUP(B78,Final_48_team_stats!B:B,Final_48_team_stats!K:K)-_xlfn.XLOOKUP(C78,Final_48_team_stats!B:B,Final_48_team_stats!K:K)))</f>
        <v>12.966666666666598</v>
      </c>
      <c r="G78">
        <v>4</v>
      </c>
      <c r="H78">
        <v>245000</v>
      </c>
      <c r="I78">
        <v>3</v>
      </c>
      <c r="J78">
        <v>0.40999999999999992</v>
      </c>
      <c r="K78">
        <f>ABS(SUM(_xlfn.XLOOKUP(B78,Final_48_team_stats!B:B,Final_48_team_stats!I:I)-(_xlfn.XLOOKUP(C78,Final_48_team_stats!B:B,Final_48_team_stats!I:I))))</f>
        <v>24.066666666666698</v>
      </c>
      <c r="L78">
        <f>ABS(SUM(_xlfn.XLOOKUP(B78,Final_48_team_stats!B:B,Final_48_team_stats!H:H)-(_xlfn.XLOOKUP(C78,Final_48_team_stats!B:B,Final_48_team_stats!H:H))))</f>
        <v>4.375</v>
      </c>
      <c r="M78">
        <f>ABS(SUM(_xlfn.XLOOKUP(B78,Final_48_team_stats!B:B,Final_48_team_stats!Q:Q)-(_xlfn.XLOOKUP(C78,Final_48_team_stats!B:B,Final_48_team_stats!Q:Q))))</f>
        <v>3.2995739678176109E-2</v>
      </c>
      <c r="N78">
        <f>ABS(SUM(_xlfn.XLOOKUP(B78,Final_48_team_stats!B:B,Final_48_team_stats!G:G)-(_xlfn.XLOOKUP(C78,Final_48_team_stats!B:B,Final_48_team_stats!G:G))))</f>
        <v>1.5</v>
      </c>
      <c r="O78">
        <v>1</v>
      </c>
    </row>
    <row r="79" spans="1:15" x14ac:dyDescent="0.45">
      <c r="A79" t="s">
        <v>419</v>
      </c>
      <c r="B79" t="s">
        <v>295</v>
      </c>
      <c r="C79" t="s">
        <v>291</v>
      </c>
      <c r="D79" s="8">
        <f>ABS(SUM(_xlfn.XLOOKUP(B79,Final_48_team_stats!B:B,Final_48_team_stats!M:M)-_xlfn.XLOOKUP(C79,Final_48_team_stats!B:B,Final_48_team_stats!M:M)))</f>
        <v>2.0285714285714</v>
      </c>
      <c r="E79" s="8">
        <f>ABS(SUM(_xlfn.XLOOKUP(B79,Final_48_team_stats!B:B,Final_48_team_stats!J:J)-_xlfn.XLOOKUP(Model_1_test18!C79,Final_48_team_stats!B:B,Final_48_team_stats!J:J)))</f>
        <v>2.6666666666666003</v>
      </c>
      <c r="F79">
        <f>ABS(SUM(_xlfn.XLOOKUP(B79,Final_48_team_stats!B:B,Final_48_team_stats!K:K)-_xlfn.XLOOKUP(C79,Final_48_team_stats!B:B,Final_48_team_stats!K:K)))</f>
        <v>9.4285714285715017</v>
      </c>
      <c r="G79">
        <v>4</v>
      </c>
      <c r="H79">
        <v>3220000</v>
      </c>
      <c r="I79">
        <v>37</v>
      </c>
      <c r="J79">
        <v>2.54</v>
      </c>
      <c r="K79">
        <f>ABS(SUM(_xlfn.XLOOKUP(B79,Final_48_team_stats!B:B,Final_48_team_stats!I:I)-(_xlfn.XLOOKUP(C79,Final_48_team_stats!B:B,Final_48_team_stats!I:I))))</f>
        <v>7.5428571428571018</v>
      </c>
      <c r="L79">
        <f>ABS(SUM(_xlfn.XLOOKUP(B79,Final_48_team_stats!B:B,Final_48_team_stats!H:H)-(_xlfn.XLOOKUP(C79,Final_48_team_stats!B:B,Final_48_team_stats!H:H))))</f>
        <v>15.616161616161602</v>
      </c>
      <c r="M79">
        <f>ABS(SUM(_xlfn.XLOOKUP(B79,Final_48_team_stats!B:B,Final_48_team_stats!Q:Q)-(_xlfn.XLOOKUP(C79,Final_48_team_stats!B:B,Final_48_team_stats!Q:Q))))</f>
        <v>7.0784653887037696E-4</v>
      </c>
      <c r="N79">
        <f>ABS(SUM(_xlfn.XLOOKUP(B79,Final_48_team_stats!B:B,Final_48_team_stats!G:G)-(_xlfn.XLOOKUP(C79,Final_48_team_stats!B:B,Final_48_team_stats!G:G))))</f>
        <v>0</v>
      </c>
      <c r="O79">
        <v>3</v>
      </c>
    </row>
    <row r="80" spans="1:15" x14ac:dyDescent="0.45">
      <c r="A80" t="s">
        <v>420</v>
      </c>
      <c r="B80" t="s">
        <v>280</v>
      </c>
      <c r="C80" t="s">
        <v>309</v>
      </c>
      <c r="D80" s="8">
        <f>ABS(SUM(_xlfn.XLOOKUP(B80,Final_48_team_stats!B:B,Final_48_team_stats!M:M)-_xlfn.XLOOKUP(C80,Final_48_team_stats!B:B,Final_48_team_stats!M:M)))</f>
        <v>0.83928571428570997</v>
      </c>
      <c r="E80" s="8">
        <f>ABS(SUM(_xlfn.XLOOKUP(B80,Final_48_team_stats!B:B,Final_48_team_stats!J:J)-_xlfn.XLOOKUP(Model_1_test18!C80,Final_48_team_stats!B:B,Final_48_team_stats!J:J)))</f>
        <v>42.3333333333333</v>
      </c>
      <c r="F80">
        <f>ABS(SUM(_xlfn.XLOOKUP(B80,Final_48_team_stats!B:B,Final_48_team_stats!K:K)-_xlfn.XLOOKUP(C80,Final_48_team_stats!B:B,Final_48_team_stats!K:K)))</f>
        <v>6.125</v>
      </c>
      <c r="G80">
        <v>4</v>
      </c>
      <c r="H80">
        <v>500000</v>
      </c>
      <c r="I80">
        <v>8</v>
      </c>
      <c r="J80">
        <v>0.30000000000000004</v>
      </c>
      <c r="K80">
        <f>ABS(SUM(_xlfn.XLOOKUP(B80,Final_48_team_stats!B:B,Final_48_team_stats!I:I)-(_xlfn.XLOOKUP(C80,Final_48_team_stats!B:B,Final_48_team_stats!I:I))))</f>
        <v>9.3392857142858006</v>
      </c>
      <c r="L80">
        <f>ABS(SUM(_xlfn.XLOOKUP(B80,Final_48_team_stats!B:B,Final_48_team_stats!H:H)-(_xlfn.XLOOKUP(C80,Final_48_team_stats!B:B,Final_48_team_stats!H:H))))</f>
        <v>27.517857142857103</v>
      </c>
      <c r="M80">
        <f>ABS(SUM(_xlfn.XLOOKUP(B80,Final_48_team_stats!B:B,Final_48_team_stats!Q:Q)-(_xlfn.XLOOKUP(C80,Final_48_team_stats!B:B,Final_48_team_stats!Q:Q))))</f>
        <v>2.7743350787017021E-2</v>
      </c>
      <c r="N80">
        <f>ABS(SUM(_xlfn.XLOOKUP(B80,Final_48_team_stats!B:B,Final_48_team_stats!G:G)-(_xlfn.XLOOKUP(C80,Final_48_team_stats!B:B,Final_48_team_stats!G:G))))</f>
        <v>3</v>
      </c>
      <c r="O80">
        <v>2</v>
      </c>
    </row>
    <row r="81" spans="1:15" x14ac:dyDescent="0.45">
      <c r="A81" t="s">
        <v>421</v>
      </c>
      <c r="B81" t="s">
        <v>300</v>
      </c>
      <c r="C81" t="s">
        <v>324</v>
      </c>
      <c r="D81" s="8">
        <f>ABS(SUM(_xlfn.XLOOKUP(B81,Final_48_team_stats!B:B,Final_48_team_stats!M:M)-_xlfn.XLOOKUP(C81,Final_48_team_stats!B:B,Final_48_team_stats!M:M)))</f>
        <v>9.7142857142856478</v>
      </c>
      <c r="E81" s="8">
        <f>ABS(SUM(_xlfn.XLOOKUP(B81,Final_48_team_stats!B:B,Final_48_team_stats!J:J)-_xlfn.XLOOKUP(Model_1_test18!C81,Final_48_team_stats!B:B,Final_48_team_stats!J:J)))</f>
        <v>19.3333333333333</v>
      </c>
      <c r="F81">
        <f>ABS(SUM(_xlfn.XLOOKUP(B81,Final_48_team_stats!B:B,Final_48_team_stats!K:K)-_xlfn.XLOOKUP(C81,Final_48_team_stats!B:B,Final_48_team_stats!K:K)))</f>
        <v>7.625</v>
      </c>
      <c r="G81">
        <v>4</v>
      </c>
      <c r="H81">
        <v>5370000</v>
      </c>
      <c r="I81">
        <v>42</v>
      </c>
      <c r="J81">
        <v>1.3900000000000001</v>
      </c>
      <c r="K81">
        <f>ABS(SUM(_xlfn.XLOOKUP(B81,Final_48_team_stats!B:B,Final_48_team_stats!I:I)-(_xlfn.XLOOKUP(C81,Final_48_team_stats!B:B,Final_48_team_stats!I:I))))</f>
        <v>3.8571428571429038</v>
      </c>
      <c r="L81">
        <f>ABS(SUM(_xlfn.XLOOKUP(B81,Final_48_team_stats!B:B,Final_48_team_stats!H:H)-(_xlfn.XLOOKUP(C81,Final_48_team_stats!B:B,Final_48_team_stats!H:H))))</f>
        <v>10.9444444444445</v>
      </c>
      <c r="M81">
        <f>ABS(SUM(_xlfn.XLOOKUP(B81,Final_48_team_stats!B:B,Final_48_team_stats!Q:Q)-(_xlfn.XLOOKUP(C81,Final_48_team_stats!B:B,Final_48_team_stats!Q:Q))))</f>
        <v>7.5001651026938759E-2</v>
      </c>
      <c r="N81">
        <f>ABS(SUM(_xlfn.XLOOKUP(B81,Final_48_team_stats!B:B,Final_48_team_stats!G:G)-(_xlfn.XLOOKUP(C81,Final_48_team_stats!B:B,Final_48_team_stats!G:G))))</f>
        <v>3</v>
      </c>
      <c r="O81">
        <v>1</v>
      </c>
    </row>
    <row r="82" spans="1:15" x14ac:dyDescent="0.45">
      <c r="A82" t="s">
        <v>422</v>
      </c>
      <c r="B82" t="s">
        <v>290</v>
      </c>
      <c r="C82" t="s">
        <v>318</v>
      </c>
      <c r="D82" s="8">
        <f>ABS(SUM(_xlfn.XLOOKUP(B82,Final_48_team_stats!B:B,Final_48_team_stats!M:M)-_xlfn.XLOOKUP(C82,Final_48_team_stats!B:B,Final_48_team_stats!M:M)))</f>
        <v>8.2916666666666003</v>
      </c>
      <c r="E82" s="8">
        <f>ABS(SUM(_xlfn.XLOOKUP(B82,Final_48_team_stats!B:B,Final_48_team_stats!J:J)-_xlfn.XLOOKUP(Model_1_test18!C82,Final_48_team_stats!B:B,Final_48_team_stats!J:J)))</f>
        <v>15.3333333333334</v>
      </c>
      <c r="F82">
        <f>ABS(SUM(_xlfn.XLOOKUP(B82,Final_48_team_stats!B:B,Final_48_team_stats!K:K)-_xlfn.XLOOKUP(C82,Final_48_team_stats!B:B,Final_48_team_stats!K:K)))</f>
        <v>11.196428571428598</v>
      </c>
      <c r="G82">
        <v>4</v>
      </c>
      <c r="H82">
        <v>780000</v>
      </c>
      <c r="I82">
        <v>5</v>
      </c>
      <c r="J82">
        <v>1.84</v>
      </c>
      <c r="K82">
        <f>ABS(SUM(_xlfn.XLOOKUP(B82,Final_48_team_stats!B:B,Final_48_team_stats!I:I)-(_xlfn.XLOOKUP(C82,Final_48_team_stats!B:B,Final_48_team_stats!I:I))))</f>
        <v>4</v>
      </c>
      <c r="L82">
        <f>ABS(SUM(_xlfn.XLOOKUP(B82,Final_48_team_stats!B:B,Final_48_team_stats!H:H)-(_xlfn.XLOOKUP(C82,Final_48_team_stats!B:B,Final_48_team_stats!H:H))))</f>
        <v>8.6805555555555998</v>
      </c>
      <c r="M82">
        <f>ABS(SUM(_xlfn.XLOOKUP(B82,Final_48_team_stats!B:B,Final_48_team_stats!Q:Q)-(_xlfn.XLOOKUP(C82,Final_48_team_stats!B:B,Final_48_team_stats!Q:Q))))</f>
        <v>6.7403506688650083E-2</v>
      </c>
      <c r="N82">
        <f>ABS(SUM(_xlfn.XLOOKUP(B82,Final_48_team_stats!B:B,Final_48_team_stats!G:G)-(_xlfn.XLOOKUP(C82,Final_48_team_stats!B:B,Final_48_team_stats!G:G))))</f>
        <v>0.5</v>
      </c>
      <c r="O82">
        <v>1</v>
      </c>
    </row>
    <row r="83" spans="1:15" x14ac:dyDescent="0.45">
      <c r="A83" t="s">
        <v>423</v>
      </c>
      <c r="B83" t="s">
        <v>8</v>
      </c>
      <c r="C83" t="s">
        <v>316</v>
      </c>
      <c r="D83" s="8">
        <f>ABS(SUM(_xlfn.XLOOKUP(B83,Final_48_team_stats!B:B,Final_48_team_stats!M:M)-_xlfn.XLOOKUP(C83,Final_48_team_stats!B:B,Final_48_team_stats!M:M)))</f>
        <v>0.5714285714285996</v>
      </c>
      <c r="E83" s="8">
        <f>ABS(SUM(_xlfn.XLOOKUP(B83,Final_48_team_stats!B:B,Final_48_team_stats!J:J)-_xlfn.XLOOKUP(Model_1_test18!C83,Final_48_team_stats!B:B,Final_48_team_stats!J:J)))</f>
        <v>13.666666666666639</v>
      </c>
      <c r="F83">
        <f>ABS(SUM(_xlfn.XLOOKUP(B83,Final_48_team_stats!B:B,Final_48_team_stats!K:K)-_xlfn.XLOOKUP(C83,Final_48_team_stats!B:B,Final_48_team_stats!K:K)))</f>
        <v>22.9583333333333</v>
      </c>
      <c r="G83">
        <v>4</v>
      </c>
      <c r="H83">
        <v>4970000</v>
      </c>
      <c r="I83">
        <v>49</v>
      </c>
      <c r="J83">
        <v>0.63</v>
      </c>
      <c r="K83">
        <f>ABS(SUM(_xlfn.XLOOKUP(B83,Final_48_team_stats!B:B,Final_48_team_stats!I:I)-(_xlfn.XLOOKUP(C83,Final_48_team_stats!B:B,Final_48_team_stats!I:I))))</f>
        <v>7.5714285714285978</v>
      </c>
      <c r="L83">
        <f>ABS(SUM(_xlfn.XLOOKUP(B83,Final_48_team_stats!B:B,Final_48_team_stats!H:H)-(_xlfn.XLOOKUP(C83,Final_48_team_stats!B:B,Final_48_team_stats!H:H))))</f>
        <v>12.475000000000001</v>
      </c>
      <c r="M83">
        <f>ABS(SUM(_xlfn.XLOOKUP(B83,Final_48_team_stats!B:B,Final_48_team_stats!Q:Q)-(_xlfn.XLOOKUP(C83,Final_48_team_stats!B:B,Final_48_team_stats!Q:Q))))</f>
        <v>2.5841264534731873E-2</v>
      </c>
      <c r="N83">
        <f>ABS(SUM(_xlfn.XLOOKUP(B83,Final_48_team_stats!B:B,Final_48_team_stats!G:G)-(_xlfn.XLOOKUP(C83,Final_48_team_stats!B:B,Final_48_team_stats!G:G))))</f>
        <v>0.5</v>
      </c>
      <c r="O83">
        <v>2</v>
      </c>
    </row>
    <row r="84" spans="1:15" x14ac:dyDescent="0.45">
      <c r="A84" t="s">
        <v>424</v>
      </c>
      <c r="B84" t="s">
        <v>293</v>
      </c>
      <c r="C84" t="s">
        <v>298</v>
      </c>
      <c r="D84" s="8">
        <f>ABS(SUM(_xlfn.XLOOKUP(B84,Final_48_team_stats!B:B,Final_48_team_stats!M:M)-_xlfn.XLOOKUP(C84,Final_48_team_stats!B:B,Final_48_team_stats!M:M)))</f>
        <v>10</v>
      </c>
      <c r="E84" s="8">
        <f>ABS(SUM(_xlfn.XLOOKUP(B84,Final_48_team_stats!B:B,Final_48_team_stats!J:J)-_xlfn.XLOOKUP(Model_1_test18!C84,Final_48_team_stats!B:B,Final_48_team_stats!J:J)))</f>
        <v>8</v>
      </c>
      <c r="F84">
        <f>ABS(SUM(_xlfn.XLOOKUP(B84,Final_48_team_stats!B:B,Final_48_team_stats!K:K)-_xlfn.XLOOKUP(C84,Final_48_team_stats!B:B,Final_48_team_stats!K:K)))</f>
        <v>3.2597402597402976</v>
      </c>
      <c r="G84">
        <v>4</v>
      </c>
      <c r="H84">
        <v>500000</v>
      </c>
      <c r="I84">
        <v>22</v>
      </c>
      <c r="J84">
        <v>2.48</v>
      </c>
      <c r="K84">
        <f>ABS(SUM(_xlfn.XLOOKUP(B84,Final_48_team_stats!B:B,Final_48_team_stats!I:I)-(_xlfn.XLOOKUP(C84,Final_48_team_stats!B:B,Final_48_team_stats!I:I))))</f>
        <v>37</v>
      </c>
      <c r="L84">
        <f>ABS(SUM(_xlfn.XLOOKUP(B84,Final_48_team_stats!B:B,Final_48_team_stats!H:H)-(_xlfn.XLOOKUP(C84,Final_48_team_stats!B:B,Final_48_team_stats!H:H))))</f>
        <v>17.5</v>
      </c>
      <c r="M84">
        <f>ABS(SUM(_xlfn.XLOOKUP(B84,Final_48_team_stats!B:B,Final_48_team_stats!Q:Q)-(_xlfn.XLOOKUP(C84,Final_48_team_stats!B:B,Final_48_team_stats!Q:Q))))</f>
        <v>1.3274960807738656E-2</v>
      </c>
      <c r="N84">
        <f>ABS(SUM(_xlfn.XLOOKUP(B84,Final_48_team_stats!B:B,Final_48_team_stats!G:G)-(_xlfn.XLOOKUP(C84,Final_48_team_stats!B:B,Final_48_team_stats!G:G))))</f>
        <v>1.5</v>
      </c>
      <c r="O84">
        <v>3</v>
      </c>
    </row>
    <row r="85" spans="1:15" x14ac:dyDescent="0.45">
      <c r="A85" t="s">
        <v>425</v>
      </c>
      <c r="B85" t="s">
        <v>299</v>
      </c>
      <c r="C85" t="s">
        <v>323</v>
      </c>
      <c r="D85" s="8">
        <f>ABS(SUM(_xlfn.XLOOKUP(B85,Final_48_team_stats!B:B,Final_48_team_stats!M:M)-_xlfn.XLOOKUP(C85,Final_48_team_stats!B:B,Final_48_team_stats!M:M)))</f>
        <v>9.5</v>
      </c>
      <c r="E85" s="8">
        <f>ABS(SUM(_xlfn.XLOOKUP(B85,Final_48_team_stats!B:B,Final_48_team_stats!J:J)-_xlfn.XLOOKUP(Model_1_test18!C85,Final_48_team_stats!B:B,Final_48_team_stats!J:J)))</f>
        <v>9.3333333333333002</v>
      </c>
      <c r="F85">
        <f>ABS(SUM(_xlfn.XLOOKUP(B85,Final_48_team_stats!B:B,Final_48_team_stats!K:K)-_xlfn.XLOOKUP(C85,Final_48_team_stats!B:B,Final_48_team_stats!K:K)))</f>
        <v>1.7222222222222001</v>
      </c>
      <c r="G85">
        <v>4</v>
      </c>
      <c r="H85">
        <v>2500000</v>
      </c>
      <c r="I85">
        <v>6</v>
      </c>
      <c r="J85">
        <v>0.8600000000000001</v>
      </c>
      <c r="K85">
        <f>ABS(SUM(_xlfn.XLOOKUP(B85,Final_48_team_stats!B:B,Final_48_team_stats!I:I)-(_xlfn.XLOOKUP(C85,Final_48_team_stats!B:B,Final_48_team_stats!I:I))))</f>
        <v>1.5416666666666003</v>
      </c>
      <c r="L85">
        <f>ABS(SUM(_xlfn.XLOOKUP(B85,Final_48_team_stats!B:B,Final_48_team_stats!H:H)-(_xlfn.XLOOKUP(C85,Final_48_team_stats!B:B,Final_48_team_stats!H:H))))</f>
        <v>9.8194444444444002</v>
      </c>
      <c r="M85">
        <f>ABS(SUM(_xlfn.XLOOKUP(B85,Final_48_team_stats!B:B,Final_48_team_stats!Q:Q)-(_xlfn.XLOOKUP(C85,Final_48_team_stats!B:B,Final_48_team_stats!Q:Q))))</f>
        <v>9.1379310344827575E-2</v>
      </c>
      <c r="N85">
        <f>ABS(SUM(_xlfn.XLOOKUP(B85,Final_48_team_stats!B:B,Final_48_team_stats!G:G)-(_xlfn.XLOOKUP(C85,Final_48_team_stats!B:B,Final_48_team_stats!G:G))))</f>
        <v>1.5</v>
      </c>
      <c r="O85">
        <v>1</v>
      </c>
    </row>
    <row r="86" spans="1:15" x14ac:dyDescent="0.45">
      <c r="A86" t="s">
        <v>426</v>
      </c>
      <c r="B86" t="s">
        <v>301</v>
      </c>
      <c r="C86" t="s">
        <v>325</v>
      </c>
      <c r="D86" s="8">
        <f>ABS(SUM(_xlfn.XLOOKUP(B86,Final_48_team_stats!B:B,Final_48_team_stats!M:M)-_xlfn.XLOOKUP(C86,Final_48_team_stats!B:B,Final_48_team_stats!M:M)))</f>
        <v>1.5714285714285801</v>
      </c>
      <c r="E86" s="8">
        <f>ABS(SUM(_xlfn.XLOOKUP(B86,Final_48_team_stats!B:B,Final_48_team_stats!J:J)-_xlfn.XLOOKUP(Model_1_test18!C86,Final_48_team_stats!B:B,Final_48_team_stats!J:J)))</f>
        <v>6.9999999999999405</v>
      </c>
      <c r="F86">
        <f>ABS(SUM(_xlfn.XLOOKUP(B86,Final_48_team_stats!B:B,Final_48_team_stats!K:K)-_xlfn.XLOOKUP(C86,Final_48_team_stats!B:B,Final_48_team_stats!K:K)))</f>
        <v>23.160714285714299</v>
      </c>
      <c r="G86">
        <v>4</v>
      </c>
      <c r="H86">
        <v>220000</v>
      </c>
      <c r="I86">
        <v>9</v>
      </c>
      <c r="J86">
        <v>1.79</v>
      </c>
      <c r="K86">
        <f>ABS(SUM(_xlfn.XLOOKUP(B86,Final_48_team_stats!B:B,Final_48_team_stats!I:I)-(_xlfn.XLOOKUP(C86,Final_48_team_stats!B:B,Final_48_team_stats!I:I))))</f>
        <v>7.4285714285713986</v>
      </c>
      <c r="L86">
        <f>ABS(SUM(_xlfn.XLOOKUP(B86,Final_48_team_stats!B:B,Final_48_team_stats!H:H)-(_xlfn.XLOOKUP(C86,Final_48_team_stats!B:B,Final_48_team_stats!H:H))))</f>
        <v>12.5</v>
      </c>
      <c r="M86">
        <f>ABS(SUM(_xlfn.XLOOKUP(B86,Final_48_team_stats!B:B,Final_48_team_stats!Q:Q)-(_xlfn.XLOOKUP(C86,Final_48_team_stats!B:B,Final_48_team_stats!Q:Q))))</f>
        <v>4.7271703289216704E-2</v>
      </c>
      <c r="N86">
        <f>ABS(SUM(_xlfn.XLOOKUP(B86,Final_48_team_stats!B:B,Final_48_team_stats!G:G)-(_xlfn.XLOOKUP(C86,Final_48_team_stats!B:B,Final_48_team_stats!G:G))))</f>
        <v>2.5</v>
      </c>
      <c r="O86">
        <v>2</v>
      </c>
    </row>
    <row r="87" spans="1:15" x14ac:dyDescent="0.45">
      <c r="A87" t="s">
        <v>427</v>
      </c>
      <c r="B87" t="s">
        <v>314</v>
      </c>
      <c r="C87" t="s">
        <v>303</v>
      </c>
      <c r="D87" s="8">
        <f>ABS(SUM(_xlfn.XLOOKUP(B87,Final_48_team_stats!B:B,Final_48_team_stats!M:M)-_xlfn.XLOOKUP(C87,Final_48_team_stats!B:B,Final_48_team_stats!M:M)))</f>
        <v>0.70833333333333037</v>
      </c>
      <c r="E87" s="8">
        <f>ABS(SUM(_xlfn.XLOOKUP(B87,Final_48_team_stats!B:B,Final_48_team_stats!J:J)-_xlfn.XLOOKUP(Model_1_test18!C87,Final_48_team_stats!B:B,Final_48_team_stats!J:J)))</f>
        <v>47.6666666666667</v>
      </c>
      <c r="F87">
        <f>ABS(SUM(_xlfn.XLOOKUP(B87,Final_48_team_stats!B:B,Final_48_team_stats!K:K)-_xlfn.XLOOKUP(C87,Final_48_team_stats!B:B,Final_48_team_stats!K:K)))</f>
        <v>24.4583333333334</v>
      </c>
      <c r="G87">
        <v>4</v>
      </c>
      <c r="H87">
        <v>1065000</v>
      </c>
      <c r="I87">
        <v>61</v>
      </c>
      <c r="J87">
        <v>0.48000000000000009</v>
      </c>
      <c r="K87">
        <f>ABS(SUM(_xlfn.XLOOKUP(B87,Final_48_team_stats!B:B,Final_48_team_stats!I:I)-(_xlfn.XLOOKUP(C87,Final_48_team_stats!B:B,Final_48_team_stats!I:I))))</f>
        <v>7.9166666666666998</v>
      </c>
      <c r="L87">
        <f>ABS(SUM(_xlfn.XLOOKUP(B87,Final_48_team_stats!B:B,Final_48_team_stats!H:H)-(_xlfn.XLOOKUP(C87,Final_48_team_stats!B:B,Final_48_team_stats!H:H))))</f>
        <v>23</v>
      </c>
      <c r="M87">
        <f>ABS(SUM(_xlfn.XLOOKUP(B87,Final_48_team_stats!B:B,Final_48_team_stats!Q:Q)-(_xlfn.XLOOKUP(C87,Final_48_team_stats!B:B,Final_48_team_stats!Q:Q))))</f>
        <v>1.5782757004389608E-2</v>
      </c>
      <c r="N87">
        <f>ABS(SUM(_xlfn.XLOOKUP(B87,Final_48_team_stats!B:B,Final_48_team_stats!G:G)-(_xlfn.XLOOKUP(C87,Final_48_team_stats!B:B,Final_48_team_stats!G:G))))</f>
        <v>2.5</v>
      </c>
      <c r="O87">
        <v>1</v>
      </c>
    </row>
    <row r="88" spans="1:15" x14ac:dyDescent="0.45">
      <c r="A88" t="s">
        <v>428</v>
      </c>
      <c r="B88" t="s">
        <v>286</v>
      </c>
      <c r="C88" t="s">
        <v>322</v>
      </c>
      <c r="D88" s="8">
        <f>ABS(SUM(_xlfn.XLOOKUP(B88,Final_48_team_stats!B:B,Final_48_team_stats!M:M)-_xlfn.XLOOKUP(C88,Final_48_team_stats!B:B,Final_48_team_stats!M:M)))</f>
        <v>1.5714285714285001</v>
      </c>
      <c r="E88" s="8">
        <f>ABS(SUM(_xlfn.XLOOKUP(B88,Final_48_team_stats!B:B,Final_48_team_stats!J:J)-_xlfn.XLOOKUP(Model_1_test18!C88,Final_48_team_stats!B:B,Final_48_team_stats!J:J)))</f>
        <v>0.91666666666669983</v>
      </c>
      <c r="F88">
        <f>ABS(SUM(_xlfn.XLOOKUP(B88,Final_48_team_stats!B:B,Final_48_team_stats!K:K)-_xlfn.XLOOKUP(C88,Final_48_team_stats!B:B,Final_48_team_stats!K:K)))</f>
        <v>9.5714285714286014</v>
      </c>
      <c r="G88">
        <v>4</v>
      </c>
      <c r="H88">
        <v>449000</v>
      </c>
      <c r="I88">
        <v>2</v>
      </c>
      <c r="J88">
        <v>1.7899999999999998</v>
      </c>
      <c r="K88">
        <f>ABS(SUM(_xlfn.XLOOKUP(B88,Final_48_team_stats!B:B,Final_48_team_stats!I:I)-(_xlfn.XLOOKUP(C88,Final_48_team_stats!B:B,Final_48_team_stats!I:I))))</f>
        <v>8.0357142857142989</v>
      </c>
      <c r="L88">
        <f>ABS(SUM(_xlfn.XLOOKUP(B88,Final_48_team_stats!B:B,Final_48_team_stats!H:H)-(_xlfn.XLOOKUP(C88,Final_48_team_stats!B:B,Final_48_team_stats!H:H))))</f>
        <v>4.3249999999999993</v>
      </c>
      <c r="M88">
        <f>ABS(SUM(_xlfn.XLOOKUP(B88,Final_48_team_stats!B:B,Final_48_team_stats!Q:Q)-(_xlfn.XLOOKUP(C88,Final_48_team_stats!B:B,Final_48_team_stats!Q:Q))))</f>
        <v>4.9170393812472402E-3</v>
      </c>
      <c r="N88">
        <f>ABS(SUM(_xlfn.XLOOKUP(B88,Final_48_team_stats!B:B,Final_48_team_stats!G:G)-(_xlfn.XLOOKUP(C88,Final_48_team_stats!B:B,Final_48_team_stats!G:G))))</f>
        <v>2</v>
      </c>
      <c r="O88">
        <v>0</v>
      </c>
    </row>
    <row r="89" spans="1:15" x14ac:dyDescent="0.45">
      <c r="A89" t="s">
        <v>429</v>
      </c>
      <c r="B89" t="s">
        <v>297</v>
      </c>
      <c r="C89" t="s">
        <v>321</v>
      </c>
      <c r="D89" s="8">
        <f>ABS(SUM(_xlfn.XLOOKUP(B89,Final_48_team_stats!B:B,Final_48_team_stats!M:M)-_xlfn.XLOOKUP(C89,Final_48_team_stats!B:B,Final_48_team_stats!M:M)))</f>
        <v>13.476190476190499</v>
      </c>
      <c r="E89" s="8">
        <f>ABS(SUM(_xlfn.XLOOKUP(B89,Final_48_team_stats!B:B,Final_48_team_stats!J:J)-_xlfn.XLOOKUP(Model_1_test18!C89,Final_48_team_stats!B:B,Final_48_team_stats!J:J)))</f>
        <v>10.3333333333334</v>
      </c>
      <c r="F89">
        <f>ABS(SUM(_xlfn.XLOOKUP(B89,Final_48_team_stats!B:B,Final_48_team_stats!K:K)-_xlfn.XLOOKUP(C89,Final_48_team_stats!B:B,Final_48_team_stats!K:K)))</f>
        <v>21.3333333333334</v>
      </c>
      <c r="G89">
        <v>4</v>
      </c>
      <c r="H89">
        <v>2890000</v>
      </c>
      <c r="I89">
        <v>66</v>
      </c>
      <c r="J89">
        <v>1.77</v>
      </c>
      <c r="K89">
        <f>ABS(SUM(_xlfn.XLOOKUP(B89,Final_48_team_stats!B:B,Final_48_team_stats!I:I)-(_xlfn.XLOOKUP(C89,Final_48_team_stats!B:B,Final_48_team_stats!I:I))))</f>
        <v>6.5238095238094971</v>
      </c>
      <c r="L89">
        <f>ABS(SUM(_xlfn.XLOOKUP(B89,Final_48_team_stats!B:B,Final_48_team_stats!H:H)-(_xlfn.XLOOKUP(C89,Final_48_team_stats!B:B,Final_48_team_stats!H:H))))</f>
        <v>22.375</v>
      </c>
      <c r="M89">
        <f>ABS(SUM(_xlfn.XLOOKUP(B89,Final_48_team_stats!B:B,Final_48_team_stats!Q:Q)-(_xlfn.XLOOKUP(C89,Final_48_team_stats!B:B,Final_48_team_stats!Q:Q))))</f>
        <v>8.7127381934063913E-2</v>
      </c>
      <c r="N89">
        <f>ABS(SUM(_xlfn.XLOOKUP(B89,Final_48_team_stats!B:B,Final_48_team_stats!G:G)-(_xlfn.XLOOKUP(C89,Final_48_team_stats!B:B,Final_48_team_stats!G:G))))</f>
        <v>1</v>
      </c>
      <c r="O89">
        <v>1</v>
      </c>
    </row>
    <row r="90" spans="1:15" x14ac:dyDescent="0.45">
      <c r="A90" t="s">
        <v>430</v>
      </c>
      <c r="B90" t="s">
        <v>320</v>
      </c>
      <c r="C90" t="s">
        <v>295</v>
      </c>
      <c r="D90" s="8">
        <f>ABS(SUM(_xlfn.XLOOKUP(B90,Final_48_team_stats!B:B,Final_48_team_stats!M:M)-_xlfn.XLOOKUP(C90,Final_48_team_stats!B:B,Final_48_team_stats!M:M)))</f>
        <v>8.09523809523807</v>
      </c>
      <c r="E90" s="8">
        <f>ABS(SUM(_xlfn.XLOOKUP(B90,Final_48_team_stats!B:B,Final_48_team_stats!J:J)-_xlfn.XLOOKUP(Model_1_test18!C90,Final_48_team_stats!B:B,Final_48_team_stats!J:J)))</f>
        <v>2</v>
      </c>
      <c r="F90">
        <f>ABS(SUM(_xlfn.XLOOKUP(B90,Final_48_team_stats!B:B,Final_48_team_stats!K:K)-_xlfn.XLOOKUP(C90,Final_48_team_stats!B:B,Final_48_team_stats!K:K)))</f>
        <v>6.492063492063501</v>
      </c>
      <c r="G90">
        <v>4</v>
      </c>
      <c r="H90">
        <v>1300000</v>
      </c>
      <c r="I90">
        <v>39</v>
      </c>
      <c r="J90">
        <v>2.0000000000000018E-2</v>
      </c>
      <c r="K90">
        <f>ABS(SUM(_xlfn.XLOOKUP(B90,Final_48_team_stats!B:B,Final_48_team_stats!I:I)-(_xlfn.XLOOKUP(C90,Final_48_team_stats!B:B,Final_48_team_stats!I:I))))</f>
        <v>8.1428571428571033</v>
      </c>
      <c r="L90">
        <f>ABS(SUM(_xlfn.XLOOKUP(B90,Final_48_team_stats!B:B,Final_48_team_stats!H:H)-(_xlfn.XLOOKUP(C90,Final_48_team_stats!B:B,Final_48_team_stats!H:H))))</f>
        <v>0.86111111111119953</v>
      </c>
      <c r="M90">
        <f>ABS(SUM(_xlfn.XLOOKUP(B90,Final_48_team_stats!B:B,Final_48_team_stats!Q:Q)-(_xlfn.XLOOKUP(C90,Final_48_team_stats!B:B,Final_48_team_stats!Q:Q))))</f>
        <v>4.7721407042431455E-2</v>
      </c>
      <c r="N90">
        <f>ABS(SUM(_xlfn.XLOOKUP(B90,Final_48_team_stats!B:B,Final_48_team_stats!G:G)-(_xlfn.XLOOKUP(C90,Final_48_team_stats!B:B,Final_48_team_stats!G:G))))</f>
        <v>2</v>
      </c>
      <c r="O90">
        <v>1</v>
      </c>
    </row>
    <row r="91" spans="1:15" x14ac:dyDescent="0.45">
      <c r="A91" t="s">
        <v>431</v>
      </c>
      <c r="B91" t="s">
        <v>282</v>
      </c>
      <c r="C91" t="s">
        <v>313</v>
      </c>
      <c r="D91" s="8">
        <f>ABS(SUM(_xlfn.XLOOKUP(B91,Final_48_team_stats!B:B,Final_48_team_stats!M:M)-_xlfn.XLOOKUP(C91,Final_48_team_stats!B:B,Final_48_team_stats!M:M)))</f>
        <v>8.5714285714200145E-2</v>
      </c>
      <c r="E91" s="8">
        <f>ABS(SUM(_xlfn.XLOOKUP(B91,Final_48_team_stats!B:B,Final_48_team_stats!J:J)-_xlfn.XLOOKUP(Model_1_test18!C91,Final_48_team_stats!B:B,Final_48_team_stats!J:J)))</f>
        <v>31</v>
      </c>
      <c r="F91">
        <f>ABS(SUM(_xlfn.XLOOKUP(B91,Final_48_team_stats!B:B,Final_48_team_stats!K:K)-_xlfn.XLOOKUP(C91,Final_48_team_stats!B:B,Final_48_team_stats!K:K)))</f>
        <v>17.507936507936499</v>
      </c>
      <c r="G91">
        <v>5</v>
      </c>
      <c r="H91">
        <v>1725000</v>
      </c>
      <c r="I91">
        <v>22</v>
      </c>
      <c r="J91">
        <v>1.3199999999999998</v>
      </c>
      <c r="K91">
        <f>ABS(SUM(_xlfn.XLOOKUP(B91,Final_48_team_stats!B:B,Final_48_team_stats!I:I)-(_xlfn.XLOOKUP(C91,Final_48_team_stats!B:B,Final_48_team_stats!I:I))))</f>
        <v>15.1142857142857</v>
      </c>
      <c r="L91">
        <f>ABS(SUM(_xlfn.XLOOKUP(B91,Final_48_team_stats!B:B,Final_48_team_stats!H:H)-(_xlfn.XLOOKUP(C91,Final_48_team_stats!B:B,Final_48_team_stats!H:H))))</f>
        <v>12.6666666666667</v>
      </c>
      <c r="M91">
        <f>ABS(SUM(_xlfn.XLOOKUP(B91,Final_48_team_stats!B:B,Final_48_team_stats!Q:Q)-(_xlfn.XLOOKUP(C91,Final_48_team_stats!B:B,Final_48_team_stats!Q:Q))))</f>
        <v>8.418596680066226E-4</v>
      </c>
      <c r="N91">
        <f>ABS(SUM(_xlfn.XLOOKUP(B91,Final_48_team_stats!B:B,Final_48_team_stats!G:G)-(_xlfn.XLOOKUP(C91,Final_48_team_stats!B:B,Final_48_team_stats!G:G))))</f>
        <v>0.5</v>
      </c>
      <c r="O91">
        <v>3</v>
      </c>
    </row>
    <row r="92" spans="1:15" x14ac:dyDescent="0.45">
      <c r="A92" t="s">
        <v>432</v>
      </c>
      <c r="B92" t="s">
        <v>284</v>
      </c>
      <c r="C92" t="s">
        <v>311</v>
      </c>
      <c r="D92" s="8">
        <f>ABS(SUM(_xlfn.XLOOKUP(B92,Final_48_team_stats!B:B,Final_48_team_stats!M:M)-_xlfn.XLOOKUP(C92,Final_48_team_stats!B:B,Final_48_team_stats!M:M)))</f>
        <v>6.644444444444499</v>
      </c>
      <c r="E92" s="8">
        <f>ABS(SUM(_xlfn.XLOOKUP(B92,Final_48_team_stats!B:B,Final_48_team_stats!J:J)-_xlfn.XLOOKUP(Model_1_test18!C92,Final_48_team_stats!B:B,Final_48_team_stats!J:J)))</f>
        <v>14.3333333333333</v>
      </c>
      <c r="F92">
        <f>ABS(SUM(_xlfn.XLOOKUP(B92,Final_48_team_stats!B:B,Final_48_team_stats!K:K)-_xlfn.XLOOKUP(C92,Final_48_team_stats!B:B,Final_48_team_stats!K:K)))</f>
        <v>6.4666666666665975</v>
      </c>
      <c r="G92">
        <v>5</v>
      </c>
      <c r="H92">
        <v>8925000</v>
      </c>
      <c r="I92">
        <v>25</v>
      </c>
      <c r="J92">
        <v>1.5599999999999998</v>
      </c>
      <c r="K92">
        <f>ABS(SUM(_xlfn.XLOOKUP(B92,Final_48_team_stats!B:B,Final_48_team_stats!I:I)-(_xlfn.XLOOKUP(C92,Final_48_team_stats!B:B,Final_48_team_stats!I:I))))</f>
        <v>10.066666666666698</v>
      </c>
      <c r="L92">
        <f>ABS(SUM(_xlfn.XLOOKUP(B92,Final_48_team_stats!B:B,Final_48_team_stats!H:H)-(_xlfn.XLOOKUP(C92,Final_48_team_stats!B:B,Final_48_team_stats!H:H))))</f>
        <v>9.875</v>
      </c>
      <c r="M92">
        <f>ABS(SUM(_xlfn.XLOOKUP(B92,Final_48_team_stats!B:B,Final_48_team_stats!Q:Q)-(_xlfn.XLOOKUP(C92,Final_48_team_stats!B:B,Final_48_team_stats!Q:Q))))</f>
        <v>1.4877691095737305E-2</v>
      </c>
      <c r="N92">
        <f>ABS(SUM(_xlfn.XLOOKUP(B92,Final_48_team_stats!B:B,Final_48_team_stats!G:G)-(_xlfn.XLOOKUP(C92,Final_48_team_stats!B:B,Final_48_team_stats!G:G))))</f>
        <v>2</v>
      </c>
      <c r="O92">
        <v>1</v>
      </c>
    </row>
    <row r="93" spans="1:15" x14ac:dyDescent="0.45">
      <c r="A93" t="s">
        <v>433</v>
      </c>
      <c r="B93" t="s">
        <v>280</v>
      </c>
      <c r="C93" t="s">
        <v>300</v>
      </c>
      <c r="D93" s="8">
        <f>ABS(SUM(_xlfn.XLOOKUP(B93,Final_48_team_stats!B:B,Final_48_team_stats!M:M)-_xlfn.XLOOKUP(C93,Final_48_team_stats!B:B,Final_48_team_stats!M:M)))</f>
        <v>8.6964285714284983</v>
      </c>
      <c r="E93" s="8">
        <f>ABS(SUM(_xlfn.XLOOKUP(B93,Final_48_team_stats!B:B,Final_48_team_stats!J:J)-_xlfn.XLOOKUP(Model_1_test18!C93,Final_48_team_stats!B:B,Final_48_team_stats!J:J)))</f>
        <v>27.3333333333333</v>
      </c>
      <c r="F93">
        <f>ABS(SUM(_xlfn.XLOOKUP(B93,Final_48_team_stats!B:B,Final_48_team_stats!K:K)-_xlfn.XLOOKUP(C93,Final_48_team_stats!B:B,Final_48_team_stats!K:K)))</f>
        <v>6.75</v>
      </c>
      <c r="G93">
        <v>5</v>
      </c>
      <c r="H93">
        <v>3300000</v>
      </c>
      <c r="I93">
        <v>11</v>
      </c>
      <c r="J93">
        <v>0.2699999999999998</v>
      </c>
      <c r="K93">
        <f>ABS(SUM(_xlfn.XLOOKUP(B93,Final_48_team_stats!B:B,Final_48_team_stats!I:I)-(_xlfn.XLOOKUP(C93,Final_48_team_stats!B:B,Final_48_team_stats!I:I))))</f>
        <v>2.4821428571428967</v>
      </c>
      <c r="L93">
        <f>ABS(SUM(_xlfn.XLOOKUP(B93,Final_48_team_stats!B:B,Final_48_team_stats!H:H)-(_xlfn.XLOOKUP(C93,Final_48_team_stats!B:B,Final_48_team_stats!H:H))))</f>
        <v>41.587301587301603</v>
      </c>
      <c r="M93">
        <f>ABS(SUM(_xlfn.XLOOKUP(B93,Final_48_team_stats!B:B,Final_48_team_stats!Q:Q)-(_xlfn.XLOOKUP(C93,Final_48_team_stats!B:B,Final_48_team_stats!Q:Q))))</f>
        <v>8.2543475375016592E-2</v>
      </c>
      <c r="N93">
        <f>ABS(SUM(_xlfn.XLOOKUP(B93,Final_48_team_stats!B:B,Final_48_team_stats!G:G)-(_xlfn.XLOOKUP(C93,Final_48_team_stats!B:B,Final_48_team_stats!G:G))))</f>
        <v>2</v>
      </c>
      <c r="O93">
        <v>1</v>
      </c>
    </row>
    <row r="94" spans="1:15" x14ac:dyDescent="0.45">
      <c r="A94" t="s">
        <v>434</v>
      </c>
      <c r="B94" t="s">
        <v>299</v>
      </c>
      <c r="C94" t="s">
        <v>293</v>
      </c>
      <c r="D94" s="8">
        <f>ABS(SUM(_xlfn.XLOOKUP(B94,Final_48_team_stats!B:B,Final_48_team_stats!M:M)-_xlfn.XLOOKUP(C94,Final_48_team_stats!B:B,Final_48_team_stats!M:M)))</f>
        <v>13.75</v>
      </c>
      <c r="E94" s="8">
        <f>ABS(SUM(_xlfn.XLOOKUP(B94,Final_48_team_stats!B:B,Final_48_team_stats!J:J)-_xlfn.XLOOKUP(Model_1_test18!C94,Final_48_team_stats!B:B,Final_48_team_stats!J:J)))</f>
        <v>7.3333333333333002</v>
      </c>
      <c r="F94">
        <f>ABS(SUM(_xlfn.XLOOKUP(B94,Final_48_team_stats!B:B,Final_48_team_stats!K:K)-_xlfn.XLOOKUP(C94,Final_48_team_stats!B:B,Final_48_team_stats!K:K)))</f>
        <v>20.214285714285801</v>
      </c>
      <c r="G94">
        <v>5</v>
      </c>
      <c r="H94">
        <v>2000000</v>
      </c>
      <c r="I94">
        <v>3</v>
      </c>
      <c r="J94">
        <v>1.06</v>
      </c>
      <c r="K94">
        <f>ABS(SUM(_xlfn.XLOOKUP(B94,Final_48_team_stats!B:B,Final_48_team_stats!I:I)-(_xlfn.XLOOKUP(C94,Final_48_team_stats!B:B,Final_48_team_stats!I:I))))</f>
        <v>24.625</v>
      </c>
      <c r="L94">
        <f>ABS(SUM(_xlfn.XLOOKUP(B94,Final_48_team_stats!B:B,Final_48_team_stats!H:H)-(_xlfn.XLOOKUP(C94,Final_48_team_stats!B:B,Final_48_team_stats!H:H))))</f>
        <v>15.3194444444444</v>
      </c>
      <c r="M94">
        <f>ABS(SUM(_xlfn.XLOOKUP(B94,Final_48_team_stats!B:B,Final_48_team_stats!Q:Q)-(_xlfn.XLOOKUP(C94,Final_48_team_stats!B:B,Final_48_team_stats!Q:Q))))</f>
        <v>6.5806144706919756E-2</v>
      </c>
      <c r="N94">
        <f>ABS(SUM(_xlfn.XLOOKUP(B94,Final_48_team_stats!B:B,Final_48_team_stats!G:G)-(_xlfn.XLOOKUP(C94,Final_48_team_stats!B:B,Final_48_team_stats!G:G))))</f>
        <v>0</v>
      </c>
      <c r="O94">
        <v>1</v>
      </c>
    </row>
    <row r="95" spans="1:15" x14ac:dyDescent="0.45">
      <c r="A95" t="s">
        <v>435</v>
      </c>
      <c r="B95" t="s">
        <v>8</v>
      </c>
      <c r="C95" t="s">
        <v>290</v>
      </c>
      <c r="D95" s="8">
        <f>ABS(SUM(_xlfn.XLOOKUP(B95,Final_48_team_stats!B:B,Final_48_team_stats!M:M)-_xlfn.XLOOKUP(C95,Final_48_team_stats!B:B,Final_48_team_stats!M:M)))</f>
        <v>8.7380952380951999</v>
      </c>
      <c r="E95" s="8">
        <f>ABS(SUM(_xlfn.XLOOKUP(B95,Final_48_team_stats!B:B,Final_48_team_stats!J:J)-_xlfn.XLOOKUP(Model_1_test18!C95,Final_48_team_stats!B:B,Final_48_team_stats!J:J)))</f>
        <v>13.6666666666667</v>
      </c>
      <c r="F95">
        <f>ABS(SUM(_xlfn.XLOOKUP(B95,Final_48_team_stats!B:B,Final_48_team_stats!K:K)-_xlfn.XLOOKUP(C95,Final_48_team_stats!B:B,Final_48_team_stats!K:K)))</f>
        <v>14.2916666666667</v>
      </c>
      <c r="G95">
        <v>5</v>
      </c>
      <c r="H95">
        <v>3500000</v>
      </c>
      <c r="I95">
        <v>7</v>
      </c>
      <c r="J95">
        <v>1.38</v>
      </c>
      <c r="K95">
        <f>ABS(SUM(_xlfn.XLOOKUP(B95,Final_48_team_stats!B:B,Final_48_team_stats!I:I)-(_xlfn.XLOOKUP(C95,Final_48_team_stats!B:B,Final_48_team_stats!I:I))))</f>
        <v>5.1428571428572027</v>
      </c>
      <c r="L95">
        <f>ABS(SUM(_xlfn.XLOOKUP(B95,Final_48_team_stats!B:B,Final_48_team_stats!H:H)-(_xlfn.XLOOKUP(C95,Final_48_team_stats!B:B,Final_48_team_stats!H:H))))</f>
        <v>7.6555555555556012</v>
      </c>
      <c r="M95">
        <f>ABS(SUM(_xlfn.XLOOKUP(B95,Final_48_team_stats!B:B,Final_48_team_stats!Q:Q)-(_xlfn.XLOOKUP(C95,Final_48_team_stats!B:B,Final_48_team_stats!Q:Q))))</f>
        <v>6.7297393103844722E-2</v>
      </c>
      <c r="N95">
        <f>ABS(SUM(_xlfn.XLOOKUP(B95,Final_48_team_stats!B:B,Final_48_team_stats!G:G)-(_xlfn.XLOOKUP(C95,Final_48_team_stats!B:B,Final_48_team_stats!G:G))))</f>
        <v>1</v>
      </c>
      <c r="O95">
        <v>3</v>
      </c>
    </row>
    <row r="96" spans="1:15" x14ac:dyDescent="0.45">
      <c r="A96" t="s">
        <v>436</v>
      </c>
      <c r="B96" t="s">
        <v>297</v>
      </c>
      <c r="C96" t="s">
        <v>322</v>
      </c>
      <c r="D96" s="8">
        <f>ABS(SUM(_xlfn.XLOOKUP(B96,Final_48_team_stats!B:B,Final_48_team_stats!M:M)-_xlfn.XLOOKUP(C96,Final_48_team_stats!B:B,Final_48_team_stats!M:M)))</f>
        <v>9.5714285714285996</v>
      </c>
      <c r="E96" s="8">
        <f>ABS(SUM(_xlfn.XLOOKUP(B96,Final_48_team_stats!B:B,Final_48_team_stats!J:J)-_xlfn.XLOOKUP(Model_1_test18!C96,Final_48_team_stats!B:B,Final_48_team_stats!J:J)))</f>
        <v>2.4166666666666003</v>
      </c>
      <c r="F96">
        <f>ABS(SUM(_xlfn.XLOOKUP(B96,Final_48_team_stats!B:B,Final_48_team_stats!K:K)-_xlfn.XLOOKUP(C96,Final_48_team_stats!B:B,Final_48_team_stats!K:K)))</f>
        <v>26.321428571428601</v>
      </c>
      <c r="G96">
        <v>5</v>
      </c>
      <c r="H96">
        <v>2844000</v>
      </c>
      <c r="I96">
        <v>26</v>
      </c>
      <c r="J96">
        <v>1.9499999999999997</v>
      </c>
      <c r="K96">
        <f>ABS(SUM(_xlfn.XLOOKUP(B96,Final_48_team_stats!B:B,Final_48_team_stats!I:I)-(_xlfn.XLOOKUP(C96,Final_48_team_stats!B:B,Final_48_team_stats!I:I))))</f>
        <v>2.1428571428570962</v>
      </c>
      <c r="L96">
        <f>ABS(SUM(_xlfn.XLOOKUP(B96,Final_48_team_stats!B:B,Final_48_team_stats!H:H)-(_xlfn.XLOOKUP(C96,Final_48_team_stats!B:B,Final_48_team_stats!H:H))))</f>
        <v>24.125</v>
      </c>
      <c r="M96">
        <f>ABS(SUM(_xlfn.XLOOKUP(B96,Final_48_team_stats!B:B,Final_48_team_stats!Q:Q)-(_xlfn.XLOOKUP(C96,Final_48_team_stats!B:B,Final_48_team_stats!Q:Q))))</f>
        <v>2.4786017714452074E-2</v>
      </c>
      <c r="N96">
        <f>ABS(SUM(_xlfn.XLOOKUP(B96,Final_48_team_stats!B:B,Final_48_team_stats!G:G)-(_xlfn.XLOOKUP(C96,Final_48_team_stats!B:B,Final_48_team_stats!G:G))))</f>
        <v>0.5</v>
      </c>
      <c r="O96">
        <v>1</v>
      </c>
    </row>
    <row r="97" spans="1:15" x14ac:dyDescent="0.45">
      <c r="A97" t="s">
        <v>437</v>
      </c>
      <c r="B97" t="s">
        <v>301</v>
      </c>
      <c r="C97" t="s">
        <v>314</v>
      </c>
      <c r="D97" s="8">
        <f>ABS(SUM(_xlfn.XLOOKUP(B97,Final_48_team_stats!B:B,Final_48_team_stats!M:M)-_xlfn.XLOOKUP(C97,Final_48_team_stats!B:B,Final_48_team_stats!M:M)))</f>
        <v>3.0952380952380896</v>
      </c>
      <c r="E97" s="8">
        <f>ABS(SUM(_xlfn.XLOOKUP(B97,Final_48_team_stats!B:B,Final_48_team_stats!J:J)-_xlfn.XLOOKUP(Model_1_test18!C97,Final_48_team_stats!B:B,Final_48_team_stats!J:J)))</f>
        <v>49.6666666666667</v>
      </c>
      <c r="F97">
        <f>ABS(SUM(_xlfn.XLOOKUP(B97,Final_48_team_stats!B:B,Final_48_team_stats!K:K)-_xlfn.XLOOKUP(C97,Final_48_team_stats!B:B,Final_48_team_stats!K:K)))</f>
        <v>8.75</v>
      </c>
      <c r="G97">
        <v>5</v>
      </c>
      <c r="H97">
        <v>400000</v>
      </c>
      <c r="I97">
        <v>6</v>
      </c>
      <c r="J97">
        <v>0.70000000000000007</v>
      </c>
      <c r="K97">
        <f>ABS(SUM(_xlfn.XLOOKUP(B97,Final_48_team_stats!B:B,Final_48_team_stats!I:I)-(_xlfn.XLOOKUP(C97,Final_48_team_stats!B:B,Final_48_team_stats!I:I))))</f>
        <v>16.238095238095198</v>
      </c>
      <c r="L97">
        <f>ABS(SUM(_xlfn.XLOOKUP(B97,Final_48_team_stats!B:B,Final_48_team_stats!H:H)-(_xlfn.XLOOKUP(C97,Final_48_team_stats!B:B,Final_48_team_stats!H:H))))</f>
        <v>9.0555555555555998</v>
      </c>
      <c r="M97">
        <f>ABS(SUM(_xlfn.XLOOKUP(B97,Final_48_team_stats!B:B,Final_48_team_stats!Q:Q)-(_xlfn.XLOOKUP(C97,Final_48_team_stats!B:B,Final_48_team_stats!Q:Q))))</f>
        <v>5.8938030289671234E-3</v>
      </c>
      <c r="N97">
        <f>ABS(SUM(_xlfn.XLOOKUP(B97,Final_48_team_stats!B:B,Final_48_team_stats!G:G)-(_xlfn.XLOOKUP(C97,Final_48_team_stats!B:B,Final_48_team_stats!G:G))))</f>
        <v>0.5</v>
      </c>
      <c r="O97">
        <v>0</v>
      </c>
    </row>
    <row r="98" spans="1:15" x14ac:dyDescent="0.45">
      <c r="A98" t="s">
        <v>438</v>
      </c>
      <c r="B98" t="s">
        <v>295</v>
      </c>
      <c r="C98" t="s">
        <v>313</v>
      </c>
      <c r="D98" s="8">
        <f>ABS(SUM(_xlfn.XLOOKUP(B98,Final_48_team_stats!B:B,Final_48_team_stats!M:M)-_xlfn.XLOOKUP(C98,Final_48_team_stats!B:B,Final_48_team_stats!M:M)))</f>
        <v>0.77142857142859889</v>
      </c>
      <c r="E98" s="8">
        <f>ABS(SUM(_xlfn.XLOOKUP(B98,Final_48_team_stats!B:B,Final_48_team_stats!J:J)-_xlfn.XLOOKUP(Model_1_test18!C98,Final_48_team_stats!B:B,Final_48_team_stats!J:J)))</f>
        <v>33.6666666666667</v>
      </c>
      <c r="F98">
        <f>ABS(SUM(_xlfn.XLOOKUP(B98,Final_48_team_stats!B:B,Final_48_team_stats!K:K)-_xlfn.XLOOKUP(C98,Final_48_team_stats!B:B,Final_48_team_stats!K:K)))</f>
        <v>5.9365079365080007</v>
      </c>
      <c r="G98">
        <v>6</v>
      </c>
      <c r="H98">
        <v>3025000</v>
      </c>
      <c r="I98">
        <v>7</v>
      </c>
      <c r="J98">
        <v>3.55</v>
      </c>
      <c r="K98">
        <f>ABS(SUM(_xlfn.XLOOKUP(B98,Final_48_team_stats!B:B,Final_48_team_stats!I:I)-(_xlfn.XLOOKUP(C98,Final_48_team_stats!B:B,Final_48_team_stats!I:I))))</f>
        <v>6.5428571428571018</v>
      </c>
      <c r="L98">
        <f>ABS(SUM(_xlfn.XLOOKUP(B98,Final_48_team_stats!B:B,Final_48_team_stats!H:H)-(_xlfn.XLOOKUP(C98,Final_48_team_stats!B:B,Final_48_team_stats!H:H))))</f>
        <v>12.5555555555555</v>
      </c>
      <c r="M98">
        <f>ABS(SUM(_xlfn.XLOOKUP(B98,Final_48_team_stats!B:B,Final_48_team_stats!Q:Q)-(_xlfn.XLOOKUP(C98,Final_48_team_stats!B:B,Final_48_team_stats!Q:Q))))</f>
        <v>1.5868144886475144E-2</v>
      </c>
      <c r="N98">
        <f>ABS(SUM(_xlfn.XLOOKUP(B98,Final_48_team_stats!B:B,Final_48_team_stats!G:G)-(_xlfn.XLOOKUP(C98,Final_48_team_stats!B:B,Final_48_team_stats!G:G))))</f>
        <v>1.5</v>
      </c>
      <c r="O98">
        <v>2</v>
      </c>
    </row>
    <row r="99" spans="1:15" x14ac:dyDescent="0.45">
      <c r="A99" t="s">
        <v>439</v>
      </c>
      <c r="B99" t="s">
        <v>293</v>
      </c>
      <c r="C99" t="s">
        <v>290</v>
      </c>
      <c r="D99" s="8">
        <f>ABS(SUM(_xlfn.XLOOKUP(B99,Final_48_team_stats!B:B,Final_48_team_stats!M:M)-_xlfn.XLOOKUP(C99,Final_48_team_stats!B:B,Final_48_team_stats!M:M)))</f>
        <v>10.4166666666666</v>
      </c>
      <c r="E99" s="8">
        <f>ABS(SUM(_xlfn.XLOOKUP(B99,Final_48_team_stats!B:B,Final_48_team_stats!J:J)-_xlfn.XLOOKUP(Model_1_test18!C99,Final_48_team_stats!B:B,Final_48_team_stats!J:J)))</f>
        <v>12.6666666666667</v>
      </c>
      <c r="F99">
        <f>ABS(SUM(_xlfn.XLOOKUP(B99,Final_48_team_stats!B:B,Final_48_team_stats!K:K)-_xlfn.XLOOKUP(C99,Final_48_team_stats!B:B,Final_48_team_stats!K:K)))</f>
        <v>18.339285714285801</v>
      </c>
      <c r="G99">
        <v>6</v>
      </c>
      <c r="H99">
        <v>300000</v>
      </c>
      <c r="I99">
        <v>7</v>
      </c>
      <c r="J99">
        <v>1.73</v>
      </c>
      <c r="K99">
        <f>ABS(SUM(_xlfn.XLOOKUP(B99,Final_48_team_stats!B:B,Final_48_team_stats!I:I)-(_xlfn.XLOOKUP(C99,Final_48_team_stats!B:B,Final_48_team_stats!I:I))))</f>
        <v>16</v>
      </c>
      <c r="L99">
        <f>ABS(SUM(_xlfn.XLOOKUP(B99,Final_48_team_stats!B:B,Final_48_team_stats!H:H)-(_xlfn.XLOOKUP(C99,Final_48_team_stats!B:B,Final_48_team_stats!H:H))))</f>
        <v>7.3194444444444002</v>
      </c>
      <c r="M99">
        <f>ABS(SUM(_xlfn.XLOOKUP(B99,Final_48_team_stats!B:B,Final_48_team_stats!Q:Q)-(_xlfn.XLOOKUP(C99,Final_48_team_stats!B:B,Final_48_team_stats!Q:Q))))</f>
        <v>3.9765305679428903E-2</v>
      </c>
      <c r="N99">
        <f>ABS(SUM(_xlfn.XLOOKUP(B99,Final_48_team_stats!B:B,Final_48_team_stats!G:G)-(_xlfn.XLOOKUP(C99,Final_48_team_stats!B:B,Final_48_team_stats!G:G))))</f>
        <v>1</v>
      </c>
      <c r="O99">
        <v>1</v>
      </c>
    </row>
    <row r="100" spans="1:15" x14ac:dyDescent="0.45">
      <c r="A100" t="s">
        <v>440</v>
      </c>
      <c r="B100" t="s">
        <v>311</v>
      </c>
      <c r="C100" t="s">
        <v>300</v>
      </c>
      <c r="D100" s="8">
        <f>ABS(SUM(_xlfn.XLOOKUP(B100,Final_48_team_stats!B:B,Final_48_team_stats!M:M)-_xlfn.XLOOKUP(C100,Final_48_team_stats!B:B,Final_48_team_stats!M:M)))</f>
        <v>1.6285714285715009</v>
      </c>
      <c r="E100" s="8">
        <f>ABS(SUM(_xlfn.XLOOKUP(B100,Final_48_team_stats!B:B,Final_48_team_stats!J:J)-_xlfn.XLOOKUP(Model_1_test18!C100,Final_48_team_stats!B:B,Final_48_team_stats!J:J)))</f>
        <v>4.3333333333333002</v>
      </c>
      <c r="F100">
        <f>ABS(SUM(_xlfn.XLOOKUP(B100,Final_48_team_stats!B:B,Final_48_team_stats!K:K)-_xlfn.XLOOKUP(C100,Final_48_team_stats!B:B,Final_48_team_stats!K:K)))</f>
        <v>5.7999999999999972</v>
      </c>
      <c r="G100">
        <v>6</v>
      </c>
      <c r="H100">
        <v>5225000</v>
      </c>
      <c r="I100">
        <v>27</v>
      </c>
      <c r="J100">
        <v>0.36</v>
      </c>
      <c r="K100">
        <f>ABS(SUM(_xlfn.XLOOKUP(B100,Final_48_team_stats!B:B,Final_48_team_stats!I:I)-(_xlfn.XLOOKUP(C100,Final_48_team_stats!B:B,Final_48_team_stats!I:I))))</f>
        <v>1.2571428571428953</v>
      </c>
      <c r="L100">
        <f>ABS(SUM(_xlfn.XLOOKUP(B100,Final_48_team_stats!B:B,Final_48_team_stats!H:H)-(_xlfn.XLOOKUP(C100,Final_48_team_stats!B:B,Final_48_team_stats!H:H))))</f>
        <v>2.4444444444444997</v>
      </c>
      <c r="M100">
        <f>ABS(SUM(_xlfn.XLOOKUP(B100,Final_48_team_stats!B:B,Final_48_team_stats!Q:Q)-(_xlfn.XLOOKUP(C100,Final_48_team_stats!B:B,Final_48_team_stats!Q:Q))))</f>
        <v>2.695555287073953E-2</v>
      </c>
      <c r="N100">
        <f>ABS(SUM(_xlfn.XLOOKUP(B100,Final_48_team_stats!B:B,Final_48_team_stats!G:G)-(_xlfn.XLOOKUP(C100,Final_48_team_stats!B:B,Final_48_team_stats!G:G))))</f>
        <v>0.5</v>
      </c>
      <c r="O100">
        <v>1</v>
      </c>
    </row>
    <row r="101" spans="1:15" x14ac:dyDescent="0.45">
      <c r="A101" t="s">
        <v>441</v>
      </c>
      <c r="B101" t="s">
        <v>297</v>
      </c>
      <c r="C101" t="s">
        <v>301</v>
      </c>
      <c r="D101" s="8">
        <f>ABS(SUM(_xlfn.XLOOKUP(B101,Final_48_team_stats!B:B,Final_48_team_stats!M:M)-_xlfn.XLOOKUP(C101,Final_48_team_stats!B:B,Final_48_team_stats!M:M)))</f>
        <v>15.71428571428568</v>
      </c>
      <c r="E101" s="8">
        <f>ABS(SUM(_xlfn.XLOOKUP(B101,Final_48_team_stats!B:B,Final_48_team_stats!J:J)-_xlfn.XLOOKUP(Model_1_test18!C101,Final_48_team_stats!B:B,Final_48_team_stats!J:J)))</f>
        <v>12</v>
      </c>
      <c r="F101">
        <f>ABS(SUM(_xlfn.XLOOKUP(B101,Final_48_team_stats!B:B,Final_48_team_stats!K:K)-_xlfn.XLOOKUP(C101,Final_48_team_stats!B:B,Final_48_team_stats!K:K)))</f>
        <v>3.125</v>
      </c>
      <c r="G101">
        <v>6</v>
      </c>
      <c r="H101">
        <v>1400000</v>
      </c>
      <c r="I101">
        <v>16</v>
      </c>
      <c r="J101">
        <v>1.47</v>
      </c>
      <c r="K101">
        <f>ABS(SUM(_xlfn.XLOOKUP(B101,Final_48_team_stats!B:B,Final_48_team_stats!I:I)-(_xlfn.XLOOKUP(C101,Final_48_team_stats!B:B,Final_48_team_stats!I:I))))</f>
        <v>14.285714285714299</v>
      </c>
      <c r="L101">
        <f>ABS(SUM(_xlfn.XLOOKUP(B101,Final_48_team_stats!B:B,Final_48_team_stats!H:H)-(_xlfn.XLOOKUP(C101,Final_48_team_stats!B:B,Final_48_team_stats!H:H))))</f>
        <v>1</v>
      </c>
      <c r="M101">
        <f>ABS(SUM(_xlfn.XLOOKUP(B101,Final_48_team_stats!B:B,Final_48_team_stats!Q:Q)-(_xlfn.XLOOKUP(C101,Final_48_team_stats!B:B,Final_48_team_stats!Q:Q))))</f>
        <v>6.8716758042329379E-2</v>
      </c>
      <c r="N101">
        <f>ABS(SUM(_xlfn.XLOOKUP(B101,Final_48_team_stats!B:B,Final_48_team_stats!G:G)-(_xlfn.XLOOKUP(C101,Final_48_team_stats!B:B,Final_48_team_stats!G:G))))</f>
        <v>0.5</v>
      </c>
      <c r="O101">
        <v>2</v>
      </c>
    </row>
    <row r="102" spans="1:15" x14ac:dyDescent="0.45">
      <c r="A102" t="s">
        <v>442</v>
      </c>
      <c r="B102" t="s">
        <v>295</v>
      </c>
      <c r="C102" t="s">
        <v>293</v>
      </c>
      <c r="D102" s="8">
        <f>ABS(SUM(_xlfn.XLOOKUP(B102,Final_48_team_stats!B:B,Final_48_team_stats!M:M)-_xlfn.XLOOKUP(C102,Final_48_team_stats!B:B,Final_48_team_stats!M:M)))</f>
        <v>1.6785714285714004</v>
      </c>
      <c r="E102" s="8">
        <f>ABS(SUM(_xlfn.XLOOKUP(B102,Final_48_team_stats!B:B,Final_48_team_stats!J:J)-_xlfn.XLOOKUP(Model_1_test18!C102,Final_48_team_stats!B:B,Final_48_team_stats!J:J)))</f>
        <v>9.6666666666666998</v>
      </c>
      <c r="F102">
        <f>ABS(SUM(_xlfn.XLOOKUP(B102,Final_48_team_stats!B:B,Final_48_team_stats!K:K)-_xlfn.XLOOKUP(C102,Final_48_team_stats!B:B,Final_48_team_stats!K:K)))</f>
        <v>6.5714285714284983</v>
      </c>
      <c r="G102">
        <v>7</v>
      </c>
      <c r="H102">
        <v>1800000</v>
      </c>
      <c r="I102">
        <v>1</v>
      </c>
      <c r="J102">
        <v>1.3299999999999998</v>
      </c>
      <c r="K102">
        <f>ABS(SUM(_xlfn.XLOOKUP(B102,Final_48_team_stats!B:B,Final_48_team_stats!I:I)-(_xlfn.XLOOKUP(C102,Final_48_team_stats!B:B,Final_48_team_stats!I:I))))</f>
        <v>3.1428571428571033</v>
      </c>
      <c r="L102">
        <f>ABS(SUM(_xlfn.XLOOKUP(B102,Final_48_team_stats!B:B,Final_48_team_stats!H:H)-(_xlfn.XLOOKUP(C102,Final_48_team_stats!B:B,Final_48_team_stats!H:H))))</f>
        <v>13.7638888888888</v>
      </c>
      <c r="M102">
        <f>ABS(SUM(_xlfn.XLOOKUP(B102,Final_48_team_stats!B:B,Final_48_team_stats!Q:Q)-(_xlfn.XLOOKUP(C102,Final_48_team_stats!B:B,Final_48_team_stats!Q:Q))))</f>
        <v>3.2936716116715753E-2</v>
      </c>
      <c r="N102">
        <f>ABS(SUM(_xlfn.XLOOKUP(B102,Final_48_team_stats!B:B,Final_48_team_stats!G:G)-(_xlfn.XLOOKUP(C102,Final_48_team_stats!B:B,Final_48_team_stats!G:G))))</f>
        <v>0.5</v>
      </c>
      <c r="O102">
        <v>2</v>
      </c>
    </row>
    <row r="103" spans="1:15" x14ac:dyDescent="0.45">
      <c r="A103" t="s">
        <v>443</v>
      </c>
      <c r="B103" t="s">
        <v>300</v>
      </c>
      <c r="C103" t="s">
        <v>297</v>
      </c>
      <c r="D103" s="8">
        <f>ABS(SUM(_xlfn.XLOOKUP(B103,Final_48_team_stats!B:B,Final_48_team_stats!M:M)-_xlfn.XLOOKUP(C103,Final_48_team_stats!B:B,Final_48_team_stats!M:M)))</f>
        <v>7.5714285714286014</v>
      </c>
      <c r="E103" s="8">
        <f>ABS(SUM(_xlfn.XLOOKUP(B103,Final_48_team_stats!B:B,Final_48_team_stats!J:J)-_xlfn.XLOOKUP(Model_1_test18!C103,Final_48_team_stats!B:B,Final_48_team_stats!J:J)))</f>
        <v>6.6666666666666998</v>
      </c>
      <c r="F103">
        <f>ABS(SUM(_xlfn.XLOOKUP(B103,Final_48_team_stats!B:B,Final_48_team_stats!K:K)-_xlfn.XLOOKUP(C103,Final_48_team_stats!B:B,Final_48_team_stats!K:K)))</f>
        <v>13.75</v>
      </c>
      <c r="G103">
        <v>7</v>
      </c>
      <c r="H103">
        <v>2800000</v>
      </c>
      <c r="I103">
        <v>1</v>
      </c>
      <c r="J103">
        <v>1.31</v>
      </c>
      <c r="K103">
        <f>ABS(SUM(_xlfn.XLOOKUP(B103,Final_48_team_stats!B:B,Final_48_team_stats!I:I)-(_xlfn.XLOOKUP(C103,Final_48_team_stats!B:B,Final_48_team_stats!I:I))))</f>
        <v>10.714285714285694</v>
      </c>
      <c r="L103">
        <f>ABS(SUM(_xlfn.XLOOKUP(B103,Final_48_team_stats!B:B,Final_48_team_stats!H:H)-(_xlfn.XLOOKUP(C103,Final_48_team_stats!B:B,Final_48_team_stats!H:H))))</f>
        <v>28.9444444444445</v>
      </c>
      <c r="M103">
        <f>ABS(SUM(_xlfn.XLOOKUP(B103,Final_48_team_stats!B:B,Final_48_team_stats!Q:Q)-(_xlfn.XLOOKUP(C103,Final_48_team_stats!B:B,Final_48_team_stats!Q:Q))))</f>
        <v>2.4066768090902357E-4</v>
      </c>
      <c r="N103">
        <f>ABS(SUM(_xlfn.XLOOKUP(B103,Final_48_team_stats!B:B,Final_48_team_stats!G:G)-(_xlfn.XLOOKUP(C103,Final_48_team_stats!B:B,Final_48_team_stats!G:G))))</f>
        <v>2</v>
      </c>
      <c r="O103">
        <v>1</v>
      </c>
    </row>
    <row r="104" spans="1:15" x14ac:dyDescent="0.45">
      <c r="A104" t="s">
        <v>444</v>
      </c>
      <c r="B104" t="s">
        <v>300</v>
      </c>
      <c r="C104" t="s">
        <v>295</v>
      </c>
      <c r="D104" s="8">
        <f>ABS(SUM(_xlfn.XLOOKUP(B104,Final_48_team_stats!B:B,Final_48_team_stats!M:M)-_xlfn.XLOOKUP(C104,Final_48_team_stats!B:B,Final_48_team_stats!M:M)))</f>
        <v>6.1428571428570979</v>
      </c>
      <c r="E104" s="8">
        <f>ABS(SUM(_xlfn.XLOOKUP(B104,Final_48_team_stats!B:B,Final_48_team_stats!J:J)-_xlfn.XLOOKUP(Model_1_test18!C104,Final_48_team_stats!B:B,Final_48_team_stats!J:J)))</f>
        <v>15.6666666666667</v>
      </c>
      <c r="F104">
        <f>ABS(SUM(_xlfn.XLOOKUP(B104,Final_48_team_stats!B:B,Final_48_team_stats!K:K)-_xlfn.XLOOKUP(C104,Final_48_team_stats!B:B,Final_48_team_stats!K:K)))</f>
        <v>7.2857142857142989</v>
      </c>
      <c r="G104">
        <v>8</v>
      </c>
      <c r="H104">
        <v>2000000</v>
      </c>
      <c r="I104">
        <v>3</v>
      </c>
      <c r="J104">
        <v>0</v>
      </c>
      <c r="K104">
        <f>ABS(SUM(_xlfn.XLOOKUP(B104,Final_48_team_stats!B:B,Final_48_team_stats!I:I)-(_xlfn.XLOOKUP(C104,Final_48_team_stats!B:B,Final_48_team_stats!I:I))))</f>
        <v>8</v>
      </c>
      <c r="L104">
        <f>ABS(SUM(_xlfn.XLOOKUP(B104,Final_48_team_stats!B:B,Final_48_team_stats!H:H)-(_xlfn.XLOOKUP(C104,Final_48_team_stats!B:B,Final_48_team_stats!H:H))))</f>
        <v>13.3333333333333</v>
      </c>
      <c r="M104">
        <f>ABS(SUM(_xlfn.XLOOKUP(B104,Final_48_team_stats!B:B,Final_48_team_stats!Q:Q)-(_xlfn.XLOOKUP(C104,Final_48_team_stats!B:B,Final_48_team_stats!Q:Q))))</f>
        <v>5.3483725158493173E-2</v>
      </c>
      <c r="N104">
        <f>ABS(SUM(_xlfn.XLOOKUP(B104,Final_48_team_stats!B:B,Final_48_team_stats!G:G)-(_xlfn.XLOOKUP(C104,Final_48_team_stats!B:B,Final_48_team_stats!G:G))))</f>
        <v>1</v>
      </c>
      <c r="O104">
        <v>2</v>
      </c>
    </row>
    <row r="105" spans="1:15" x14ac:dyDescent="0.45">
      <c r="A105" t="s">
        <v>445</v>
      </c>
      <c r="B105" t="s">
        <v>293</v>
      </c>
      <c r="C105" t="s">
        <v>297</v>
      </c>
      <c r="D105" s="8">
        <f>ABS(SUM(_xlfn.XLOOKUP(B105,Final_48_team_stats!B:B,Final_48_team_stats!M:M)-_xlfn.XLOOKUP(C105,Final_48_team_stats!B:B,Final_48_team_stats!M:M)))</f>
        <v>15.3928571428571</v>
      </c>
      <c r="E105" s="8">
        <f>ABS(SUM(_xlfn.XLOOKUP(B105,Final_48_team_stats!B:B,Final_48_team_stats!J:J)-_xlfn.XLOOKUP(Model_1_test18!C105,Final_48_team_stats!B:B,Final_48_team_stats!J:J)))</f>
        <v>0.66666666666669983</v>
      </c>
      <c r="F105">
        <f>ABS(SUM(_xlfn.XLOOKUP(B105,Final_48_team_stats!B:B,Final_48_team_stats!K:K)-_xlfn.XLOOKUP(C105,Final_48_team_stats!B:B,Final_48_team_stats!K:K)))</f>
        <v>14.464285714285801</v>
      </c>
      <c r="G105">
        <v>8</v>
      </c>
      <c r="H105">
        <v>1000000</v>
      </c>
      <c r="I105">
        <v>1</v>
      </c>
      <c r="J105">
        <v>2.0699999999999998</v>
      </c>
      <c r="K105">
        <f>ABS(SUM(_xlfn.XLOOKUP(B105,Final_48_team_stats!B:B,Final_48_team_stats!I:I)-(_xlfn.XLOOKUP(C105,Final_48_team_stats!B:B,Final_48_team_stats!I:I))))</f>
        <v>21.857142857142797</v>
      </c>
      <c r="L105">
        <f>ABS(SUM(_xlfn.XLOOKUP(B105,Final_48_team_stats!B:B,Final_48_team_stats!H:H)-(_xlfn.XLOOKUP(C105,Final_48_team_stats!B:B,Final_48_team_stats!H:H))))</f>
        <v>29.375</v>
      </c>
      <c r="M105">
        <f>ABS(SUM(_xlfn.XLOOKUP(B105,Final_48_team_stats!B:B,Final_48_team_stats!Q:Q)-(_xlfn.XLOOKUP(C105,Final_48_team_stats!B:B,Final_48_team_stats!Q:Q))))</f>
        <v>2.0787676722686443E-2</v>
      </c>
      <c r="N105">
        <f>ABS(SUM(_xlfn.XLOOKUP(B105,Final_48_team_stats!B:B,Final_48_team_stats!G:G)-(_xlfn.XLOOKUP(C105,Final_48_team_stats!B:B,Final_48_team_stats!G:G))))</f>
        <v>1.5</v>
      </c>
      <c r="O1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7FB6-DB93-4E24-B2E6-99403F825726}">
  <dimension ref="A1:R49"/>
  <sheetViews>
    <sheetView workbookViewId="0">
      <selection sqref="A1:G1048576"/>
    </sheetView>
  </sheetViews>
  <sheetFormatPr defaultRowHeight="12" x14ac:dyDescent="0.4"/>
  <cols>
    <col min="1" max="2" width="9.06640625" style="9"/>
    <col min="3" max="3" width="11.796875" style="9" customWidth="1"/>
    <col min="4" max="4" width="10.73046875" style="9" customWidth="1"/>
    <col min="5" max="5" width="11.33203125" style="9" customWidth="1"/>
    <col min="6" max="6" width="11.53125" style="9" customWidth="1"/>
    <col min="7" max="7" width="11.73046875" style="9" customWidth="1"/>
    <col min="8" max="8" width="10.59765625" style="9" customWidth="1"/>
    <col min="9" max="9" width="11.3984375" style="9" customWidth="1"/>
    <col min="10" max="16384" width="9.06640625" style="9"/>
  </cols>
  <sheetData>
    <row r="1" spans="1:18" x14ac:dyDescent="0.4">
      <c r="B1" s="9" t="s">
        <v>446</v>
      </c>
      <c r="C1" s="9" t="s">
        <v>447</v>
      </c>
      <c r="D1" s="9" t="s">
        <v>448</v>
      </c>
      <c r="E1" s="9" t="s">
        <v>449</v>
      </c>
      <c r="F1" s="9" t="s">
        <v>450</v>
      </c>
      <c r="G1" s="9" t="s">
        <v>451</v>
      </c>
      <c r="H1" s="9" t="s">
        <v>452</v>
      </c>
      <c r="I1" s="9" t="s">
        <v>453</v>
      </c>
      <c r="J1" s="9" t="s">
        <v>454</v>
      </c>
      <c r="K1" s="9" t="s">
        <v>455</v>
      </c>
      <c r="L1" s="9" t="s">
        <v>456</v>
      </c>
      <c r="M1" s="9" t="s">
        <v>457</v>
      </c>
      <c r="N1" s="9" t="s">
        <v>458</v>
      </c>
      <c r="O1" s="9" t="s">
        <v>459</v>
      </c>
      <c r="Q1" s="9" t="s">
        <v>460</v>
      </c>
    </row>
    <row r="2" spans="1:18" x14ac:dyDescent="0.4">
      <c r="A2" s="9">
        <v>0</v>
      </c>
      <c r="B2" s="9" t="s">
        <v>325</v>
      </c>
      <c r="C2" s="9">
        <v>778</v>
      </c>
      <c r="D2" s="9">
        <v>122</v>
      </c>
      <c r="E2" s="9">
        <v>29.923076923076898</v>
      </c>
      <c r="F2" s="9">
        <v>4.6923076923076898</v>
      </c>
      <c r="G2" s="9">
        <v>26</v>
      </c>
      <c r="H2" s="9">
        <v>36</v>
      </c>
      <c r="I2" s="9">
        <v>31.1428571428571</v>
      </c>
      <c r="J2" s="9">
        <v>4.6666666666666599</v>
      </c>
      <c r="K2" s="9">
        <v>31.714285714285701</v>
      </c>
      <c r="L2" s="9">
        <v>2.7777777777777701</v>
      </c>
      <c r="M2" s="9">
        <v>11</v>
      </c>
      <c r="N2" s="9">
        <v>0</v>
      </c>
      <c r="O2" s="9">
        <v>2.8571428571428501</v>
      </c>
      <c r="Q2" s="10">
        <f>D2/C2</f>
        <v>0.15681233933161953</v>
      </c>
      <c r="R2" s="10"/>
    </row>
    <row r="3" spans="1:18" x14ac:dyDescent="0.4">
      <c r="A3" s="9">
        <v>1</v>
      </c>
      <c r="B3" s="9" t="s">
        <v>297</v>
      </c>
      <c r="C3" s="9">
        <v>1251</v>
      </c>
      <c r="D3" s="9">
        <v>223</v>
      </c>
      <c r="E3" s="9">
        <v>48.115384615384599</v>
      </c>
      <c r="F3" s="9">
        <v>8.5769230769230695</v>
      </c>
      <c r="G3" s="9">
        <v>28</v>
      </c>
      <c r="H3" s="9">
        <v>49.5</v>
      </c>
      <c r="I3" s="9">
        <v>52.857142857142797</v>
      </c>
      <c r="J3" s="9">
        <v>23.6666666666666</v>
      </c>
      <c r="K3" s="9">
        <v>51.75</v>
      </c>
      <c r="L3" s="9">
        <v>2</v>
      </c>
      <c r="M3" s="9">
        <v>25.1428571428571</v>
      </c>
      <c r="N3" s="9">
        <v>0</v>
      </c>
      <c r="O3" s="9">
        <v>3.875</v>
      </c>
      <c r="Q3" s="10">
        <f t="shared" ref="Q3:Q49" si="0">D3/C3</f>
        <v>0.17825739408473221</v>
      </c>
      <c r="R3" s="10"/>
    </row>
    <row r="4" spans="1:18" x14ac:dyDescent="0.4">
      <c r="A4" s="9">
        <v>2</v>
      </c>
      <c r="B4" s="9" t="s">
        <v>286</v>
      </c>
      <c r="C4" s="9">
        <v>1003</v>
      </c>
      <c r="D4" s="9">
        <v>149</v>
      </c>
      <c r="E4" s="9">
        <v>38.576923076923002</v>
      </c>
      <c r="F4" s="9">
        <v>5.7307692307692299</v>
      </c>
      <c r="G4" s="9">
        <v>26.5</v>
      </c>
      <c r="H4" s="9">
        <v>29.7</v>
      </c>
      <c r="I4" s="9">
        <v>58.75</v>
      </c>
      <c r="J4" s="9">
        <v>20.3333333333333</v>
      </c>
      <c r="K4" s="9">
        <v>35</v>
      </c>
      <c r="L4" s="9">
        <v>1.5</v>
      </c>
      <c r="M4" s="9">
        <v>14</v>
      </c>
      <c r="N4" s="9">
        <v>1</v>
      </c>
      <c r="O4" s="9">
        <v>3.8</v>
      </c>
      <c r="Q4" s="10">
        <f t="shared" si="0"/>
        <v>0.14855433698903289</v>
      </c>
      <c r="R4" s="10"/>
    </row>
    <row r="5" spans="1:18" x14ac:dyDescent="0.4">
      <c r="A5" s="9">
        <v>3</v>
      </c>
      <c r="B5" s="9" t="s">
        <v>298</v>
      </c>
      <c r="C5" s="9">
        <v>1068</v>
      </c>
      <c r="D5" s="9">
        <v>154</v>
      </c>
      <c r="E5" s="9">
        <v>41.076923076923002</v>
      </c>
      <c r="F5" s="9">
        <v>5.9230769230769198</v>
      </c>
      <c r="G5" s="9">
        <v>28</v>
      </c>
      <c r="H5" s="9">
        <v>37.625</v>
      </c>
      <c r="I5" s="9">
        <v>68</v>
      </c>
      <c r="J5" s="9">
        <v>16.3333333333333</v>
      </c>
      <c r="K5" s="9">
        <v>40.545454545454497</v>
      </c>
      <c r="L5" s="9">
        <v>2.875</v>
      </c>
      <c r="M5" s="9">
        <v>19.75</v>
      </c>
      <c r="N5" s="9">
        <v>0</v>
      </c>
      <c r="O5" s="9">
        <v>4.7272727272727204</v>
      </c>
      <c r="Q5" s="10">
        <f t="shared" si="0"/>
        <v>0.14419475655430711</v>
      </c>
      <c r="R5" s="10"/>
    </row>
    <row r="6" spans="1:18" x14ac:dyDescent="0.4">
      <c r="A6" s="9">
        <v>4</v>
      </c>
      <c r="B6" s="9" t="s">
        <v>290</v>
      </c>
      <c r="C6" s="9">
        <v>1085</v>
      </c>
      <c r="D6" s="9">
        <v>214</v>
      </c>
      <c r="E6" s="9">
        <v>41.730769230769198</v>
      </c>
      <c r="F6" s="9">
        <v>8.2307692307692299</v>
      </c>
      <c r="G6" s="9">
        <v>25.5</v>
      </c>
      <c r="H6" s="9">
        <v>27.4444444444444</v>
      </c>
      <c r="I6" s="9">
        <v>47</v>
      </c>
      <c r="J6" s="9">
        <v>37</v>
      </c>
      <c r="K6" s="9">
        <v>55.625</v>
      </c>
      <c r="L6" s="9">
        <v>2.1111111111111098</v>
      </c>
      <c r="M6" s="9">
        <v>20.1666666666666</v>
      </c>
      <c r="N6" s="9">
        <v>0</v>
      </c>
      <c r="O6" s="9">
        <v>9.25</v>
      </c>
      <c r="Q6" s="10">
        <f t="shared" si="0"/>
        <v>0.19723502304147467</v>
      </c>
      <c r="R6" s="10"/>
    </row>
    <row r="7" spans="1:18" x14ac:dyDescent="0.4">
      <c r="A7" s="9">
        <v>5</v>
      </c>
      <c r="B7" s="9" t="s">
        <v>316</v>
      </c>
      <c r="C7" s="9">
        <v>597</v>
      </c>
      <c r="D7" s="9">
        <v>93</v>
      </c>
      <c r="E7" s="9">
        <v>22.9615384615384</v>
      </c>
      <c r="F7" s="9">
        <v>3.57692307692307</v>
      </c>
      <c r="G7" s="9">
        <v>27</v>
      </c>
      <c r="H7" s="9">
        <v>22.625</v>
      </c>
      <c r="I7" s="9">
        <v>34.285714285714199</v>
      </c>
      <c r="J7" s="9">
        <v>9.6666666666666607</v>
      </c>
      <c r="K7" s="9">
        <v>18.375</v>
      </c>
      <c r="L7" s="9">
        <v>0.625</v>
      </c>
      <c r="M7" s="9">
        <v>12</v>
      </c>
      <c r="N7" s="9">
        <v>0</v>
      </c>
      <c r="O7" s="9">
        <v>0.5</v>
      </c>
      <c r="Q7" s="10">
        <f t="shared" si="0"/>
        <v>0.15577889447236182</v>
      </c>
      <c r="R7" s="10"/>
    </row>
    <row r="8" spans="1:18" x14ac:dyDescent="0.4">
      <c r="A8" s="9">
        <v>6</v>
      </c>
      <c r="B8" s="9" t="s">
        <v>284</v>
      </c>
      <c r="C8" s="9">
        <v>916</v>
      </c>
      <c r="D8" s="9">
        <v>152</v>
      </c>
      <c r="E8" s="9">
        <v>35.230769230769198</v>
      </c>
      <c r="F8" s="9">
        <v>5.8461538461538396</v>
      </c>
      <c r="G8" s="9">
        <v>28.5</v>
      </c>
      <c r="H8" s="9">
        <v>32.875</v>
      </c>
      <c r="I8" s="9">
        <v>33.3333333333333</v>
      </c>
      <c r="J8" s="9">
        <v>40.3333333333333</v>
      </c>
      <c r="K8" s="9">
        <v>38.6666666666666</v>
      </c>
      <c r="L8" s="9">
        <v>1.5</v>
      </c>
      <c r="M8" s="9">
        <v>12.5555555555555</v>
      </c>
      <c r="N8" s="9">
        <v>0</v>
      </c>
      <c r="O8" s="9">
        <v>4.5</v>
      </c>
      <c r="Q8" s="10">
        <f t="shared" si="0"/>
        <v>0.16593886462882096</v>
      </c>
      <c r="R8" s="10"/>
    </row>
    <row r="9" spans="1:18" x14ac:dyDescent="0.4">
      <c r="A9" s="9">
        <v>7</v>
      </c>
      <c r="B9" s="9" t="s">
        <v>282</v>
      </c>
      <c r="C9" s="9">
        <v>953</v>
      </c>
      <c r="D9" s="9">
        <v>133</v>
      </c>
      <c r="E9" s="9">
        <v>36.653846153846096</v>
      </c>
      <c r="F9" s="9">
        <v>5.1153846153846096</v>
      </c>
      <c r="G9" s="9">
        <v>26</v>
      </c>
      <c r="H9" s="9">
        <v>34</v>
      </c>
      <c r="I9" s="9">
        <v>42.714285714285701</v>
      </c>
      <c r="J9" s="9">
        <v>17.3333333333333</v>
      </c>
      <c r="K9" s="9">
        <v>42.285714285714199</v>
      </c>
      <c r="L9" s="9">
        <v>2.2222222222222201</v>
      </c>
      <c r="M9" s="9">
        <v>12.285714285714199</v>
      </c>
      <c r="N9" s="9">
        <v>0</v>
      </c>
      <c r="O9" s="9">
        <v>3.8571428571428501</v>
      </c>
      <c r="Q9" s="10">
        <f t="shared" si="0"/>
        <v>0.13955928646379853</v>
      </c>
      <c r="R9" s="10"/>
    </row>
    <row r="10" spans="1:18" x14ac:dyDescent="0.4">
      <c r="A10" s="9">
        <v>8</v>
      </c>
      <c r="B10" s="9" t="s">
        <v>292</v>
      </c>
      <c r="C10" s="9">
        <v>703</v>
      </c>
      <c r="D10" s="9">
        <v>83</v>
      </c>
      <c r="E10" s="9">
        <v>27.038461538461501</v>
      </c>
      <c r="F10" s="9">
        <v>3.1923076923076898</v>
      </c>
      <c r="G10" s="9">
        <v>25</v>
      </c>
      <c r="H10" s="9">
        <v>27.375</v>
      </c>
      <c r="I10" s="9">
        <v>19.3333333333333</v>
      </c>
      <c r="J10" s="9">
        <v>13</v>
      </c>
      <c r="K10" s="9">
        <v>45.1666666666666</v>
      </c>
      <c r="L10" s="9">
        <v>0.875</v>
      </c>
      <c r="M10" s="9">
        <v>4.2222222222222197</v>
      </c>
      <c r="N10" s="9">
        <v>0</v>
      </c>
      <c r="O10" s="9">
        <v>6.3333333333333304</v>
      </c>
      <c r="Q10" s="10">
        <f t="shared" si="0"/>
        <v>0.11806543385490754</v>
      </c>
      <c r="R10" s="10"/>
    </row>
    <row r="11" spans="1:18" x14ac:dyDescent="0.4">
      <c r="A11" s="9">
        <v>9</v>
      </c>
      <c r="B11" s="9" t="s">
        <v>324</v>
      </c>
      <c r="C11" s="9">
        <v>796</v>
      </c>
      <c r="D11" s="9">
        <v>82</v>
      </c>
      <c r="E11" s="9">
        <v>30.615384615384599</v>
      </c>
      <c r="F11" s="9">
        <v>3.1538461538461502</v>
      </c>
      <c r="G11" s="9">
        <v>29</v>
      </c>
      <c r="H11" s="9">
        <v>31.5</v>
      </c>
      <c r="I11" s="9">
        <v>38.285714285714199</v>
      </c>
      <c r="J11" s="9">
        <v>11</v>
      </c>
      <c r="K11" s="9">
        <v>30.375</v>
      </c>
      <c r="L11" s="9">
        <v>1.75</v>
      </c>
      <c r="M11" s="9">
        <v>7.8571428571428497</v>
      </c>
      <c r="N11" s="9">
        <v>0</v>
      </c>
      <c r="O11" s="9">
        <v>1.625</v>
      </c>
      <c r="Q11" s="10">
        <f t="shared" si="0"/>
        <v>0.10301507537688442</v>
      </c>
      <c r="R11" s="10"/>
    </row>
    <row r="12" spans="1:18" x14ac:dyDescent="0.4">
      <c r="A12" s="9">
        <v>10</v>
      </c>
      <c r="B12" s="9" t="s">
        <v>314</v>
      </c>
      <c r="C12" s="9">
        <v>1042</v>
      </c>
      <c r="D12" s="9">
        <v>108</v>
      </c>
      <c r="E12" s="9">
        <v>40.076923076923002</v>
      </c>
      <c r="F12" s="9">
        <v>4.1538461538461497</v>
      </c>
      <c r="G12" s="9">
        <v>29</v>
      </c>
      <c r="H12" s="9">
        <v>39.4444444444444</v>
      </c>
      <c r="I12" s="9">
        <v>22.3333333333333</v>
      </c>
      <c r="J12" s="9">
        <v>61.3333333333333</v>
      </c>
      <c r="K12" s="9">
        <v>46.125</v>
      </c>
      <c r="L12" s="9">
        <v>2</v>
      </c>
      <c r="M12" s="9">
        <v>6.3333333333333304</v>
      </c>
      <c r="N12" s="9">
        <v>0</v>
      </c>
      <c r="O12" s="9">
        <v>6.5</v>
      </c>
      <c r="Q12" s="10">
        <f t="shared" si="0"/>
        <v>0.1036468330134357</v>
      </c>
      <c r="R12" s="10"/>
    </row>
    <row r="13" spans="1:18" x14ac:dyDescent="0.4">
      <c r="A13" s="9">
        <v>11</v>
      </c>
      <c r="B13" s="9" t="s">
        <v>321</v>
      </c>
      <c r="C13" s="9">
        <v>823</v>
      </c>
      <c r="D13" s="9">
        <v>75</v>
      </c>
      <c r="E13" s="9">
        <v>31.6538461538461</v>
      </c>
      <c r="F13" s="9">
        <v>2.8846153846153801</v>
      </c>
      <c r="G13" s="9">
        <v>29</v>
      </c>
      <c r="H13" s="9">
        <v>27.125</v>
      </c>
      <c r="I13" s="9">
        <v>46.3333333333333</v>
      </c>
      <c r="J13" s="9">
        <v>34</v>
      </c>
      <c r="K13" s="9">
        <v>30.4166666666666</v>
      </c>
      <c r="L13" s="9">
        <v>1.25</v>
      </c>
      <c r="M13" s="9">
        <v>11.6666666666666</v>
      </c>
      <c r="N13" s="9">
        <v>0</v>
      </c>
      <c r="O13" s="9">
        <v>2.5</v>
      </c>
      <c r="Q13" s="10">
        <f t="shared" si="0"/>
        <v>9.1130012150668294E-2</v>
      </c>
      <c r="R13" s="10"/>
    </row>
    <row r="14" spans="1:18" x14ac:dyDescent="0.4">
      <c r="A14" s="9">
        <v>12</v>
      </c>
      <c r="B14" s="9" t="s">
        <v>323</v>
      </c>
      <c r="C14" s="9">
        <v>1160</v>
      </c>
      <c r="D14" s="9">
        <v>153</v>
      </c>
      <c r="E14" s="9">
        <v>44.615384615384599</v>
      </c>
      <c r="F14" s="9">
        <v>5.8846153846153797</v>
      </c>
      <c r="G14" s="9">
        <v>28</v>
      </c>
      <c r="H14" s="9">
        <v>25.625</v>
      </c>
      <c r="I14" s="9">
        <v>57.1666666666666</v>
      </c>
      <c r="J14" s="9">
        <v>26.3333333333333</v>
      </c>
      <c r="K14" s="9">
        <v>59.2222222222222</v>
      </c>
      <c r="L14" s="9">
        <v>1.125</v>
      </c>
      <c r="M14" s="9">
        <v>14</v>
      </c>
      <c r="N14" s="9">
        <v>0</v>
      </c>
      <c r="O14" s="9">
        <v>6.6666666666666599</v>
      </c>
      <c r="Q14" s="10">
        <f t="shared" si="0"/>
        <v>0.13189655172413794</v>
      </c>
      <c r="R14" s="10"/>
    </row>
    <row r="15" spans="1:18" x14ac:dyDescent="0.4">
      <c r="A15" s="9">
        <v>13</v>
      </c>
      <c r="B15" s="9" t="s">
        <v>317</v>
      </c>
      <c r="C15" s="9">
        <v>618</v>
      </c>
      <c r="D15" s="9">
        <v>73</v>
      </c>
      <c r="E15" s="9">
        <v>23.769230769230699</v>
      </c>
      <c r="F15" s="9">
        <v>2.8076923076922999</v>
      </c>
      <c r="G15" s="9">
        <v>26.5</v>
      </c>
      <c r="H15" s="9">
        <v>19.375</v>
      </c>
      <c r="I15" s="9">
        <v>22.125</v>
      </c>
      <c r="J15" s="9">
        <v>27.6666666666666</v>
      </c>
      <c r="K15" s="9">
        <v>29</v>
      </c>
      <c r="L15" s="9">
        <v>0.5</v>
      </c>
      <c r="M15" s="9">
        <v>3.625</v>
      </c>
      <c r="N15" s="9">
        <v>0</v>
      </c>
      <c r="O15" s="9">
        <v>5.71428571428571</v>
      </c>
      <c r="Q15" s="10">
        <f t="shared" si="0"/>
        <v>0.11812297734627832</v>
      </c>
      <c r="R15" s="10"/>
    </row>
    <row r="16" spans="1:18" x14ac:dyDescent="0.4">
      <c r="A16" s="9">
        <v>14</v>
      </c>
      <c r="B16" s="9" t="s">
        <v>304</v>
      </c>
      <c r="C16" s="9">
        <v>723</v>
      </c>
      <c r="D16" s="9">
        <v>98</v>
      </c>
      <c r="E16" s="9">
        <v>27.807692307692299</v>
      </c>
      <c r="F16" s="9">
        <v>3.7692307692307598</v>
      </c>
      <c r="G16" s="9">
        <v>27</v>
      </c>
      <c r="H16" s="9">
        <v>25.7777777777777</v>
      </c>
      <c r="I16" s="9">
        <v>27.714285714285701</v>
      </c>
      <c r="J16" s="9">
        <v>11.6666666666666</v>
      </c>
      <c r="K16" s="9">
        <v>37.428571428571402</v>
      </c>
      <c r="L16" s="9">
        <v>1.55555555555555</v>
      </c>
      <c r="M16" s="9">
        <v>7.5714285714285703</v>
      </c>
      <c r="N16" s="9">
        <v>0</v>
      </c>
      <c r="O16" s="9">
        <v>4.4285714285714199</v>
      </c>
      <c r="Q16" s="10">
        <f t="shared" si="0"/>
        <v>0.13554633471645919</v>
      </c>
      <c r="R16" s="10"/>
    </row>
    <row r="17" spans="1:18" x14ac:dyDescent="0.4">
      <c r="A17" s="9">
        <v>15</v>
      </c>
      <c r="B17" s="9" t="s">
        <v>309</v>
      </c>
      <c r="C17" s="9">
        <v>771</v>
      </c>
      <c r="D17" s="9">
        <v>95</v>
      </c>
      <c r="E17" s="9">
        <v>29.6538461538461</v>
      </c>
      <c r="F17" s="9">
        <v>3.6538461538461502</v>
      </c>
      <c r="G17" s="9">
        <v>25</v>
      </c>
      <c r="H17" s="9">
        <v>34.625</v>
      </c>
      <c r="I17" s="9">
        <v>35.285714285714199</v>
      </c>
      <c r="J17" s="9">
        <v>15.3333333333333</v>
      </c>
      <c r="K17" s="9">
        <v>25.125</v>
      </c>
      <c r="L17" s="9">
        <v>2</v>
      </c>
      <c r="M17" s="9">
        <v>9.71428571428571</v>
      </c>
      <c r="N17" s="9">
        <v>0</v>
      </c>
      <c r="O17" s="9">
        <v>1.375</v>
      </c>
      <c r="Q17" s="10">
        <f t="shared" si="0"/>
        <v>0.12321660181582361</v>
      </c>
      <c r="R17" s="10"/>
    </row>
    <row r="18" spans="1:18" x14ac:dyDescent="0.4">
      <c r="A18" s="9">
        <v>16</v>
      </c>
      <c r="B18" s="9" t="s">
        <v>322</v>
      </c>
      <c r="C18" s="9">
        <v>821</v>
      </c>
      <c r="D18" s="9">
        <v>126</v>
      </c>
      <c r="E18" s="9">
        <v>31.576923076922998</v>
      </c>
      <c r="F18" s="9">
        <v>4.8461538461538396</v>
      </c>
      <c r="G18" s="9">
        <v>28.5</v>
      </c>
      <c r="H18" s="9">
        <v>25.375</v>
      </c>
      <c r="I18" s="9">
        <v>50.714285714285701</v>
      </c>
      <c r="J18" s="9">
        <v>21.25</v>
      </c>
      <c r="K18" s="9">
        <v>25.428571428571399</v>
      </c>
      <c r="L18" s="9">
        <v>1.25</v>
      </c>
      <c r="M18" s="9">
        <v>15.5714285714285</v>
      </c>
      <c r="N18" s="9">
        <v>0</v>
      </c>
      <c r="O18" s="9">
        <v>1</v>
      </c>
      <c r="Q18" s="10">
        <f t="shared" si="0"/>
        <v>0.15347137637028013</v>
      </c>
      <c r="R18" s="10"/>
    </row>
    <row r="19" spans="1:18" x14ac:dyDescent="0.4">
      <c r="A19" s="9">
        <v>17</v>
      </c>
      <c r="B19" s="9" t="s">
        <v>300</v>
      </c>
      <c r="C19" s="9">
        <v>837</v>
      </c>
      <c r="D19" s="9">
        <v>149</v>
      </c>
      <c r="E19" s="9">
        <v>32.192307692307601</v>
      </c>
      <c r="F19" s="9">
        <v>5.7307692307692299</v>
      </c>
      <c r="G19" s="9">
        <v>26</v>
      </c>
      <c r="H19" s="9">
        <v>20.5555555555555</v>
      </c>
      <c r="I19" s="9">
        <v>42.142857142857103</v>
      </c>
      <c r="J19" s="9">
        <v>30.3333333333333</v>
      </c>
      <c r="K19" s="9">
        <v>38</v>
      </c>
      <c r="L19" s="9">
        <v>0.66666666666666596</v>
      </c>
      <c r="M19" s="9">
        <v>17.571428571428498</v>
      </c>
      <c r="N19" s="9">
        <v>0</v>
      </c>
      <c r="O19" s="9">
        <v>2.8571428571428501</v>
      </c>
      <c r="Q19" s="10">
        <f t="shared" si="0"/>
        <v>0.17801672640382318</v>
      </c>
      <c r="R19" s="10"/>
    </row>
    <row r="20" spans="1:18" x14ac:dyDescent="0.4">
      <c r="A20" s="9">
        <v>18</v>
      </c>
      <c r="B20" s="9" t="s">
        <v>293</v>
      </c>
      <c r="C20" s="9">
        <v>743</v>
      </c>
      <c r="D20" s="9">
        <v>117</v>
      </c>
      <c r="E20" s="9">
        <v>28.576923076922998</v>
      </c>
      <c r="F20" s="9">
        <v>4.5</v>
      </c>
      <c r="G20" s="9">
        <v>26.5</v>
      </c>
      <c r="H20" s="9">
        <v>20.125</v>
      </c>
      <c r="I20" s="9">
        <v>31</v>
      </c>
      <c r="J20" s="9">
        <v>24.3333333333333</v>
      </c>
      <c r="K20" s="9">
        <v>37.285714285714199</v>
      </c>
      <c r="L20" s="9">
        <v>0.375</v>
      </c>
      <c r="M20" s="9">
        <v>9.75</v>
      </c>
      <c r="N20" s="9">
        <v>0</v>
      </c>
      <c r="O20" s="9">
        <v>5.1428571428571397</v>
      </c>
      <c r="Q20" s="10">
        <f t="shared" si="0"/>
        <v>0.15746971736204576</v>
      </c>
      <c r="R20" s="10"/>
    </row>
    <row r="21" spans="1:18" x14ac:dyDescent="0.4">
      <c r="A21" s="9">
        <v>19</v>
      </c>
      <c r="B21" s="9" t="s">
        <v>295</v>
      </c>
      <c r="C21" s="9">
        <v>803</v>
      </c>
      <c r="D21" s="9">
        <v>100</v>
      </c>
      <c r="E21" s="9">
        <v>30.884615384615302</v>
      </c>
      <c r="F21" s="9">
        <v>3.84615384615384</v>
      </c>
      <c r="G21" s="9">
        <v>27</v>
      </c>
      <c r="H21" s="9">
        <v>33.8888888888888</v>
      </c>
      <c r="I21" s="9">
        <v>34.142857142857103</v>
      </c>
      <c r="J21" s="9">
        <v>14.6666666666666</v>
      </c>
      <c r="K21" s="9">
        <v>30.714285714285701</v>
      </c>
      <c r="L21" s="9">
        <v>0.44444444444444398</v>
      </c>
      <c r="M21" s="9">
        <v>11.4285714285714</v>
      </c>
      <c r="N21" s="9">
        <v>0</v>
      </c>
      <c r="O21" s="9">
        <v>2.2857142857142798</v>
      </c>
      <c r="Q21" s="10">
        <f t="shared" si="0"/>
        <v>0.12453300124533001</v>
      </c>
      <c r="R21" s="10"/>
    </row>
    <row r="22" spans="1:18" x14ac:dyDescent="0.4">
      <c r="A22" s="9">
        <v>20</v>
      </c>
      <c r="B22" s="9" t="s">
        <v>287</v>
      </c>
      <c r="C22" s="9">
        <v>844</v>
      </c>
      <c r="D22" s="9">
        <v>105</v>
      </c>
      <c r="E22" s="9">
        <v>32.461538461538403</v>
      </c>
      <c r="F22" s="9">
        <v>4.0384615384615303</v>
      </c>
      <c r="G22" s="9">
        <v>27.5</v>
      </c>
      <c r="H22" s="9">
        <v>40.75</v>
      </c>
      <c r="I22" s="9">
        <v>21.75</v>
      </c>
      <c r="J22" s="9">
        <v>46.6666666666666</v>
      </c>
      <c r="K22" s="9">
        <v>26.4545454545454</v>
      </c>
      <c r="L22" s="9">
        <v>1.875</v>
      </c>
      <c r="M22" s="9">
        <v>8</v>
      </c>
      <c r="N22" s="9">
        <v>0</v>
      </c>
      <c r="O22" s="9">
        <v>5.2727272727272698</v>
      </c>
      <c r="Q22" s="10">
        <f t="shared" si="0"/>
        <v>0.12440758293838862</v>
      </c>
      <c r="R22" s="10"/>
    </row>
    <row r="23" spans="1:18" x14ac:dyDescent="0.4">
      <c r="A23" s="9">
        <v>21</v>
      </c>
      <c r="B23" s="9" t="s">
        <v>303</v>
      </c>
      <c r="C23" s="9">
        <v>561</v>
      </c>
      <c r="D23" s="9">
        <v>67</v>
      </c>
      <c r="E23" s="9">
        <v>21.576923076922998</v>
      </c>
      <c r="F23" s="9">
        <v>2.57692307692307</v>
      </c>
      <c r="G23" s="9">
        <v>26.5</v>
      </c>
      <c r="H23" s="9">
        <v>16.4444444444444</v>
      </c>
      <c r="I23" s="9">
        <v>30.25</v>
      </c>
      <c r="J23" s="9">
        <v>13.6666666666666</v>
      </c>
      <c r="K23" s="9">
        <v>21.6666666666666</v>
      </c>
      <c r="L23" s="9">
        <v>0.33333333333333298</v>
      </c>
      <c r="M23" s="9">
        <v>5.625</v>
      </c>
      <c r="N23" s="9">
        <v>0</v>
      </c>
      <c r="O23" s="9">
        <v>3.1666666666666599</v>
      </c>
      <c r="Q23" s="10">
        <f t="shared" si="0"/>
        <v>0.11942959001782531</v>
      </c>
      <c r="R23" s="10"/>
    </row>
    <row r="24" spans="1:18" x14ac:dyDescent="0.4">
      <c r="A24" s="9">
        <v>22</v>
      </c>
      <c r="B24" s="9" t="s">
        <v>285</v>
      </c>
      <c r="C24" s="9">
        <v>624</v>
      </c>
      <c r="D24" s="9">
        <v>115</v>
      </c>
      <c r="E24" s="9">
        <v>24</v>
      </c>
      <c r="F24" s="9">
        <v>4.4230769230769198</v>
      </c>
      <c r="G24" s="9">
        <v>26</v>
      </c>
      <c r="H24" s="9">
        <v>22.3333333333333</v>
      </c>
      <c r="I24" s="9">
        <v>27.5555555555555</v>
      </c>
      <c r="J24" s="9">
        <v>35</v>
      </c>
      <c r="K24" s="9">
        <v>14</v>
      </c>
      <c r="L24" s="9">
        <v>0.77777777777777701</v>
      </c>
      <c r="M24" s="9">
        <v>11.3333333333333</v>
      </c>
      <c r="N24" s="9">
        <v>0</v>
      </c>
      <c r="O24" s="9">
        <v>1.2</v>
      </c>
      <c r="Q24" s="10">
        <f t="shared" si="0"/>
        <v>0.18429487179487181</v>
      </c>
    </row>
    <row r="25" spans="1:18" x14ac:dyDescent="0.4">
      <c r="A25" s="9">
        <v>23</v>
      </c>
      <c r="B25" s="9" t="s">
        <v>294</v>
      </c>
      <c r="C25" s="9">
        <v>1171</v>
      </c>
      <c r="D25" s="9">
        <v>150</v>
      </c>
      <c r="E25" s="9">
        <v>45.038461538461497</v>
      </c>
      <c r="F25" s="9">
        <v>5.7692307692307603</v>
      </c>
      <c r="G25" s="9">
        <v>31</v>
      </c>
      <c r="H25" s="9">
        <v>52.1111111111111</v>
      </c>
      <c r="I25" s="9">
        <v>31.5</v>
      </c>
      <c r="J25" s="9">
        <v>38</v>
      </c>
      <c r="K25" s="9">
        <v>49.875</v>
      </c>
      <c r="L25" s="9">
        <v>2.88888888888888</v>
      </c>
      <c r="M25" s="9">
        <v>13</v>
      </c>
      <c r="N25" s="9">
        <v>0</v>
      </c>
      <c r="O25" s="9">
        <v>5.75</v>
      </c>
      <c r="Q25" s="10">
        <f t="shared" si="0"/>
        <v>0.12809564474807855</v>
      </c>
    </row>
    <row r="26" spans="1:18" x14ac:dyDescent="0.4">
      <c r="A26" s="9">
        <v>24</v>
      </c>
      <c r="B26" s="9" t="s">
        <v>296</v>
      </c>
      <c r="C26" s="9">
        <v>827</v>
      </c>
      <c r="D26" s="9">
        <v>89</v>
      </c>
      <c r="E26" s="9">
        <v>31.807692307692299</v>
      </c>
      <c r="F26" s="9">
        <v>3.4230769230769198</v>
      </c>
      <c r="G26" s="9">
        <v>25</v>
      </c>
      <c r="H26" s="9">
        <v>26.8888888888888</v>
      </c>
      <c r="I26" s="9">
        <v>35</v>
      </c>
      <c r="J26" s="9">
        <v>46.3333333333333</v>
      </c>
      <c r="K26" s="9">
        <v>28.714285714285701</v>
      </c>
      <c r="L26" s="9">
        <v>0.66666666666666596</v>
      </c>
      <c r="M26" s="9">
        <v>9.71428571428571</v>
      </c>
      <c r="N26" s="9">
        <v>0</v>
      </c>
      <c r="O26" s="9">
        <v>2.1428571428571401</v>
      </c>
      <c r="Q26" s="10">
        <f t="shared" si="0"/>
        <v>0.10761789600967352</v>
      </c>
    </row>
    <row r="27" spans="1:18" x14ac:dyDescent="0.4">
      <c r="A27" s="9">
        <v>25</v>
      </c>
      <c r="B27" s="9" t="s">
        <v>312</v>
      </c>
      <c r="C27" s="9">
        <v>1063</v>
      </c>
      <c r="D27" s="9">
        <v>92</v>
      </c>
      <c r="E27" s="9">
        <v>40.884615384615302</v>
      </c>
      <c r="F27" s="9">
        <v>3.5384615384615299</v>
      </c>
      <c r="G27" s="9">
        <v>28.5</v>
      </c>
      <c r="H27" s="9">
        <v>40.2222222222222</v>
      </c>
      <c r="I27" s="9">
        <v>50.3333333333333</v>
      </c>
      <c r="J27" s="9">
        <v>30.6666666666666</v>
      </c>
      <c r="K27" s="9">
        <v>38.375</v>
      </c>
      <c r="L27" s="9">
        <v>1.2222222222222201</v>
      </c>
      <c r="M27" s="9">
        <v>11.3333333333333</v>
      </c>
      <c r="N27" s="9">
        <v>0</v>
      </c>
      <c r="O27" s="9">
        <v>1.625</v>
      </c>
      <c r="Q27" s="10">
        <f t="shared" si="0"/>
        <v>8.6547507055503292E-2</v>
      </c>
    </row>
    <row r="28" spans="1:18" x14ac:dyDescent="0.4">
      <c r="A28" s="9">
        <v>26</v>
      </c>
      <c r="B28" s="9" t="s">
        <v>319</v>
      </c>
      <c r="C28" s="9">
        <v>796</v>
      </c>
      <c r="D28" s="9">
        <v>110</v>
      </c>
      <c r="E28" s="9">
        <v>30.615384615384599</v>
      </c>
      <c r="F28" s="9">
        <v>4.2307692307692299</v>
      </c>
      <c r="G28" s="9">
        <v>27</v>
      </c>
      <c r="H28" s="9">
        <v>38</v>
      </c>
      <c r="I28" s="9">
        <v>14.8</v>
      </c>
      <c r="J28" s="9">
        <v>13</v>
      </c>
      <c r="K28" s="9">
        <v>37.8888888888888</v>
      </c>
      <c r="L28" s="9">
        <v>1.2222222222222201</v>
      </c>
      <c r="M28" s="9">
        <v>6.4</v>
      </c>
      <c r="N28" s="9">
        <v>0</v>
      </c>
      <c r="O28" s="9">
        <v>7.4444444444444402</v>
      </c>
      <c r="Q28" s="10">
        <f t="shared" si="0"/>
        <v>0.13819095477386933</v>
      </c>
    </row>
    <row r="29" spans="1:18" x14ac:dyDescent="0.4">
      <c r="A29" s="9">
        <v>27</v>
      </c>
      <c r="B29" s="9" t="s">
        <v>281</v>
      </c>
      <c r="C29" s="9">
        <v>958</v>
      </c>
      <c r="D29" s="9">
        <v>143</v>
      </c>
      <c r="E29" s="9">
        <v>36.846153846153797</v>
      </c>
      <c r="F29" s="9">
        <v>5.5</v>
      </c>
      <c r="G29" s="9">
        <v>28</v>
      </c>
      <c r="H29" s="9">
        <v>22.2222222222222</v>
      </c>
      <c r="I29" s="9">
        <v>71.6666666666666</v>
      </c>
      <c r="J29" s="9">
        <v>46</v>
      </c>
      <c r="K29" s="9">
        <v>36.818181818181799</v>
      </c>
      <c r="L29" s="9">
        <v>0.66666666666666596</v>
      </c>
      <c r="M29" s="9">
        <v>24.6666666666666</v>
      </c>
      <c r="N29" s="9">
        <v>0</v>
      </c>
      <c r="O29" s="9">
        <v>5.7272727272727204</v>
      </c>
      <c r="Q29" s="10">
        <f t="shared" si="0"/>
        <v>0.14926931106471816</v>
      </c>
    </row>
    <row r="30" spans="1:18" x14ac:dyDescent="0.4">
      <c r="A30" s="9">
        <v>28</v>
      </c>
      <c r="B30" s="9" t="s">
        <v>352</v>
      </c>
      <c r="C30" s="9">
        <v>927</v>
      </c>
      <c r="D30" s="9">
        <v>96</v>
      </c>
      <c r="E30" s="9">
        <v>35.653846153846096</v>
      </c>
      <c r="F30" s="9">
        <v>3.6923076923076898</v>
      </c>
      <c r="G30" s="9">
        <v>26.5</v>
      </c>
      <c r="H30" s="9">
        <v>27.5</v>
      </c>
      <c r="I30" s="9">
        <v>47.714285714285701</v>
      </c>
      <c r="J30" s="9">
        <v>32.6666666666666</v>
      </c>
      <c r="K30" s="9">
        <v>36.6666666666666</v>
      </c>
      <c r="L30" s="9">
        <v>0.6</v>
      </c>
      <c r="M30" s="9">
        <v>10.714285714285699</v>
      </c>
      <c r="N30" s="9">
        <v>0</v>
      </c>
      <c r="O30" s="9">
        <v>2.5</v>
      </c>
      <c r="Q30" s="10">
        <f t="shared" si="0"/>
        <v>0.10355987055016182</v>
      </c>
    </row>
    <row r="31" spans="1:18" x14ac:dyDescent="0.4">
      <c r="A31" s="9">
        <v>29</v>
      </c>
      <c r="B31" s="9" t="s">
        <v>313</v>
      </c>
      <c r="C31" s="9">
        <v>698</v>
      </c>
      <c r="D31" s="9">
        <v>98</v>
      </c>
      <c r="E31" s="9">
        <v>26.846153846153801</v>
      </c>
      <c r="F31" s="9">
        <v>3.7692307692307598</v>
      </c>
      <c r="G31" s="9">
        <v>25.5</v>
      </c>
      <c r="H31" s="9">
        <v>21.3333333333333</v>
      </c>
      <c r="I31" s="9">
        <v>27.6</v>
      </c>
      <c r="J31" s="9">
        <v>48.3333333333333</v>
      </c>
      <c r="K31" s="9">
        <v>24.7777777777777</v>
      </c>
      <c r="L31" s="9">
        <v>1.55555555555555</v>
      </c>
      <c r="M31" s="9">
        <v>12.2</v>
      </c>
      <c r="N31" s="9">
        <v>0</v>
      </c>
      <c r="O31" s="9">
        <v>2.55555555555555</v>
      </c>
      <c r="Q31" s="10">
        <f t="shared" si="0"/>
        <v>0.14040114613180515</v>
      </c>
    </row>
    <row r="32" spans="1:18" s="11" customFormat="1" x14ac:dyDescent="0.4">
      <c r="A32" s="11">
        <v>30</v>
      </c>
      <c r="B32" s="11" t="s">
        <v>280</v>
      </c>
      <c r="C32" s="11">
        <v>1215</v>
      </c>
      <c r="D32" s="11">
        <v>116</v>
      </c>
      <c r="E32" s="11">
        <v>46.730769230769198</v>
      </c>
      <c r="F32" s="11">
        <v>4.4615384615384599</v>
      </c>
      <c r="G32" s="11">
        <v>28</v>
      </c>
      <c r="H32" s="11">
        <v>62.142857142857103</v>
      </c>
      <c r="I32" s="11">
        <v>44.625</v>
      </c>
      <c r="J32" s="11">
        <v>57.6666666666666</v>
      </c>
      <c r="K32" s="11">
        <v>31.25</v>
      </c>
      <c r="L32" s="11">
        <v>3.1428571428571401</v>
      </c>
      <c r="M32" s="11">
        <v>8.875</v>
      </c>
      <c r="N32" s="11">
        <v>0</v>
      </c>
      <c r="O32" s="11">
        <v>2.875</v>
      </c>
      <c r="Q32" s="10">
        <f t="shared" si="0"/>
        <v>9.5473251028806591E-2</v>
      </c>
    </row>
    <row r="33" spans="1:17" x14ac:dyDescent="0.4">
      <c r="A33" s="9">
        <v>31</v>
      </c>
      <c r="B33" s="9" t="s">
        <v>288</v>
      </c>
      <c r="C33" s="9">
        <v>861</v>
      </c>
      <c r="D33" s="9">
        <v>153</v>
      </c>
      <c r="E33" s="9">
        <v>33.115384615384599</v>
      </c>
      <c r="F33" s="9">
        <v>5.8846153846153797</v>
      </c>
      <c r="G33" s="9">
        <v>27</v>
      </c>
      <c r="H33" s="9">
        <v>37.5</v>
      </c>
      <c r="I33" s="9">
        <v>41.857142857142797</v>
      </c>
      <c r="J33" s="9">
        <v>14</v>
      </c>
      <c r="K33" s="9">
        <v>28.25</v>
      </c>
      <c r="L33" s="9">
        <v>3.75</v>
      </c>
      <c r="M33" s="9">
        <v>15.285714285714199</v>
      </c>
      <c r="N33" s="9">
        <v>0</v>
      </c>
      <c r="O33" s="9">
        <v>2</v>
      </c>
      <c r="Q33" s="10">
        <f t="shared" si="0"/>
        <v>0.17770034843205576</v>
      </c>
    </row>
    <row r="34" spans="1:17" x14ac:dyDescent="0.4">
      <c r="A34" s="9">
        <v>32</v>
      </c>
      <c r="B34" s="9" t="s">
        <v>311</v>
      </c>
      <c r="C34" s="9">
        <v>801</v>
      </c>
      <c r="D34" s="9">
        <v>121</v>
      </c>
      <c r="E34" s="9">
        <v>30.807692307692299</v>
      </c>
      <c r="F34" s="9">
        <v>4.6538461538461497</v>
      </c>
      <c r="G34" s="9">
        <v>26.5</v>
      </c>
      <c r="H34" s="9">
        <v>23</v>
      </c>
      <c r="I34" s="9">
        <v>43.4</v>
      </c>
      <c r="J34" s="9">
        <v>26</v>
      </c>
      <c r="K34" s="9">
        <v>32.200000000000003</v>
      </c>
      <c r="L34" s="9">
        <v>0.625</v>
      </c>
      <c r="M34" s="9">
        <v>19.2</v>
      </c>
      <c r="N34" s="9">
        <v>0</v>
      </c>
      <c r="O34" s="9">
        <v>2</v>
      </c>
      <c r="Q34" s="10">
        <f t="shared" si="0"/>
        <v>0.15106117353308365</v>
      </c>
    </row>
    <row r="35" spans="1:17" x14ac:dyDescent="0.4">
      <c r="A35" s="9">
        <v>33</v>
      </c>
      <c r="B35" s="9" t="s">
        <v>310</v>
      </c>
      <c r="C35" s="9">
        <v>825</v>
      </c>
      <c r="D35" s="9">
        <v>106</v>
      </c>
      <c r="E35" s="9">
        <v>31.730769230769202</v>
      </c>
      <c r="F35" s="9">
        <v>4.0769230769230704</v>
      </c>
      <c r="G35" s="9">
        <v>27</v>
      </c>
      <c r="H35" s="9">
        <v>34.1111111111111</v>
      </c>
      <c r="I35" s="9">
        <v>45.2</v>
      </c>
      <c r="J35" s="9">
        <v>12.6666666666666</v>
      </c>
      <c r="K35" s="9">
        <v>28.2222222222222</v>
      </c>
      <c r="L35" s="9">
        <v>1.44444444444444</v>
      </c>
      <c r="M35" s="9">
        <v>13.6</v>
      </c>
      <c r="N35" s="9">
        <v>0</v>
      </c>
      <c r="O35" s="9">
        <v>2.7777777777777701</v>
      </c>
      <c r="Q35" s="10">
        <f t="shared" si="0"/>
        <v>0.12848484848484848</v>
      </c>
    </row>
    <row r="36" spans="1:17" x14ac:dyDescent="0.4">
      <c r="A36" s="9">
        <v>34</v>
      </c>
      <c r="B36" s="9" t="s">
        <v>315</v>
      </c>
      <c r="C36" s="9">
        <v>1541</v>
      </c>
      <c r="D36" s="9">
        <v>126</v>
      </c>
      <c r="E36" s="9">
        <v>59.269230769230703</v>
      </c>
      <c r="F36" s="9">
        <v>4.8461538461538396</v>
      </c>
      <c r="G36" s="9">
        <v>29.5</v>
      </c>
      <c r="H36" s="9">
        <v>50.818181818181799</v>
      </c>
      <c r="I36" s="9">
        <v>36.75</v>
      </c>
      <c r="J36" s="9">
        <v>36.3333333333333</v>
      </c>
      <c r="K36" s="9">
        <v>90.75</v>
      </c>
      <c r="L36" s="9">
        <v>3.0909090909090899</v>
      </c>
      <c r="M36" s="9">
        <v>9</v>
      </c>
      <c r="N36" s="9">
        <v>0</v>
      </c>
      <c r="O36" s="9">
        <v>7</v>
      </c>
      <c r="Q36" s="10">
        <f t="shared" si="0"/>
        <v>8.1765087605451009E-2</v>
      </c>
    </row>
    <row r="37" spans="1:17" x14ac:dyDescent="0.4">
      <c r="A37" s="9">
        <v>35</v>
      </c>
      <c r="B37" s="9" t="s">
        <v>320</v>
      </c>
      <c r="C37" s="9">
        <v>690</v>
      </c>
      <c r="D37" s="9">
        <v>53</v>
      </c>
      <c r="E37" s="9">
        <v>26.538461538461501</v>
      </c>
      <c r="F37" s="9">
        <v>2.0384615384615299</v>
      </c>
      <c r="G37" s="9">
        <v>29</v>
      </c>
      <c r="H37" s="9">
        <v>34.75</v>
      </c>
      <c r="I37" s="9">
        <v>26</v>
      </c>
      <c r="J37" s="9">
        <v>12.6666666666666</v>
      </c>
      <c r="K37" s="9">
        <v>24.2222222222222</v>
      </c>
      <c r="L37" s="9">
        <v>1.75</v>
      </c>
      <c r="M37" s="9">
        <v>3.3333333333333299</v>
      </c>
      <c r="N37" s="9">
        <v>0</v>
      </c>
      <c r="O37" s="9">
        <v>2.1111111111111098</v>
      </c>
      <c r="Q37" s="10">
        <f t="shared" si="0"/>
        <v>7.6811594202898556E-2</v>
      </c>
    </row>
    <row r="38" spans="1:17" x14ac:dyDescent="0.4">
      <c r="A38" s="9">
        <v>36</v>
      </c>
      <c r="B38" s="9" t="s">
        <v>299</v>
      </c>
      <c r="C38" s="9">
        <v>1160</v>
      </c>
      <c r="D38" s="9">
        <v>259</v>
      </c>
      <c r="E38" s="9">
        <v>44.615384615384599</v>
      </c>
      <c r="F38" s="9">
        <v>9.9615384615384599</v>
      </c>
      <c r="G38" s="9">
        <v>26.5</v>
      </c>
      <c r="H38" s="9">
        <v>35.4444444444444</v>
      </c>
      <c r="I38" s="9">
        <v>55.625</v>
      </c>
      <c r="J38" s="9">
        <v>17</v>
      </c>
      <c r="K38" s="9">
        <v>57.5</v>
      </c>
      <c r="L38" s="9">
        <v>2.4444444444444402</v>
      </c>
      <c r="M38" s="9">
        <v>23.5</v>
      </c>
      <c r="N38" s="9">
        <v>0</v>
      </c>
      <c r="O38" s="9">
        <v>8.1666666666666607</v>
      </c>
      <c r="Q38" s="10">
        <f t="shared" si="0"/>
        <v>0.22327586206896552</v>
      </c>
    </row>
    <row r="39" spans="1:17" x14ac:dyDescent="0.4">
      <c r="A39" s="9">
        <v>37</v>
      </c>
      <c r="B39" s="9" t="s">
        <v>283</v>
      </c>
      <c r="C39" s="9">
        <v>1425</v>
      </c>
      <c r="D39" s="9">
        <v>208</v>
      </c>
      <c r="E39" s="9">
        <v>54.807692307692299</v>
      </c>
      <c r="F39" s="9">
        <v>8</v>
      </c>
      <c r="G39" s="9">
        <v>29</v>
      </c>
      <c r="H39" s="9">
        <v>42.3333333333333</v>
      </c>
      <c r="I39" s="9">
        <v>69.8888888888888</v>
      </c>
      <c r="J39" s="9">
        <v>22</v>
      </c>
      <c r="K39" s="9">
        <v>69.8</v>
      </c>
      <c r="L39" s="9">
        <v>3.1111111111111098</v>
      </c>
      <c r="M39" s="9">
        <v>18.1111111111111</v>
      </c>
      <c r="N39" s="9">
        <v>0</v>
      </c>
      <c r="O39" s="9">
        <v>3.4</v>
      </c>
      <c r="Q39" s="10">
        <f t="shared" si="0"/>
        <v>0.14596491228070174</v>
      </c>
    </row>
    <row r="40" spans="1:17" s="11" customFormat="1" x14ac:dyDescent="0.4">
      <c r="A40" s="11">
        <v>38</v>
      </c>
      <c r="B40" s="11" t="s">
        <v>289</v>
      </c>
      <c r="C40" s="11">
        <v>487</v>
      </c>
      <c r="D40" s="11">
        <v>62</v>
      </c>
      <c r="E40" s="11">
        <v>18.730769230769202</v>
      </c>
      <c r="F40" s="11">
        <v>2.3846153846153801</v>
      </c>
      <c r="G40" s="11">
        <v>25.5</v>
      </c>
      <c r="H40" s="11">
        <v>13</v>
      </c>
      <c r="I40" s="11">
        <v>16.125</v>
      </c>
      <c r="J40" s="11">
        <v>23.6666666666666</v>
      </c>
      <c r="K40" s="11">
        <v>31.4</v>
      </c>
      <c r="L40" s="11">
        <v>0.6</v>
      </c>
      <c r="M40" s="11">
        <v>3.75</v>
      </c>
      <c r="N40" s="11">
        <v>0</v>
      </c>
      <c r="O40" s="11">
        <v>5.2</v>
      </c>
      <c r="Q40" s="10">
        <f t="shared" si="0"/>
        <v>0.12731006160164271</v>
      </c>
    </row>
    <row r="41" spans="1:17" x14ac:dyDescent="0.4">
      <c r="A41" s="9">
        <v>39</v>
      </c>
      <c r="B41" s="9" t="s">
        <v>305</v>
      </c>
      <c r="C41" s="9">
        <v>973</v>
      </c>
      <c r="D41" s="9">
        <v>98</v>
      </c>
      <c r="E41" s="9">
        <v>37.423076923076898</v>
      </c>
      <c r="F41" s="9">
        <v>3.7692307692307598</v>
      </c>
      <c r="G41" s="9">
        <v>29</v>
      </c>
      <c r="H41" s="9">
        <v>40.799999999999997</v>
      </c>
      <c r="I41" s="9">
        <v>21.1428571428571</v>
      </c>
      <c r="J41" s="9">
        <v>36.3333333333333</v>
      </c>
      <c r="K41" s="9">
        <v>51.3333333333333</v>
      </c>
      <c r="L41" s="9">
        <v>1.6</v>
      </c>
      <c r="M41" s="9">
        <v>4.71428571428571</v>
      </c>
      <c r="N41" s="9">
        <v>0</v>
      </c>
      <c r="O41" s="9">
        <v>8.1666666666666607</v>
      </c>
      <c r="Q41" s="10">
        <f t="shared" si="0"/>
        <v>0.10071942446043165</v>
      </c>
    </row>
    <row r="42" spans="1:17" x14ac:dyDescent="0.4">
      <c r="A42" s="9">
        <v>40</v>
      </c>
      <c r="B42" s="9" t="s">
        <v>318</v>
      </c>
      <c r="C42" s="9">
        <v>1009</v>
      </c>
      <c r="D42" s="9">
        <v>131</v>
      </c>
      <c r="E42" s="9">
        <v>38.807692307692299</v>
      </c>
      <c r="F42" s="9">
        <v>5.0384615384615303</v>
      </c>
      <c r="G42" s="9">
        <v>26</v>
      </c>
      <c r="H42" s="9">
        <v>36.125</v>
      </c>
      <c r="I42" s="9">
        <v>43</v>
      </c>
      <c r="J42" s="9">
        <v>21.6666666666666</v>
      </c>
      <c r="K42" s="9">
        <v>44.428571428571402</v>
      </c>
      <c r="L42" s="9">
        <v>1.125</v>
      </c>
      <c r="M42" s="9">
        <v>11.875</v>
      </c>
      <c r="N42" s="9">
        <v>0</v>
      </c>
      <c r="O42" s="9">
        <v>3.8571428571428501</v>
      </c>
      <c r="Q42" s="10">
        <f t="shared" si="0"/>
        <v>0.12983151635282458</v>
      </c>
    </row>
    <row r="43" spans="1:17" x14ac:dyDescent="0.4">
      <c r="A43" s="9">
        <v>41</v>
      </c>
      <c r="B43" s="9" t="s">
        <v>301</v>
      </c>
      <c r="C43" s="9">
        <v>1132</v>
      </c>
      <c r="D43" s="9">
        <v>124</v>
      </c>
      <c r="E43" s="9">
        <v>43.538461538461497</v>
      </c>
      <c r="F43" s="9">
        <v>4.7692307692307603</v>
      </c>
      <c r="G43" s="9">
        <v>28.5</v>
      </c>
      <c r="H43" s="9">
        <v>48.5</v>
      </c>
      <c r="I43" s="9">
        <v>38.571428571428498</v>
      </c>
      <c r="J43" s="9">
        <v>11.6666666666666</v>
      </c>
      <c r="K43" s="9">
        <v>54.875</v>
      </c>
      <c r="L43" s="9">
        <v>2.625</v>
      </c>
      <c r="M43" s="9">
        <v>9.4285714285714199</v>
      </c>
      <c r="N43" s="9">
        <v>0</v>
      </c>
      <c r="O43" s="9">
        <v>4.625</v>
      </c>
      <c r="Q43" s="10">
        <f t="shared" si="0"/>
        <v>0.10954063604240283</v>
      </c>
    </row>
    <row r="44" spans="1:17" x14ac:dyDescent="0.4">
      <c r="A44" s="9">
        <v>42</v>
      </c>
      <c r="B44" s="9" t="s">
        <v>291</v>
      </c>
      <c r="C44" s="9">
        <v>519</v>
      </c>
      <c r="D44" s="9">
        <v>65</v>
      </c>
      <c r="E44" s="9">
        <v>19.9615384615384</v>
      </c>
      <c r="F44" s="9">
        <v>2.5</v>
      </c>
      <c r="G44" s="9">
        <v>27</v>
      </c>
      <c r="H44" s="9">
        <v>18.272727272727199</v>
      </c>
      <c r="I44" s="9">
        <v>26.6</v>
      </c>
      <c r="J44" s="9">
        <v>12</v>
      </c>
      <c r="K44" s="9">
        <v>21.285714285714199</v>
      </c>
      <c r="L44" s="9">
        <v>0.45454545454545398</v>
      </c>
      <c r="M44" s="9">
        <v>9.4</v>
      </c>
      <c r="N44" s="9">
        <v>0</v>
      </c>
      <c r="O44" s="9">
        <v>1.8571428571428501</v>
      </c>
      <c r="Q44" s="10">
        <f t="shared" si="0"/>
        <v>0.12524084778420039</v>
      </c>
    </row>
    <row r="45" spans="1:17" x14ac:dyDescent="0.4">
      <c r="A45" s="9">
        <v>43</v>
      </c>
      <c r="B45" s="9" t="s">
        <v>308</v>
      </c>
      <c r="C45" s="9">
        <v>582</v>
      </c>
      <c r="D45" s="9">
        <v>43</v>
      </c>
      <c r="E45" s="9">
        <v>22.384615384615302</v>
      </c>
      <c r="F45" s="9">
        <v>1.65384615384615</v>
      </c>
      <c r="G45" s="9">
        <v>26.5</v>
      </c>
      <c r="H45" s="9">
        <v>22.8</v>
      </c>
      <c r="I45" s="9">
        <v>19.600000000000001</v>
      </c>
      <c r="J45" s="9">
        <v>14</v>
      </c>
      <c r="K45" s="9">
        <v>26.75</v>
      </c>
      <c r="L45" s="9">
        <v>1.3</v>
      </c>
      <c r="M45" s="9">
        <v>3.6</v>
      </c>
      <c r="N45" s="9">
        <v>0</v>
      </c>
      <c r="O45" s="9">
        <v>1.5</v>
      </c>
      <c r="Q45" s="10">
        <f t="shared" si="0"/>
        <v>7.3883161512027493E-2</v>
      </c>
    </row>
    <row r="46" spans="1:17" x14ac:dyDescent="0.4">
      <c r="A46" s="9">
        <v>44</v>
      </c>
      <c r="B46" s="9" t="s">
        <v>306</v>
      </c>
      <c r="C46" s="9">
        <v>970</v>
      </c>
      <c r="D46" s="9">
        <v>97</v>
      </c>
      <c r="E46" s="9">
        <v>37.307692307692299</v>
      </c>
      <c r="F46" s="9">
        <v>3.7307692307692299</v>
      </c>
      <c r="G46" s="9">
        <v>27</v>
      </c>
      <c r="H46" s="9">
        <v>39.6666666666666</v>
      </c>
      <c r="I46" s="9">
        <v>26.1111111111111</v>
      </c>
      <c r="J46" s="9">
        <v>29.3333333333333</v>
      </c>
      <c r="K46" s="9">
        <v>58</v>
      </c>
      <c r="L46" s="9">
        <v>2.3333333333333299</v>
      </c>
      <c r="M46" s="9">
        <v>4.7777777777777697</v>
      </c>
      <c r="N46" s="9">
        <v>0</v>
      </c>
      <c r="O46" s="9">
        <v>6.6</v>
      </c>
      <c r="Q46" s="10">
        <f t="shared" si="0"/>
        <v>0.1</v>
      </c>
    </row>
    <row r="47" spans="1:17" x14ac:dyDescent="0.4">
      <c r="A47" s="9">
        <v>45</v>
      </c>
      <c r="B47" s="9" t="s">
        <v>307</v>
      </c>
      <c r="C47" s="9">
        <v>933</v>
      </c>
      <c r="D47" s="9">
        <v>74</v>
      </c>
      <c r="E47" s="9">
        <v>35.884615384615302</v>
      </c>
      <c r="F47" s="9">
        <v>2.84615384615384</v>
      </c>
      <c r="G47" s="9">
        <v>27</v>
      </c>
      <c r="H47" s="9">
        <v>37.714285714285701</v>
      </c>
      <c r="I47" s="9">
        <v>26</v>
      </c>
      <c r="J47" s="9">
        <v>59</v>
      </c>
      <c r="K47" s="9">
        <v>32.909090909090899</v>
      </c>
      <c r="L47" s="9">
        <v>1.71428571428571</v>
      </c>
      <c r="M47" s="9">
        <v>4.8</v>
      </c>
      <c r="N47" s="9">
        <v>0</v>
      </c>
      <c r="O47" s="9">
        <v>3.4545454545454501</v>
      </c>
      <c r="Q47" s="10">
        <f t="shared" si="0"/>
        <v>7.931404072883172E-2</v>
      </c>
    </row>
    <row r="48" spans="1:17" x14ac:dyDescent="0.4">
      <c r="A48" s="9">
        <v>46</v>
      </c>
      <c r="B48" s="9" t="s">
        <v>8</v>
      </c>
      <c r="C48" s="9">
        <v>962</v>
      </c>
      <c r="D48" s="9">
        <v>125</v>
      </c>
      <c r="E48" s="9">
        <v>37</v>
      </c>
      <c r="F48" s="9">
        <v>4.8076923076923004</v>
      </c>
      <c r="G48" s="9">
        <v>26.5</v>
      </c>
      <c r="H48" s="9">
        <v>35.1</v>
      </c>
      <c r="I48" s="9">
        <v>41.857142857142797</v>
      </c>
      <c r="J48" s="9">
        <v>23.3333333333333</v>
      </c>
      <c r="K48" s="9">
        <v>41.3333333333333</v>
      </c>
      <c r="L48" s="9">
        <v>1.8</v>
      </c>
      <c r="M48" s="9">
        <v>11.4285714285714</v>
      </c>
      <c r="N48" s="9">
        <v>0</v>
      </c>
      <c r="O48" s="9">
        <v>4.5</v>
      </c>
      <c r="Q48" s="10">
        <f t="shared" si="0"/>
        <v>0.12993762993762994</v>
      </c>
    </row>
    <row r="49" spans="1:17" x14ac:dyDescent="0.4">
      <c r="A49" s="9">
        <v>47</v>
      </c>
      <c r="B49" s="9" t="s">
        <v>302</v>
      </c>
      <c r="C49" s="9">
        <v>834</v>
      </c>
      <c r="D49" s="9">
        <v>116</v>
      </c>
      <c r="E49" s="9">
        <v>32.076923076923002</v>
      </c>
      <c r="F49" s="9">
        <v>4.4615384615384599</v>
      </c>
      <c r="G49" s="9">
        <v>28</v>
      </c>
      <c r="H49" s="9">
        <v>24.5</v>
      </c>
      <c r="I49" s="9">
        <v>62.3333333333333</v>
      </c>
      <c r="J49" s="9">
        <v>16.6666666666666</v>
      </c>
      <c r="K49" s="9">
        <v>35.200000000000003</v>
      </c>
      <c r="L49" s="9">
        <v>0.6</v>
      </c>
      <c r="M49" s="9">
        <v>23.6666666666666</v>
      </c>
      <c r="N49" s="9">
        <v>0</v>
      </c>
      <c r="O49" s="9">
        <v>3.9</v>
      </c>
      <c r="Q49" s="10">
        <f t="shared" si="0"/>
        <v>0.13908872901678657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4848-87B5-42E9-93F7-F36307720D34}">
  <dimension ref="A1:L1249"/>
  <sheetViews>
    <sheetView workbookViewId="0">
      <selection sqref="A1:G1048576"/>
    </sheetView>
  </sheetViews>
  <sheetFormatPr defaultRowHeight="12" x14ac:dyDescent="0.4"/>
  <cols>
    <col min="1" max="1" width="8.19921875" style="16" bestFit="1" customWidth="1"/>
    <col min="2" max="2" width="3.796875" style="16" bestFit="1" customWidth="1"/>
    <col min="3" max="3" width="5.796875" style="16" bestFit="1" customWidth="1"/>
    <col min="4" max="4" width="21.6640625" style="16" bestFit="1" customWidth="1"/>
    <col min="5" max="5" width="24.19921875" style="16" bestFit="1" customWidth="1"/>
    <col min="6" max="6" width="24.3984375" style="16" customWidth="1"/>
    <col min="7" max="7" width="9.19921875" style="16" customWidth="1"/>
    <col min="8" max="8" width="4.59765625" style="16" customWidth="1"/>
    <col min="9" max="9" width="0.33203125" style="16" customWidth="1"/>
    <col min="10" max="10" width="6.73046875" style="16" bestFit="1" customWidth="1"/>
    <col min="11" max="11" width="7.6640625" style="16" bestFit="1" customWidth="1"/>
    <col min="12" max="12" width="26" style="16" bestFit="1" customWidth="1"/>
    <col min="13" max="16384" width="9.06640625" style="16"/>
  </cols>
  <sheetData>
    <row r="1" spans="1:12" x14ac:dyDescent="0.4">
      <c r="A1" s="16" t="s">
        <v>167</v>
      </c>
      <c r="B1" s="16" t="s">
        <v>653</v>
      </c>
      <c r="C1" s="16" t="s">
        <v>654</v>
      </c>
      <c r="D1" s="16" t="s">
        <v>655</v>
      </c>
      <c r="E1" s="16" t="s">
        <v>656</v>
      </c>
      <c r="F1" s="16" t="s">
        <v>657</v>
      </c>
      <c r="G1" s="16" t="s">
        <v>658</v>
      </c>
      <c r="H1" s="16" t="s">
        <v>659</v>
      </c>
      <c r="I1" s="16" t="s">
        <v>660</v>
      </c>
      <c r="J1" s="16" t="s">
        <v>661</v>
      </c>
      <c r="K1" s="16" t="s">
        <v>662</v>
      </c>
      <c r="L1" s="16" t="s">
        <v>663</v>
      </c>
    </row>
    <row r="2" spans="1:12" x14ac:dyDescent="0.4">
      <c r="A2" s="16" t="s">
        <v>325</v>
      </c>
      <c r="B2" s="16">
        <v>1</v>
      </c>
      <c r="C2" s="16" t="s">
        <v>664</v>
      </c>
      <c r="D2" s="16" t="s">
        <v>665</v>
      </c>
      <c r="E2" s="16" t="s">
        <v>666</v>
      </c>
      <c r="F2" s="16" t="s">
        <v>667</v>
      </c>
      <c r="G2" s="17">
        <v>36575</v>
      </c>
      <c r="H2" s="16" t="s">
        <v>668</v>
      </c>
      <c r="I2" s="16">
        <v>194</v>
      </c>
      <c r="J2" s="16">
        <v>2</v>
      </c>
      <c r="K2" s="16">
        <v>0</v>
      </c>
    </row>
    <row r="3" spans="1:12" x14ac:dyDescent="0.4">
      <c r="A3" s="16" t="s">
        <v>325</v>
      </c>
      <c r="B3" s="16">
        <v>2</v>
      </c>
      <c r="C3" s="16" t="s">
        <v>669</v>
      </c>
      <c r="D3" s="16" t="s">
        <v>670</v>
      </c>
      <c r="E3" s="16" t="s">
        <v>671</v>
      </c>
      <c r="F3" s="16" t="s">
        <v>672</v>
      </c>
      <c r="G3" s="17">
        <v>33533</v>
      </c>
      <c r="H3" s="16" t="s">
        <v>673</v>
      </c>
      <c r="I3" s="16">
        <v>184</v>
      </c>
      <c r="J3" s="16">
        <v>119</v>
      </c>
      <c r="K3" s="16">
        <v>8</v>
      </c>
    </row>
    <row r="4" spans="1:12" x14ac:dyDescent="0.4">
      <c r="A4" s="16" t="s">
        <v>325</v>
      </c>
      <c r="B4" s="16">
        <v>3</v>
      </c>
      <c r="C4" s="16" t="s">
        <v>669</v>
      </c>
      <c r="D4" s="16" t="s">
        <v>674</v>
      </c>
      <c r="E4" s="16" t="s">
        <v>675</v>
      </c>
      <c r="F4" s="16" t="s">
        <v>676</v>
      </c>
      <c r="G4" s="17">
        <v>36326</v>
      </c>
      <c r="H4" s="16" t="s">
        <v>677</v>
      </c>
      <c r="I4" s="16">
        <v>185</v>
      </c>
      <c r="J4" s="16">
        <v>9</v>
      </c>
      <c r="K4" s="16">
        <v>1</v>
      </c>
    </row>
    <row r="5" spans="1:12" x14ac:dyDescent="0.4">
      <c r="A5" s="16" t="s">
        <v>325</v>
      </c>
      <c r="B5" s="16">
        <v>4</v>
      </c>
      <c r="C5" s="16" t="s">
        <v>669</v>
      </c>
      <c r="D5" s="16" t="s">
        <v>678</v>
      </c>
      <c r="E5" s="16" t="s">
        <v>679</v>
      </c>
      <c r="F5" s="16" t="s">
        <v>680</v>
      </c>
      <c r="G5" s="17">
        <v>36547</v>
      </c>
      <c r="H5" s="16" t="s">
        <v>681</v>
      </c>
      <c r="I5" s="16">
        <v>186</v>
      </c>
      <c r="J5" s="16">
        <v>30</v>
      </c>
      <c r="K5" s="16">
        <v>2</v>
      </c>
    </row>
    <row r="6" spans="1:12" x14ac:dyDescent="0.4">
      <c r="A6" s="16" t="s">
        <v>325</v>
      </c>
      <c r="B6" s="16">
        <v>5</v>
      </c>
      <c r="C6" s="16" t="s">
        <v>669</v>
      </c>
      <c r="D6" s="16" t="s">
        <v>682</v>
      </c>
      <c r="E6" s="16" t="s">
        <v>683</v>
      </c>
      <c r="F6" s="16" t="s">
        <v>684</v>
      </c>
      <c r="G6" s="17">
        <v>36239</v>
      </c>
      <c r="H6" s="16" t="s">
        <v>685</v>
      </c>
      <c r="I6" s="16">
        <v>186</v>
      </c>
      <c r="J6" s="16">
        <v>18</v>
      </c>
      <c r="K6" s="16">
        <v>1</v>
      </c>
    </row>
    <row r="7" spans="1:12" x14ac:dyDescent="0.4">
      <c r="A7" s="16" t="s">
        <v>325</v>
      </c>
      <c r="B7" s="16">
        <v>6</v>
      </c>
      <c r="C7" s="16" t="s">
        <v>686</v>
      </c>
      <c r="D7" s="16" t="s">
        <v>687</v>
      </c>
      <c r="E7" s="16" t="s">
        <v>688</v>
      </c>
      <c r="F7" s="16" t="s">
        <v>689</v>
      </c>
      <c r="G7" s="17">
        <v>35941</v>
      </c>
      <c r="H7" s="16" t="s">
        <v>690</v>
      </c>
      <c r="I7" s="16">
        <v>183</v>
      </c>
      <c r="J7" s="16">
        <v>53</v>
      </c>
      <c r="K7" s="16">
        <v>3</v>
      </c>
    </row>
    <row r="8" spans="1:12" x14ac:dyDescent="0.4">
      <c r="A8" s="16" t="s">
        <v>325</v>
      </c>
      <c r="B8" s="16">
        <v>7</v>
      </c>
      <c r="C8" s="16" t="s">
        <v>691</v>
      </c>
      <c r="D8" s="16" t="s">
        <v>692</v>
      </c>
      <c r="E8" s="16" t="s">
        <v>693</v>
      </c>
      <c r="F8" s="16" t="s">
        <v>694</v>
      </c>
      <c r="G8" s="17">
        <v>33290</v>
      </c>
      <c r="H8" s="16" t="s">
        <v>695</v>
      </c>
      <c r="I8" s="16">
        <v>179</v>
      </c>
      <c r="J8" s="16">
        <v>116</v>
      </c>
      <c r="K8" s="16">
        <v>38</v>
      </c>
    </row>
    <row r="9" spans="1:12" x14ac:dyDescent="0.4">
      <c r="A9" s="16" t="s">
        <v>325</v>
      </c>
      <c r="B9" s="16">
        <v>8</v>
      </c>
      <c r="C9" s="16" t="s">
        <v>686</v>
      </c>
      <c r="D9" s="16" t="s">
        <v>696</v>
      </c>
      <c r="E9" s="16" t="s">
        <v>697</v>
      </c>
      <c r="F9" s="16" t="s">
        <v>698</v>
      </c>
      <c r="G9" s="17">
        <v>35976</v>
      </c>
      <c r="H9" s="16" t="s">
        <v>699</v>
      </c>
      <c r="I9" s="16">
        <v>175</v>
      </c>
      <c r="J9" s="16">
        <v>22</v>
      </c>
      <c r="K9" s="16">
        <v>6</v>
      </c>
    </row>
    <row r="10" spans="1:12" x14ac:dyDescent="0.4">
      <c r="A10" s="16" t="s">
        <v>325</v>
      </c>
      <c r="B10" s="16">
        <v>9</v>
      </c>
      <c r="C10" s="16" t="s">
        <v>691</v>
      </c>
      <c r="D10" s="16" t="s">
        <v>700</v>
      </c>
      <c r="E10" s="16" t="s">
        <v>701</v>
      </c>
      <c r="F10" s="16" t="s">
        <v>702</v>
      </c>
      <c r="G10" s="17">
        <v>36572</v>
      </c>
      <c r="H10" s="16" t="s">
        <v>703</v>
      </c>
      <c r="I10" s="16">
        <v>180</v>
      </c>
      <c r="J10" s="16">
        <v>23</v>
      </c>
      <c r="K10" s="16">
        <v>10</v>
      </c>
    </row>
    <row r="11" spans="1:12" x14ac:dyDescent="0.4">
      <c r="A11" s="16" t="s">
        <v>325</v>
      </c>
      <c r="B11" s="16">
        <v>10</v>
      </c>
      <c r="C11" s="16" t="s">
        <v>686</v>
      </c>
      <c r="D11" s="16" t="s">
        <v>704</v>
      </c>
      <c r="E11" s="16" t="s">
        <v>705</v>
      </c>
      <c r="F11" s="16" t="s">
        <v>706</v>
      </c>
      <c r="G11" s="17">
        <v>37588</v>
      </c>
      <c r="H11" s="16" t="s">
        <v>707</v>
      </c>
      <c r="I11" s="16">
        <v>183</v>
      </c>
      <c r="J11" s="16">
        <v>31</v>
      </c>
      <c r="K11" s="16">
        <v>3</v>
      </c>
    </row>
    <row r="12" spans="1:12" x14ac:dyDescent="0.4">
      <c r="A12" s="16" t="s">
        <v>325</v>
      </c>
      <c r="B12" s="16">
        <v>11</v>
      </c>
      <c r="C12" s="16" t="s">
        <v>691</v>
      </c>
      <c r="D12" s="16" t="s">
        <v>708</v>
      </c>
      <c r="E12" s="16" t="s">
        <v>709</v>
      </c>
      <c r="F12" s="16" t="s">
        <v>710</v>
      </c>
      <c r="G12" s="17">
        <v>37298</v>
      </c>
      <c r="H12" s="16" t="s">
        <v>711</v>
      </c>
      <c r="I12" s="16">
        <v>176</v>
      </c>
      <c r="J12" s="16">
        <v>15</v>
      </c>
      <c r="K12" s="16">
        <v>2</v>
      </c>
    </row>
    <row r="13" spans="1:12" x14ac:dyDescent="0.4">
      <c r="A13" s="16" t="s">
        <v>325</v>
      </c>
      <c r="B13" s="16">
        <v>12</v>
      </c>
      <c r="C13" s="16" t="s">
        <v>691</v>
      </c>
      <c r="D13" s="16" t="s">
        <v>712</v>
      </c>
      <c r="E13" s="16" t="s">
        <v>713</v>
      </c>
      <c r="F13" s="16" t="s">
        <v>714</v>
      </c>
      <c r="G13" s="17">
        <v>36633</v>
      </c>
      <c r="H13" s="16" t="s">
        <v>715</v>
      </c>
      <c r="I13" s="16">
        <v>190</v>
      </c>
      <c r="J13" s="16">
        <v>4</v>
      </c>
      <c r="K13" s="16">
        <v>1</v>
      </c>
    </row>
    <row r="14" spans="1:12" x14ac:dyDescent="0.4">
      <c r="A14" s="16" t="s">
        <v>325</v>
      </c>
      <c r="B14" s="16">
        <v>13</v>
      </c>
      <c r="C14" s="16" t="s">
        <v>669</v>
      </c>
      <c r="D14" s="16" t="s">
        <v>716</v>
      </c>
      <c r="E14" s="16" t="s">
        <v>717</v>
      </c>
      <c r="F14" s="16" t="s">
        <v>718</v>
      </c>
      <c r="G14" s="17">
        <v>37706</v>
      </c>
      <c r="H14" s="16" t="s">
        <v>719</v>
      </c>
      <c r="I14" s="16">
        <v>185</v>
      </c>
      <c r="J14" s="16">
        <v>18</v>
      </c>
      <c r="K14" s="16">
        <v>3</v>
      </c>
    </row>
    <row r="15" spans="1:12" x14ac:dyDescent="0.4">
      <c r="A15" s="16" t="s">
        <v>325</v>
      </c>
      <c r="B15" s="16">
        <v>14</v>
      </c>
      <c r="C15" s="16" t="s">
        <v>686</v>
      </c>
      <c r="D15" s="16" t="s">
        <v>720</v>
      </c>
      <c r="E15" s="16" t="s">
        <v>721</v>
      </c>
      <c r="F15" s="16" t="s">
        <v>722</v>
      </c>
      <c r="G15" s="17">
        <v>36426</v>
      </c>
      <c r="H15" s="16" t="s">
        <v>723</v>
      </c>
      <c r="I15" s="16">
        <v>175</v>
      </c>
      <c r="J15" s="16">
        <v>34</v>
      </c>
      <c r="K15" s="16">
        <v>0</v>
      </c>
    </row>
    <row r="16" spans="1:12" x14ac:dyDescent="0.4">
      <c r="A16" s="16" t="s">
        <v>325</v>
      </c>
      <c r="B16" s="16">
        <v>15</v>
      </c>
      <c r="C16" s="16" t="s">
        <v>669</v>
      </c>
      <c r="D16" s="16" t="s">
        <v>724</v>
      </c>
      <c r="E16" s="16" t="s">
        <v>725</v>
      </c>
      <c r="F16" s="16" t="s">
        <v>726</v>
      </c>
      <c r="G16" s="17">
        <v>37048</v>
      </c>
      <c r="H16" s="16" t="s">
        <v>727</v>
      </c>
      <c r="I16" s="16">
        <v>180</v>
      </c>
      <c r="J16" s="16">
        <v>30</v>
      </c>
      <c r="K16" s="16">
        <v>0</v>
      </c>
    </row>
    <row r="17" spans="1:12" x14ac:dyDescent="0.4">
      <c r="A17" s="16" t="s">
        <v>325</v>
      </c>
      <c r="B17" s="16">
        <v>16</v>
      </c>
      <c r="C17" s="16" t="s">
        <v>664</v>
      </c>
      <c r="D17" s="16" t="s">
        <v>728</v>
      </c>
      <c r="E17" s="16" t="s">
        <v>729</v>
      </c>
      <c r="F17" s="16" t="s">
        <v>730</v>
      </c>
      <c r="G17" s="17">
        <v>34618</v>
      </c>
      <c r="H17" s="16" t="s">
        <v>677</v>
      </c>
      <c r="I17" s="16">
        <v>188</v>
      </c>
      <c r="J17" s="16">
        <v>5</v>
      </c>
      <c r="K17" s="16">
        <v>0</v>
      </c>
    </row>
    <row r="18" spans="1:12" x14ac:dyDescent="0.4">
      <c r="A18" s="16" t="s">
        <v>325</v>
      </c>
      <c r="B18" s="16">
        <v>17</v>
      </c>
      <c r="C18" s="16" t="s">
        <v>669</v>
      </c>
      <c r="D18" s="16" t="s">
        <v>731</v>
      </c>
      <c r="E18" s="16" t="s">
        <v>732</v>
      </c>
      <c r="F18" s="16" t="s">
        <v>733</v>
      </c>
      <c r="G18" s="17">
        <v>37414</v>
      </c>
      <c r="H18" s="16" t="s">
        <v>734</v>
      </c>
      <c r="I18" s="16">
        <v>180</v>
      </c>
      <c r="J18" s="16">
        <v>13</v>
      </c>
      <c r="K18" s="16">
        <v>1</v>
      </c>
    </row>
    <row r="19" spans="1:12" x14ac:dyDescent="0.4">
      <c r="A19" s="16" t="s">
        <v>325</v>
      </c>
      <c r="B19" s="16">
        <v>18</v>
      </c>
      <c r="C19" s="16" t="s">
        <v>691</v>
      </c>
      <c r="D19" s="16" t="s">
        <v>735</v>
      </c>
      <c r="E19" s="16" t="s">
        <v>736</v>
      </c>
      <c r="F19" s="16" t="s">
        <v>737</v>
      </c>
      <c r="G19" s="17">
        <v>36655</v>
      </c>
      <c r="H19" s="16" t="s">
        <v>738</v>
      </c>
      <c r="I19" s="16">
        <v>170</v>
      </c>
      <c r="J19" s="16">
        <v>47</v>
      </c>
      <c r="K19" s="16">
        <v>19</v>
      </c>
    </row>
    <row r="20" spans="1:12" x14ac:dyDescent="0.4">
      <c r="A20" s="16" t="s">
        <v>325</v>
      </c>
      <c r="B20" s="16">
        <v>19</v>
      </c>
      <c r="C20" s="16" t="s">
        <v>686</v>
      </c>
      <c r="D20" s="16" t="s">
        <v>739</v>
      </c>
      <c r="E20" s="16" t="s">
        <v>740</v>
      </c>
      <c r="F20" s="16" t="s">
        <v>741</v>
      </c>
      <c r="G20" s="17">
        <v>34662</v>
      </c>
      <c r="H20" s="16" t="s">
        <v>673</v>
      </c>
      <c r="I20" s="16">
        <v>189</v>
      </c>
      <c r="J20" s="16">
        <v>60</v>
      </c>
      <c r="K20" s="16">
        <v>6</v>
      </c>
    </row>
    <row r="21" spans="1:12" x14ac:dyDescent="0.4">
      <c r="A21" s="16" t="s">
        <v>325</v>
      </c>
      <c r="B21" s="16">
        <v>20</v>
      </c>
      <c r="C21" s="16" t="s">
        <v>691</v>
      </c>
      <c r="D21" s="16" t="s">
        <v>742</v>
      </c>
      <c r="E21" s="16" t="s">
        <v>743</v>
      </c>
      <c r="F21" s="16" t="s">
        <v>744</v>
      </c>
      <c r="G21" s="17">
        <v>37743</v>
      </c>
      <c r="H21" s="16" t="s">
        <v>745</v>
      </c>
      <c r="I21" s="16">
        <v>183</v>
      </c>
      <c r="J21" s="16">
        <v>12</v>
      </c>
      <c r="K21" s="16">
        <v>6</v>
      </c>
    </row>
    <row r="22" spans="1:12" x14ac:dyDescent="0.4">
      <c r="A22" s="16" t="s">
        <v>325</v>
      </c>
      <c r="B22" s="16">
        <v>21</v>
      </c>
      <c r="C22" s="16" t="s">
        <v>669</v>
      </c>
      <c r="D22" s="16" t="s">
        <v>746</v>
      </c>
      <c r="E22" s="16" t="s">
        <v>747</v>
      </c>
      <c r="F22" s="16" t="s">
        <v>748</v>
      </c>
      <c r="G22" s="17">
        <v>34805</v>
      </c>
      <c r="H22" s="16" t="s">
        <v>749</v>
      </c>
      <c r="I22" s="16">
        <v>187</v>
      </c>
      <c r="J22" s="16">
        <v>82</v>
      </c>
      <c r="K22" s="16">
        <v>9</v>
      </c>
    </row>
    <row r="23" spans="1:12" x14ac:dyDescent="0.4">
      <c r="A23" s="16" t="s">
        <v>325</v>
      </c>
      <c r="B23" s="16">
        <v>22</v>
      </c>
      <c r="C23" s="16" t="s">
        <v>686</v>
      </c>
      <c r="D23" s="16" t="s">
        <v>750</v>
      </c>
      <c r="E23" s="16" t="s">
        <v>751</v>
      </c>
      <c r="F23" s="16" t="s">
        <v>752</v>
      </c>
      <c r="G23" s="17">
        <v>38680</v>
      </c>
      <c r="H23" s="16" t="s">
        <v>753</v>
      </c>
      <c r="I23" s="16">
        <v>180</v>
      </c>
      <c r="J23" s="16">
        <v>17</v>
      </c>
      <c r="K23" s="16">
        <v>2</v>
      </c>
    </row>
    <row r="24" spans="1:12" x14ac:dyDescent="0.4">
      <c r="A24" s="16" t="s">
        <v>325</v>
      </c>
      <c r="B24" s="16">
        <v>23</v>
      </c>
      <c r="C24" s="16" t="s">
        <v>664</v>
      </c>
      <c r="D24" s="16" t="s">
        <v>754</v>
      </c>
      <c r="E24" s="16" t="s">
        <v>755</v>
      </c>
      <c r="F24" s="16" t="s">
        <v>756</v>
      </c>
      <c r="G24" s="17">
        <v>35928</v>
      </c>
      <c r="H24" s="16" t="s">
        <v>757</v>
      </c>
      <c r="I24" s="16">
        <v>183</v>
      </c>
      <c r="J24" s="16">
        <v>7</v>
      </c>
      <c r="K24" s="16">
        <v>0</v>
      </c>
    </row>
    <row r="25" spans="1:12" x14ac:dyDescent="0.4">
      <c r="A25" s="16" t="s">
        <v>325</v>
      </c>
      <c r="B25" s="16">
        <v>24</v>
      </c>
      <c r="C25" s="16" t="s">
        <v>686</v>
      </c>
      <c r="D25" s="16" t="s">
        <v>758</v>
      </c>
      <c r="E25" s="16" t="s">
        <v>759</v>
      </c>
      <c r="F25" s="16" t="s">
        <v>760</v>
      </c>
      <c r="G25" s="17">
        <v>37828</v>
      </c>
      <c r="H25" s="16" t="s">
        <v>761</v>
      </c>
      <c r="I25" s="16">
        <v>180</v>
      </c>
      <c r="J25" s="16">
        <v>5</v>
      </c>
      <c r="K25" s="16">
        <v>0</v>
      </c>
    </row>
    <row r="26" spans="1:12" x14ac:dyDescent="0.4">
      <c r="A26" s="16" t="s">
        <v>325</v>
      </c>
      <c r="B26" s="16">
        <v>25</v>
      </c>
      <c r="C26" s="16" t="s">
        <v>691</v>
      </c>
      <c r="D26" s="16" t="s">
        <v>762</v>
      </c>
      <c r="E26" s="16" t="s">
        <v>705</v>
      </c>
      <c r="F26" s="16" t="s">
        <v>763</v>
      </c>
      <c r="G26" s="17">
        <v>37505</v>
      </c>
      <c r="H26" s="16" t="s">
        <v>764</v>
      </c>
      <c r="I26" s="16">
        <v>183</v>
      </c>
      <c r="J26" s="16">
        <v>1</v>
      </c>
      <c r="K26" s="16">
        <v>1</v>
      </c>
    </row>
    <row r="27" spans="1:12" x14ac:dyDescent="0.4">
      <c r="A27" s="16" t="s">
        <v>325</v>
      </c>
      <c r="B27" s="16">
        <v>26</v>
      </c>
      <c r="C27" s="16" t="s">
        <v>669</v>
      </c>
      <c r="D27" s="16" t="s">
        <v>765</v>
      </c>
      <c r="E27" s="16" t="s">
        <v>766</v>
      </c>
      <c r="F27" s="16" t="s">
        <v>767</v>
      </c>
      <c r="G27" s="17">
        <v>36197</v>
      </c>
      <c r="H27" s="16" t="s">
        <v>768</v>
      </c>
      <c r="I27" s="16">
        <v>185</v>
      </c>
      <c r="J27" s="16">
        <v>5</v>
      </c>
      <c r="K27" s="16">
        <v>0</v>
      </c>
    </row>
    <row r="28" spans="1:12" x14ac:dyDescent="0.4">
      <c r="A28" s="16" t="s">
        <v>286</v>
      </c>
      <c r="B28" s="16">
        <v>1</v>
      </c>
      <c r="C28" s="16" t="s">
        <v>664</v>
      </c>
      <c r="D28" s="16" t="s">
        <v>769</v>
      </c>
      <c r="E28" s="16" t="s">
        <v>770</v>
      </c>
      <c r="F28" s="16" t="s">
        <v>771</v>
      </c>
      <c r="G28" s="17">
        <v>33702</v>
      </c>
      <c r="H28" s="16" t="s">
        <v>772</v>
      </c>
      <c r="I28" s="16">
        <v>184</v>
      </c>
      <c r="J28" s="16">
        <v>26</v>
      </c>
      <c r="K28" s="16">
        <v>0</v>
      </c>
      <c r="L28" s="16" t="s">
        <v>771</v>
      </c>
    </row>
    <row r="29" spans="1:12" x14ac:dyDescent="0.4">
      <c r="A29" s="16" t="s">
        <v>286</v>
      </c>
      <c r="B29" s="16">
        <v>2</v>
      </c>
      <c r="C29" s="16" t="s">
        <v>669</v>
      </c>
      <c r="D29" s="16" t="s">
        <v>773</v>
      </c>
      <c r="E29" s="16" t="s">
        <v>774</v>
      </c>
      <c r="F29" s="16" t="s">
        <v>775</v>
      </c>
      <c r="G29" s="17">
        <v>34452</v>
      </c>
      <c r="H29" s="16" t="s">
        <v>776</v>
      </c>
      <c r="I29" s="16">
        <v>187</v>
      </c>
      <c r="J29" s="16">
        <v>1</v>
      </c>
      <c r="K29" s="16">
        <v>0</v>
      </c>
      <c r="L29" s="16" t="s">
        <v>775</v>
      </c>
    </row>
    <row r="30" spans="1:12" x14ac:dyDescent="0.4">
      <c r="A30" s="16" t="s">
        <v>286</v>
      </c>
      <c r="B30" s="16">
        <v>3</v>
      </c>
      <c r="C30" s="16" t="s">
        <v>669</v>
      </c>
      <c r="D30" s="16" t="s">
        <v>777</v>
      </c>
      <c r="E30" s="16" t="s">
        <v>778</v>
      </c>
      <c r="F30" s="16" t="s">
        <v>779</v>
      </c>
      <c r="G30" s="17">
        <v>37904</v>
      </c>
      <c r="H30" s="16" t="s">
        <v>780</v>
      </c>
      <c r="I30" s="16">
        <v>191</v>
      </c>
      <c r="J30" s="16">
        <v>32</v>
      </c>
      <c r="K30" s="16">
        <v>0</v>
      </c>
      <c r="L30" s="16" t="s">
        <v>779</v>
      </c>
    </row>
    <row r="31" spans="1:12" x14ac:dyDescent="0.4">
      <c r="A31" s="16" t="s">
        <v>286</v>
      </c>
      <c r="B31" s="16">
        <v>4</v>
      </c>
      <c r="C31" s="16" t="s">
        <v>669</v>
      </c>
      <c r="D31" s="16" t="s">
        <v>781</v>
      </c>
      <c r="E31" s="16" t="s">
        <v>782</v>
      </c>
      <c r="F31" s="16" t="s">
        <v>783</v>
      </c>
      <c r="G31" s="17">
        <v>37102</v>
      </c>
      <c r="H31" s="16" t="s">
        <v>784</v>
      </c>
      <c r="I31" s="16">
        <v>177</v>
      </c>
      <c r="J31" s="16">
        <v>51</v>
      </c>
      <c r="K31" s="16">
        <v>4</v>
      </c>
      <c r="L31" s="16" t="s">
        <v>783</v>
      </c>
    </row>
    <row r="32" spans="1:12" x14ac:dyDescent="0.4">
      <c r="A32" s="16" t="s">
        <v>286</v>
      </c>
      <c r="B32" s="16">
        <v>5</v>
      </c>
      <c r="C32" s="16" t="s">
        <v>669</v>
      </c>
      <c r="D32" s="16" t="s">
        <v>785</v>
      </c>
      <c r="E32" s="16" t="s">
        <v>786</v>
      </c>
      <c r="F32" s="16" t="s">
        <v>787</v>
      </c>
      <c r="G32" s="17">
        <v>37558</v>
      </c>
      <c r="H32" s="16" t="s">
        <v>711</v>
      </c>
      <c r="I32" s="16">
        <v>180</v>
      </c>
      <c r="J32" s="16">
        <v>52</v>
      </c>
      <c r="K32" s="16">
        <v>5</v>
      </c>
      <c r="L32" s="16" t="s">
        <v>787</v>
      </c>
    </row>
    <row r="33" spans="1:12" x14ac:dyDescent="0.4">
      <c r="A33" s="16" t="s">
        <v>286</v>
      </c>
      <c r="B33" s="16">
        <v>6</v>
      </c>
      <c r="C33" s="16" t="s">
        <v>669</v>
      </c>
      <c r="D33" s="16" t="s">
        <v>788</v>
      </c>
      <c r="E33" s="16" t="s">
        <v>789</v>
      </c>
      <c r="F33" s="16" t="s">
        <v>790</v>
      </c>
      <c r="G33" s="17">
        <v>34099</v>
      </c>
      <c r="H33" s="16" t="s">
        <v>791</v>
      </c>
      <c r="I33" s="16">
        <v>181</v>
      </c>
      <c r="J33" s="16">
        <v>47</v>
      </c>
      <c r="K33" s="16">
        <v>1</v>
      </c>
      <c r="L33" s="16" t="s">
        <v>790</v>
      </c>
    </row>
    <row r="34" spans="1:12" x14ac:dyDescent="0.4">
      <c r="A34" s="16" t="s">
        <v>286</v>
      </c>
      <c r="B34" s="16">
        <v>7</v>
      </c>
      <c r="C34" s="16" t="s">
        <v>691</v>
      </c>
      <c r="D34" s="16" t="s">
        <v>792</v>
      </c>
      <c r="E34" s="16" t="s">
        <v>793</v>
      </c>
      <c r="F34" s="16" t="s">
        <v>794</v>
      </c>
      <c r="G34" s="17">
        <v>33273</v>
      </c>
      <c r="H34" s="16" t="s">
        <v>795</v>
      </c>
      <c r="I34" s="16">
        <v>181</v>
      </c>
      <c r="J34" s="16">
        <v>133</v>
      </c>
      <c r="K34" s="16">
        <v>47</v>
      </c>
      <c r="L34" s="16" t="s">
        <v>794</v>
      </c>
    </row>
    <row r="35" spans="1:12" x14ac:dyDescent="0.4">
      <c r="A35" s="16" t="s">
        <v>286</v>
      </c>
      <c r="B35" s="16">
        <v>8</v>
      </c>
      <c r="C35" s="16" t="s">
        <v>686</v>
      </c>
      <c r="D35" s="16" t="s">
        <v>796</v>
      </c>
      <c r="E35" s="16" t="s">
        <v>797</v>
      </c>
      <c r="F35" s="16" t="s">
        <v>798</v>
      </c>
      <c r="G35" s="17">
        <v>36469</v>
      </c>
      <c r="H35" s="16" t="s">
        <v>799</v>
      </c>
      <c r="I35" s="16">
        <v>183</v>
      </c>
      <c r="J35" s="16">
        <v>113</v>
      </c>
      <c r="K35" s="16">
        <v>15</v>
      </c>
      <c r="L35" s="16" t="s">
        <v>798</v>
      </c>
    </row>
    <row r="36" spans="1:12" x14ac:dyDescent="0.4">
      <c r="A36" s="16" t="s">
        <v>286</v>
      </c>
      <c r="B36" s="16">
        <v>9</v>
      </c>
      <c r="C36" s="16" t="s">
        <v>691</v>
      </c>
      <c r="D36" s="16" t="s">
        <v>800</v>
      </c>
      <c r="E36" s="16" t="s">
        <v>801</v>
      </c>
      <c r="F36" s="16" t="s">
        <v>802</v>
      </c>
      <c r="G36" s="17">
        <v>38072</v>
      </c>
      <c r="H36" s="16" t="s">
        <v>803</v>
      </c>
      <c r="I36" s="16">
        <v>186</v>
      </c>
      <c r="J36" s="16">
        <v>98</v>
      </c>
      <c r="K36" s="16">
        <v>26</v>
      </c>
      <c r="L36" s="16" t="s">
        <v>802</v>
      </c>
    </row>
    <row r="37" spans="1:12" x14ac:dyDescent="0.4">
      <c r="A37" s="16" t="s">
        <v>286</v>
      </c>
      <c r="B37" s="16">
        <v>10</v>
      </c>
      <c r="C37" s="16" t="s">
        <v>691</v>
      </c>
      <c r="D37" s="16" t="s">
        <v>804</v>
      </c>
      <c r="E37" s="16" t="s">
        <v>805</v>
      </c>
      <c r="F37" s="16" t="s">
        <v>806</v>
      </c>
      <c r="G37" s="17">
        <v>35251</v>
      </c>
      <c r="H37" s="16" t="s">
        <v>807</v>
      </c>
      <c r="I37" s="16">
        <v>180</v>
      </c>
      <c r="J37" s="16">
        <v>58</v>
      </c>
      <c r="K37" s="16">
        <v>1</v>
      </c>
      <c r="L37" s="16" t="s">
        <v>806</v>
      </c>
    </row>
    <row r="38" spans="1:12" x14ac:dyDescent="0.4">
      <c r="A38" s="16" t="s">
        <v>286</v>
      </c>
      <c r="B38" s="16">
        <v>11</v>
      </c>
      <c r="C38" s="16" t="s">
        <v>691</v>
      </c>
      <c r="D38" s="16" t="s">
        <v>808</v>
      </c>
      <c r="E38" s="16" t="s">
        <v>809</v>
      </c>
      <c r="F38" s="16" t="s">
        <v>810</v>
      </c>
      <c r="G38" s="17">
        <v>34957</v>
      </c>
      <c r="H38" s="16" t="s">
        <v>811</v>
      </c>
      <c r="I38" s="16">
        <v>178</v>
      </c>
      <c r="J38" s="16">
        <v>75</v>
      </c>
      <c r="K38" s="16">
        <v>24</v>
      </c>
      <c r="L38" s="16" t="s">
        <v>810</v>
      </c>
    </row>
    <row r="39" spans="1:12" x14ac:dyDescent="0.4">
      <c r="A39" s="16" t="s">
        <v>286</v>
      </c>
      <c r="B39" s="16">
        <v>12</v>
      </c>
      <c r="C39" s="16" t="s">
        <v>664</v>
      </c>
      <c r="D39" s="16" t="s">
        <v>812</v>
      </c>
      <c r="E39" s="16" t="s">
        <v>813</v>
      </c>
      <c r="F39" s="16" t="s">
        <v>814</v>
      </c>
      <c r="G39" s="17">
        <v>34705</v>
      </c>
      <c r="H39" s="16" t="s">
        <v>815</v>
      </c>
      <c r="I39" s="16">
        <v>184</v>
      </c>
      <c r="J39" s="16">
        <v>1</v>
      </c>
      <c r="K39" s="16">
        <v>0</v>
      </c>
      <c r="L39" s="16" t="s">
        <v>814</v>
      </c>
    </row>
    <row r="40" spans="1:12" x14ac:dyDescent="0.4">
      <c r="A40" s="16" t="s">
        <v>286</v>
      </c>
      <c r="B40" s="16">
        <v>13</v>
      </c>
      <c r="C40" s="16" t="s">
        <v>686</v>
      </c>
      <c r="D40" s="16" t="s">
        <v>816</v>
      </c>
      <c r="E40" s="16" t="s">
        <v>817</v>
      </c>
      <c r="F40" s="16" t="s">
        <v>818</v>
      </c>
      <c r="G40" s="17">
        <v>35980</v>
      </c>
      <c r="H40" s="16" t="s">
        <v>819</v>
      </c>
      <c r="I40" s="16">
        <v>180</v>
      </c>
      <c r="J40" s="16">
        <v>18</v>
      </c>
      <c r="K40" s="16">
        <v>0</v>
      </c>
      <c r="L40" s="16" t="s">
        <v>818</v>
      </c>
    </row>
    <row r="41" spans="1:12" x14ac:dyDescent="0.4">
      <c r="A41" s="16" t="s">
        <v>286</v>
      </c>
      <c r="B41" s="16">
        <v>14</v>
      </c>
      <c r="C41" s="16" t="s">
        <v>686</v>
      </c>
      <c r="D41" s="16" t="s">
        <v>820</v>
      </c>
      <c r="E41" s="16" t="s">
        <v>821</v>
      </c>
      <c r="F41" s="16" t="s">
        <v>822</v>
      </c>
      <c r="G41" s="17">
        <v>35953</v>
      </c>
      <c r="H41" s="16" t="s">
        <v>823</v>
      </c>
      <c r="I41" s="16">
        <v>170</v>
      </c>
      <c r="J41" s="16">
        <v>22</v>
      </c>
      <c r="K41" s="16">
        <v>4</v>
      </c>
      <c r="L41" s="16" t="s">
        <v>822</v>
      </c>
    </row>
    <row r="42" spans="1:12" x14ac:dyDescent="0.4">
      <c r="A42" s="16" t="s">
        <v>286</v>
      </c>
      <c r="B42" s="16">
        <v>15</v>
      </c>
      <c r="C42" s="16" t="s">
        <v>669</v>
      </c>
      <c r="D42" s="16" t="s">
        <v>824</v>
      </c>
      <c r="E42" s="16" t="s">
        <v>825</v>
      </c>
      <c r="F42" s="16" t="s">
        <v>826</v>
      </c>
      <c r="G42" s="17">
        <v>37029</v>
      </c>
      <c r="H42" s="16" t="s">
        <v>819</v>
      </c>
      <c r="I42" s="16">
        <v>183</v>
      </c>
      <c r="J42" s="16">
        <v>41</v>
      </c>
      <c r="K42" s="16">
        <v>3</v>
      </c>
      <c r="L42" s="16" t="s">
        <v>826</v>
      </c>
    </row>
    <row r="43" spans="1:12" x14ac:dyDescent="0.4">
      <c r="A43" s="16" t="s">
        <v>286</v>
      </c>
      <c r="B43" s="16">
        <v>16</v>
      </c>
      <c r="C43" s="16" t="s">
        <v>669</v>
      </c>
      <c r="D43" s="16" t="s">
        <v>827</v>
      </c>
      <c r="E43" s="16" t="s">
        <v>828</v>
      </c>
      <c r="F43" s="16" t="s">
        <v>829</v>
      </c>
      <c r="G43" s="17">
        <v>33223</v>
      </c>
      <c r="H43" s="16" t="s">
        <v>795</v>
      </c>
      <c r="I43" s="16">
        <v>170</v>
      </c>
      <c r="J43" s="16">
        <v>30</v>
      </c>
      <c r="K43" s="16">
        <v>0</v>
      </c>
      <c r="L43" s="16" t="s">
        <v>829</v>
      </c>
    </row>
    <row r="44" spans="1:12" x14ac:dyDescent="0.4">
      <c r="A44" s="16" t="s">
        <v>286</v>
      </c>
      <c r="B44" s="16">
        <v>17</v>
      </c>
      <c r="C44" s="16" t="s">
        <v>691</v>
      </c>
      <c r="D44" s="16" t="s">
        <v>830</v>
      </c>
      <c r="E44" s="16" t="s">
        <v>831</v>
      </c>
      <c r="F44" s="16" t="s">
        <v>832</v>
      </c>
      <c r="G44" s="17">
        <v>38757</v>
      </c>
      <c r="H44" s="16" t="s">
        <v>833</v>
      </c>
      <c r="I44" s="16">
        <v>165</v>
      </c>
      <c r="J44" s="16">
        <v>3</v>
      </c>
      <c r="K44" s="16">
        <v>1</v>
      </c>
      <c r="L44" s="16" t="s">
        <v>832</v>
      </c>
    </row>
    <row r="45" spans="1:12" x14ac:dyDescent="0.4">
      <c r="A45" s="16" t="s">
        <v>286</v>
      </c>
      <c r="B45" s="16">
        <v>18</v>
      </c>
      <c r="C45" s="16" t="s">
        <v>664</v>
      </c>
      <c r="D45" s="16" t="s">
        <v>834</v>
      </c>
      <c r="E45" s="16" t="s">
        <v>835</v>
      </c>
      <c r="F45" s="16" t="s">
        <v>836</v>
      </c>
      <c r="G45" s="17">
        <v>37839</v>
      </c>
      <c r="H45" s="16" t="s">
        <v>795</v>
      </c>
      <c r="I45" s="16">
        <v>189</v>
      </c>
      <c r="J45" s="16">
        <v>34</v>
      </c>
      <c r="K45" s="16">
        <v>3</v>
      </c>
      <c r="L45" s="16" t="s">
        <v>836</v>
      </c>
    </row>
    <row r="46" spans="1:12" x14ac:dyDescent="0.4">
      <c r="A46" s="16" t="s">
        <v>286</v>
      </c>
      <c r="B46" s="16">
        <v>19</v>
      </c>
      <c r="C46" s="16" t="s">
        <v>669</v>
      </c>
      <c r="D46" s="16" t="s">
        <v>837</v>
      </c>
      <c r="E46" s="16" t="s">
        <v>838</v>
      </c>
      <c r="F46" s="16" t="s">
        <v>839</v>
      </c>
      <c r="G46" s="17">
        <v>36090</v>
      </c>
      <c r="H46" s="16" t="s">
        <v>840</v>
      </c>
      <c r="I46" s="16">
        <v>198</v>
      </c>
      <c r="J46" s="16">
        <v>9</v>
      </c>
      <c r="K46" s="16">
        <v>1</v>
      </c>
      <c r="L46" s="16" t="s">
        <v>839</v>
      </c>
    </row>
    <row r="47" spans="1:12" x14ac:dyDescent="0.4">
      <c r="A47" s="16" t="s">
        <v>286</v>
      </c>
      <c r="B47" s="16">
        <v>20</v>
      </c>
      <c r="C47" s="16" t="s">
        <v>691</v>
      </c>
      <c r="D47" s="16" t="s">
        <v>841</v>
      </c>
      <c r="E47" s="16" t="s">
        <v>842</v>
      </c>
      <c r="F47" s="16" t="s">
        <v>843</v>
      </c>
      <c r="G47" s="17">
        <v>37940</v>
      </c>
      <c r="H47" s="16" t="s">
        <v>844</v>
      </c>
      <c r="I47" s="16">
        <v>187</v>
      </c>
      <c r="J47" s="16">
        <v>57</v>
      </c>
      <c r="K47" s="16">
        <v>7</v>
      </c>
      <c r="L47" s="16" t="s">
        <v>843</v>
      </c>
    </row>
    <row r="48" spans="1:12" x14ac:dyDescent="0.4">
      <c r="A48" s="16" t="s">
        <v>286</v>
      </c>
      <c r="B48" s="16">
        <v>21</v>
      </c>
      <c r="C48" s="16" t="s">
        <v>669</v>
      </c>
      <c r="D48" s="16" t="s">
        <v>845</v>
      </c>
      <c r="E48" s="16" t="s">
        <v>846</v>
      </c>
      <c r="F48" s="16" t="s">
        <v>847</v>
      </c>
      <c r="G48" s="17">
        <v>34993</v>
      </c>
      <c r="H48" s="16" t="s">
        <v>848</v>
      </c>
      <c r="I48" s="16">
        <v>194</v>
      </c>
      <c r="J48" s="16">
        <v>30</v>
      </c>
      <c r="K48" s="16">
        <v>1</v>
      </c>
      <c r="L48" s="16" t="s">
        <v>847</v>
      </c>
    </row>
    <row r="49" spans="1:12" x14ac:dyDescent="0.4">
      <c r="A49" s="16" t="s">
        <v>286</v>
      </c>
      <c r="B49" s="16">
        <v>22</v>
      </c>
      <c r="C49" s="16" t="s">
        <v>686</v>
      </c>
      <c r="D49" s="16" t="s">
        <v>849</v>
      </c>
      <c r="E49" s="16" t="s">
        <v>850</v>
      </c>
      <c r="F49" s="16" t="s">
        <v>851</v>
      </c>
      <c r="G49" s="17">
        <v>34035</v>
      </c>
      <c r="H49" s="16" t="s">
        <v>799</v>
      </c>
      <c r="I49" s="16">
        <v>189</v>
      </c>
      <c r="J49" s="16">
        <v>19</v>
      </c>
      <c r="K49" s="16">
        <v>0</v>
      </c>
      <c r="L49" s="16" t="s">
        <v>851</v>
      </c>
    </row>
    <row r="50" spans="1:12" x14ac:dyDescent="0.4">
      <c r="A50" s="16" t="s">
        <v>286</v>
      </c>
      <c r="B50" s="16">
        <v>23</v>
      </c>
      <c r="C50" s="16" t="s">
        <v>691</v>
      </c>
      <c r="D50" s="16" t="s">
        <v>852</v>
      </c>
      <c r="E50" s="16" t="s">
        <v>853</v>
      </c>
      <c r="F50" s="16" t="s">
        <v>854</v>
      </c>
      <c r="G50" s="17">
        <v>37018</v>
      </c>
      <c r="H50" s="16" t="s">
        <v>855</v>
      </c>
      <c r="I50" s="16">
        <v>181</v>
      </c>
      <c r="J50" s="16">
        <v>11</v>
      </c>
      <c r="K50" s="16">
        <v>0</v>
      </c>
      <c r="L50" s="16" t="s">
        <v>854</v>
      </c>
    </row>
    <row r="51" spans="1:12" x14ac:dyDescent="0.4">
      <c r="A51" s="16" t="s">
        <v>286</v>
      </c>
      <c r="B51" s="16">
        <v>24</v>
      </c>
      <c r="C51" s="16" t="s">
        <v>686</v>
      </c>
      <c r="D51" s="16" t="s">
        <v>856</v>
      </c>
      <c r="E51" s="16" t="s">
        <v>857</v>
      </c>
      <c r="F51" s="16" t="s">
        <v>858</v>
      </c>
      <c r="G51" s="17">
        <v>38376</v>
      </c>
      <c r="H51" s="16" t="s">
        <v>859</v>
      </c>
      <c r="I51" s="16">
        <v>185</v>
      </c>
      <c r="J51" s="16">
        <v>3</v>
      </c>
      <c r="K51" s="16">
        <v>0</v>
      </c>
      <c r="L51" s="16" t="s">
        <v>858</v>
      </c>
    </row>
    <row r="52" spans="1:12" x14ac:dyDescent="0.4">
      <c r="A52" s="16" t="s">
        <v>286</v>
      </c>
      <c r="B52" s="16">
        <v>25</v>
      </c>
      <c r="C52" s="16" t="s">
        <v>669</v>
      </c>
      <c r="D52" s="16" t="s">
        <v>860</v>
      </c>
      <c r="E52" s="16" t="s">
        <v>861</v>
      </c>
      <c r="F52" s="16" t="s">
        <v>862</v>
      </c>
      <c r="G52" s="17">
        <v>39330</v>
      </c>
      <c r="H52" s="16" t="s">
        <v>863</v>
      </c>
      <c r="I52" s="16">
        <v>193</v>
      </c>
      <c r="J52" s="16">
        <v>4</v>
      </c>
      <c r="K52" s="16">
        <v>0</v>
      </c>
      <c r="L52" s="16" t="s">
        <v>862</v>
      </c>
    </row>
    <row r="53" spans="1:12" x14ac:dyDescent="0.4">
      <c r="A53" s="16" t="s">
        <v>286</v>
      </c>
      <c r="B53" s="16">
        <v>26</v>
      </c>
      <c r="C53" s="16" t="s">
        <v>691</v>
      </c>
      <c r="D53" s="16" t="s">
        <v>864</v>
      </c>
      <c r="E53" s="16" t="s">
        <v>865</v>
      </c>
      <c r="F53" s="16" t="s">
        <v>866</v>
      </c>
      <c r="G53" s="17">
        <v>36858</v>
      </c>
      <c r="H53" s="16" t="s">
        <v>867</v>
      </c>
      <c r="I53" s="16">
        <v>197</v>
      </c>
      <c r="J53" s="16">
        <v>35</v>
      </c>
      <c r="K53" s="16">
        <v>6</v>
      </c>
      <c r="L53" s="16" t="s">
        <v>866</v>
      </c>
    </row>
    <row r="54" spans="1:12" x14ac:dyDescent="0.4">
      <c r="A54" s="16" t="s">
        <v>298</v>
      </c>
      <c r="B54" s="16">
        <v>1</v>
      </c>
      <c r="C54" s="16" t="s">
        <v>664</v>
      </c>
      <c r="D54" s="16" t="s">
        <v>868</v>
      </c>
      <c r="E54" s="16" t="s">
        <v>869</v>
      </c>
      <c r="F54" s="16" t="s">
        <v>870</v>
      </c>
      <c r="G54" s="17">
        <v>35096</v>
      </c>
      <c r="H54" s="16" t="s">
        <v>871</v>
      </c>
      <c r="I54" s="16">
        <v>188</v>
      </c>
      <c r="J54" s="16">
        <v>30</v>
      </c>
      <c r="K54" s="16">
        <v>0</v>
      </c>
      <c r="L54" s="16" t="s">
        <v>870</v>
      </c>
    </row>
    <row r="55" spans="1:12" x14ac:dyDescent="0.4">
      <c r="A55" s="16" t="s">
        <v>298</v>
      </c>
      <c r="B55" s="16">
        <v>2</v>
      </c>
      <c r="C55" s="16" t="s">
        <v>669</v>
      </c>
      <c r="D55" s="16" t="s">
        <v>872</v>
      </c>
      <c r="E55" s="16" t="s">
        <v>873</v>
      </c>
      <c r="F55" s="16" t="s">
        <v>874</v>
      </c>
      <c r="G55" s="17">
        <v>36969</v>
      </c>
      <c r="H55" s="16" t="s">
        <v>875</v>
      </c>
      <c r="I55" s="16">
        <v>185</v>
      </c>
      <c r="J55" s="16">
        <v>1</v>
      </c>
      <c r="K55" s="16">
        <v>0</v>
      </c>
      <c r="L55" s="16" t="s">
        <v>874</v>
      </c>
    </row>
    <row r="56" spans="1:12" x14ac:dyDescent="0.4">
      <c r="A56" s="16" t="s">
        <v>298</v>
      </c>
      <c r="B56" s="16">
        <v>3</v>
      </c>
      <c r="C56" s="16" t="s">
        <v>669</v>
      </c>
      <c r="D56" s="16" t="s">
        <v>876</v>
      </c>
      <c r="E56" s="16" t="s">
        <v>877</v>
      </c>
      <c r="F56" s="16" t="s">
        <v>878</v>
      </c>
      <c r="G56" s="17">
        <v>36057</v>
      </c>
      <c r="H56" s="16" t="s">
        <v>879</v>
      </c>
      <c r="I56" s="16">
        <v>190</v>
      </c>
      <c r="J56" s="16">
        <v>36</v>
      </c>
      <c r="K56" s="16">
        <v>0</v>
      </c>
      <c r="L56" s="16" t="s">
        <v>878</v>
      </c>
    </row>
    <row r="57" spans="1:12" x14ac:dyDescent="0.4">
      <c r="A57" s="16" t="s">
        <v>298</v>
      </c>
      <c r="B57" s="16">
        <v>4</v>
      </c>
      <c r="C57" s="16" t="s">
        <v>686</v>
      </c>
      <c r="D57" s="16" t="s">
        <v>880</v>
      </c>
      <c r="E57" s="16" t="s">
        <v>881</v>
      </c>
      <c r="F57" s="16" t="s">
        <v>882</v>
      </c>
      <c r="G57" s="17">
        <v>35701</v>
      </c>
      <c r="H57" s="16" t="s">
        <v>883</v>
      </c>
      <c r="I57" s="16">
        <v>174</v>
      </c>
      <c r="J57" s="16">
        <v>55</v>
      </c>
      <c r="K57" s="16">
        <v>4</v>
      </c>
      <c r="L57" s="16" t="s">
        <v>870</v>
      </c>
    </row>
    <row r="58" spans="1:12" x14ac:dyDescent="0.4">
      <c r="A58" s="16" t="s">
        <v>298</v>
      </c>
      <c r="B58" s="16">
        <v>5</v>
      </c>
      <c r="C58" s="16" t="s">
        <v>669</v>
      </c>
      <c r="D58" s="16" t="s">
        <v>884</v>
      </c>
      <c r="E58" s="16" t="s">
        <v>885</v>
      </c>
      <c r="F58" s="16" t="s">
        <v>886</v>
      </c>
      <c r="G58" s="17">
        <v>35564</v>
      </c>
      <c r="H58" s="16" t="s">
        <v>887</v>
      </c>
      <c r="I58" s="16">
        <v>188</v>
      </c>
      <c r="J58" s="16">
        <v>56</v>
      </c>
      <c r="K58" s="16">
        <v>5</v>
      </c>
      <c r="L58" s="16" t="s">
        <v>886</v>
      </c>
    </row>
    <row r="59" spans="1:12" x14ac:dyDescent="0.4">
      <c r="A59" s="16" t="s">
        <v>298</v>
      </c>
      <c r="B59" s="16">
        <v>6</v>
      </c>
      <c r="C59" s="16" t="s">
        <v>686</v>
      </c>
      <c r="D59" s="16" t="s">
        <v>888</v>
      </c>
      <c r="E59" s="16" t="s">
        <v>889</v>
      </c>
      <c r="F59" s="16" t="s">
        <v>890</v>
      </c>
      <c r="G59" s="17">
        <v>37015</v>
      </c>
      <c r="H59" s="16" t="s">
        <v>883</v>
      </c>
      <c r="I59" s="16">
        <v>179</v>
      </c>
      <c r="J59" s="16">
        <v>51</v>
      </c>
      <c r="K59" s="16">
        <v>1</v>
      </c>
      <c r="L59" s="16" t="s">
        <v>890</v>
      </c>
    </row>
    <row r="60" spans="1:12" x14ac:dyDescent="0.4">
      <c r="A60" s="16" t="s">
        <v>298</v>
      </c>
      <c r="B60" s="16">
        <v>7</v>
      </c>
      <c r="C60" s="16" t="s">
        <v>691</v>
      </c>
      <c r="D60" s="16" t="s">
        <v>891</v>
      </c>
      <c r="E60" s="16" t="s">
        <v>892</v>
      </c>
      <c r="F60" s="16" t="s">
        <v>893</v>
      </c>
      <c r="G60" s="17">
        <v>32617</v>
      </c>
      <c r="H60" s="16" t="s">
        <v>894</v>
      </c>
      <c r="I60" s="16">
        <v>192</v>
      </c>
      <c r="J60" s="16">
        <v>137</v>
      </c>
      <c r="K60" s="16">
        <v>49</v>
      </c>
      <c r="L60" s="16" t="s">
        <v>893</v>
      </c>
    </row>
    <row r="61" spans="1:12" x14ac:dyDescent="0.4">
      <c r="A61" s="16" t="s">
        <v>298</v>
      </c>
      <c r="B61" s="16">
        <v>8</v>
      </c>
      <c r="C61" s="16" t="s">
        <v>669</v>
      </c>
      <c r="D61" s="16" t="s">
        <v>895</v>
      </c>
      <c r="E61" s="16" t="s">
        <v>896</v>
      </c>
      <c r="F61" s="16" t="s">
        <v>897</v>
      </c>
      <c r="G61" s="17">
        <v>33779</v>
      </c>
      <c r="H61" s="16" t="s">
        <v>898</v>
      </c>
      <c r="I61" s="16">
        <v>180</v>
      </c>
      <c r="J61" s="16">
        <v>117</v>
      </c>
      <c r="K61" s="16">
        <v>15</v>
      </c>
      <c r="L61" s="16" t="s">
        <v>897</v>
      </c>
    </row>
    <row r="62" spans="1:12" x14ac:dyDescent="0.4">
      <c r="A62" s="16" t="s">
        <v>298</v>
      </c>
      <c r="B62" s="16">
        <v>9</v>
      </c>
      <c r="C62" s="16" t="s">
        <v>686</v>
      </c>
      <c r="D62" s="16" t="s">
        <v>899</v>
      </c>
      <c r="E62" s="16" t="s">
        <v>900</v>
      </c>
      <c r="F62" s="16" t="s">
        <v>901</v>
      </c>
      <c r="G62" s="17">
        <v>34410</v>
      </c>
      <c r="H62" s="16" t="s">
        <v>749</v>
      </c>
      <c r="I62" s="16">
        <v>178</v>
      </c>
      <c r="J62" s="16">
        <v>102</v>
      </c>
      <c r="K62" s="16">
        <v>27</v>
      </c>
      <c r="L62" s="16" t="s">
        <v>901</v>
      </c>
    </row>
    <row r="63" spans="1:12" x14ac:dyDescent="0.4">
      <c r="A63" s="16" t="s">
        <v>298</v>
      </c>
      <c r="B63" s="16">
        <v>10</v>
      </c>
      <c r="C63" s="16" t="s">
        <v>686</v>
      </c>
      <c r="D63" s="16" t="s">
        <v>902</v>
      </c>
      <c r="E63" s="16" t="s">
        <v>903</v>
      </c>
      <c r="F63" s="16" t="s">
        <v>904</v>
      </c>
      <c r="G63" s="17">
        <v>34918</v>
      </c>
      <c r="H63" s="16" t="s">
        <v>905</v>
      </c>
      <c r="I63" s="16">
        <v>186</v>
      </c>
      <c r="J63" s="16">
        <v>61</v>
      </c>
      <c r="K63" s="16">
        <v>1</v>
      </c>
      <c r="L63" s="16" t="s">
        <v>904</v>
      </c>
    </row>
    <row r="64" spans="1:12" x14ac:dyDescent="0.4">
      <c r="A64" s="16" t="s">
        <v>298</v>
      </c>
      <c r="B64" s="16">
        <v>11</v>
      </c>
      <c r="C64" s="16" t="s">
        <v>691</v>
      </c>
      <c r="D64" s="16" t="s">
        <v>906</v>
      </c>
      <c r="E64" s="16" t="s">
        <v>907</v>
      </c>
      <c r="F64" s="16" t="s">
        <v>908</v>
      </c>
      <c r="G64" s="17">
        <v>34442</v>
      </c>
      <c r="H64" s="16" t="s">
        <v>909</v>
      </c>
      <c r="I64" s="16">
        <v>193</v>
      </c>
      <c r="J64" s="16">
        <v>78</v>
      </c>
      <c r="K64" s="16">
        <v>24</v>
      </c>
      <c r="L64" s="16" t="s">
        <v>908</v>
      </c>
    </row>
    <row r="65" spans="1:12" x14ac:dyDescent="0.4">
      <c r="A65" s="16" t="s">
        <v>298</v>
      </c>
      <c r="B65" s="16">
        <v>12</v>
      </c>
      <c r="C65" s="16" t="s">
        <v>664</v>
      </c>
      <c r="D65" s="16" t="s">
        <v>910</v>
      </c>
      <c r="E65" s="16" t="s">
        <v>903</v>
      </c>
      <c r="F65" s="16" t="s">
        <v>911</v>
      </c>
      <c r="G65" s="17">
        <v>36971</v>
      </c>
      <c r="H65" s="16" t="s">
        <v>912</v>
      </c>
      <c r="I65" s="16">
        <v>205</v>
      </c>
      <c r="J65" s="16">
        <v>1</v>
      </c>
      <c r="K65" s="16">
        <v>0</v>
      </c>
      <c r="L65" s="16" t="s">
        <v>911</v>
      </c>
    </row>
    <row r="66" spans="1:12" x14ac:dyDescent="0.4">
      <c r="A66" s="16" t="s">
        <v>298</v>
      </c>
      <c r="B66" s="16">
        <v>13</v>
      </c>
      <c r="C66" s="16" t="s">
        <v>664</v>
      </c>
      <c r="D66" s="16" t="s">
        <v>913</v>
      </c>
      <c r="E66" s="16" t="s">
        <v>914</v>
      </c>
      <c r="F66" s="16" t="s">
        <v>915</v>
      </c>
      <c r="G66" s="17">
        <v>35432</v>
      </c>
      <c r="H66" s="16" t="s">
        <v>916</v>
      </c>
      <c r="I66" s="16">
        <v>183</v>
      </c>
      <c r="J66" s="16">
        <v>18</v>
      </c>
      <c r="K66" s="16">
        <v>0</v>
      </c>
      <c r="L66" s="16" t="s">
        <v>915</v>
      </c>
    </row>
    <row r="67" spans="1:12" x14ac:dyDescent="0.4">
      <c r="A67" s="16" t="s">
        <v>298</v>
      </c>
      <c r="B67" s="16">
        <v>14</v>
      </c>
      <c r="C67" s="16" t="s">
        <v>691</v>
      </c>
      <c r="D67" s="16" t="s">
        <v>917</v>
      </c>
      <c r="E67" s="16" t="s">
        <v>918</v>
      </c>
      <c r="F67" s="16" t="s">
        <v>919</v>
      </c>
      <c r="G67" s="17">
        <v>35618</v>
      </c>
      <c r="H67" s="16" t="s">
        <v>920</v>
      </c>
      <c r="I67" s="16">
        <v>200</v>
      </c>
      <c r="J67" s="16">
        <v>25</v>
      </c>
      <c r="K67" s="16">
        <v>5</v>
      </c>
      <c r="L67" s="16" t="s">
        <v>921</v>
      </c>
    </row>
    <row r="68" spans="1:12" x14ac:dyDescent="0.4">
      <c r="A68" s="16" t="s">
        <v>298</v>
      </c>
      <c r="B68" s="16">
        <v>15</v>
      </c>
      <c r="C68" s="16" t="s">
        <v>669</v>
      </c>
      <c r="D68" s="16" t="s">
        <v>922</v>
      </c>
      <c r="E68" s="16" t="s">
        <v>923</v>
      </c>
      <c r="F68" s="16" t="s">
        <v>924</v>
      </c>
      <c r="G68" s="17">
        <v>35257</v>
      </c>
      <c r="H68" s="16" t="s">
        <v>925</v>
      </c>
      <c r="I68" s="16">
        <v>189</v>
      </c>
      <c r="J68" s="16">
        <v>43</v>
      </c>
      <c r="K68" s="16">
        <v>3</v>
      </c>
      <c r="L68" s="16" t="s">
        <v>924</v>
      </c>
    </row>
    <row r="69" spans="1:12" x14ac:dyDescent="0.4">
      <c r="A69" s="16" t="s">
        <v>298</v>
      </c>
      <c r="B69" s="16">
        <v>16</v>
      </c>
      <c r="C69" s="16" t="s">
        <v>669</v>
      </c>
      <c r="D69" s="16" t="s">
        <v>926</v>
      </c>
      <c r="E69" s="16" t="s">
        <v>927</v>
      </c>
      <c r="F69" s="16" t="s">
        <v>928</v>
      </c>
      <c r="G69" s="17">
        <v>34363</v>
      </c>
      <c r="H69" s="16" t="s">
        <v>887</v>
      </c>
      <c r="I69" s="16">
        <v>170</v>
      </c>
      <c r="J69" s="16">
        <v>32</v>
      </c>
      <c r="K69" s="16">
        <v>0</v>
      </c>
      <c r="L69" s="16" t="s">
        <v>928</v>
      </c>
    </row>
    <row r="70" spans="1:12" x14ac:dyDescent="0.4">
      <c r="A70" s="16" t="s">
        <v>298</v>
      </c>
      <c r="B70" s="16">
        <v>17</v>
      </c>
      <c r="C70" s="16" t="s">
        <v>686</v>
      </c>
      <c r="D70" s="16" t="s">
        <v>929</v>
      </c>
      <c r="E70" s="16" t="s">
        <v>930</v>
      </c>
      <c r="F70" s="16" t="s">
        <v>931</v>
      </c>
      <c r="G70" s="17">
        <v>37914</v>
      </c>
      <c r="H70" s="16" t="s">
        <v>749</v>
      </c>
      <c r="I70" s="16">
        <v>187</v>
      </c>
      <c r="J70" s="16">
        <v>6</v>
      </c>
      <c r="K70" s="16">
        <v>1</v>
      </c>
      <c r="L70" s="16" t="s">
        <v>931</v>
      </c>
    </row>
    <row r="71" spans="1:12" x14ac:dyDescent="0.4">
      <c r="A71" s="16" t="s">
        <v>298</v>
      </c>
      <c r="B71" s="16">
        <v>18</v>
      </c>
      <c r="C71" s="16" t="s">
        <v>686</v>
      </c>
      <c r="D71" s="16" t="s">
        <v>932</v>
      </c>
      <c r="E71" s="16" t="s">
        <v>933</v>
      </c>
      <c r="F71" s="16" t="s">
        <v>934</v>
      </c>
      <c r="G71" s="17">
        <v>36552</v>
      </c>
      <c r="H71" s="16" t="s">
        <v>935</v>
      </c>
      <c r="I71" s="16">
        <v>168</v>
      </c>
      <c r="J71" s="16">
        <v>38</v>
      </c>
      <c r="K71" s="16">
        <v>4</v>
      </c>
      <c r="L71" s="16" t="s">
        <v>934</v>
      </c>
    </row>
    <row r="72" spans="1:12" x14ac:dyDescent="0.4">
      <c r="A72" s="16" t="s">
        <v>298</v>
      </c>
      <c r="B72" s="16">
        <v>19</v>
      </c>
      <c r="C72" s="16" t="s">
        <v>686</v>
      </c>
      <c r="D72" s="16" t="s">
        <v>936</v>
      </c>
      <c r="E72" s="16" t="s">
        <v>937</v>
      </c>
      <c r="F72" s="16" t="s">
        <v>938</v>
      </c>
      <c r="G72" s="17">
        <v>35711</v>
      </c>
      <c r="H72" s="16" t="s">
        <v>939</v>
      </c>
      <c r="I72" s="16">
        <v>187</v>
      </c>
      <c r="J72" s="16">
        <v>9</v>
      </c>
      <c r="K72" s="16">
        <v>1</v>
      </c>
      <c r="L72" s="16" t="s">
        <v>940</v>
      </c>
    </row>
    <row r="73" spans="1:12" x14ac:dyDescent="0.4">
      <c r="A73" s="16" t="s">
        <v>298</v>
      </c>
      <c r="B73" s="16">
        <v>20</v>
      </c>
      <c r="C73" s="16" t="s">
        <v>686</v>
      </c>
      <c r="D73" s="16" t="s">
        <v>941</v>
      </c>
      <c r="E73" s="16" t="s">
        <v>942</v>
      </c>
      <c r="F73" s="16" t="s">
        <v>943</v>
      </c>
      <c r="G73" s="17">
        <v>35577</v>
      </c>
      <c r="H73" s="16" t="s">
        <v>944</v>
      </c>
      <c r="I73" s="16">
        <v>180</v>
      </c>
      <c r="J73" s="16">
        <v>61</v>
      </c>
      <c r="K73" s="16">
        <v>7</v>
      </c>
      <c r="L73" s="16" t="s">
        <v>943</v>
      </c>
    </row>
    <row r="74" spans="1:12" x14ac:dyDescent="0.4">
      <c r="A74" s="16" t="s">
        <v>298</v>
      </c>
      <c r="B74" s="16">
        <v>21</v>
      </c>
      <c r="C74" s="16" t="s">
        <v>691</v>
      </c>
      <c r="D74" s="16" t="s">
        <v>945</v>
      </c>
      <c r="E74" s="16" t="s">
        <v>914</v>
      </c>
      <c r="F74" s="16" t="s">
        <v>946</v>
      </c>
      <c r="G74" s="17">
        <v>37041</v>
      </c>
      <c r="H74" s="16" t="s">
        <v>738</v>
      </c>
      <c r="I74" s="16">
        <v>182</v>
      </c>
      <c r="J74" s="16">
        <v>32</v>
      </c>
      <c r="K74" s="16">
        <v>1</v>
      </c>
      <c r="L74" s="16" t="s">
        <v>946</v>
      </c>
    </row>
    <row r="75" spans="1:12" x14ac:dyDescent="0.4">
      <c r="A75" s="16" t="s">
        <v>298</v>
      </c>
      <c r="B75" s="16">
        <v>22</v>
      </c>
      <c r="C75" s="16" t="s">
        <v>686</v>
      </c>
      <c r="D75" s="16" t="s">
        <v>947</v>
      </c>
      <c r="E75" s="16" t="s">
        <v>869</v>
      </c>
      <c r="F75" s="16" t="s">
        <v>948</v>
      </c>
      <c r="G75" s="17">
        <v>37037</v>
      </c>
      <c r="H75" s="16" t="s">
        <v>949</v>
      </c>
      <c r="I75" s="16">
        <v>180</v>
      </c>
      <c r="J75" s="16">
        <v>21</v>
      </c>
      <c r="K75" s="16">
        <v>0</v>
      </c>
      <c r="L75" s="16" t="s">
        <v>948</v>
      </c>
    </row>
    <row r="76" spans="1:12" x14ac:dyDescent="0.4">
      <c r="A76" s="16" t="s">
        <v>298</v>
      </c>
      <c r="B76" s="16">
        <v>23</v>
      </c>
      <c r="C76" s="16" t="s">
        <v>669</v>
      </c>
      <c r="D76" s="16" t="s">
        <v>950</v>
      </c>
      <c r="E76" s="16" t="s">
        <v>951</v>
      </c>
      <c r="F76" s="16" t="s">
        <v>952</v>
      </c>
      <c r="G76" s="17">
        <v>35870</v>
      </c>
      <c r="H76" s="16" t="s">
        <v>935</v>
      </c>
      <c r="I76" s="16">
        <v>187</v>
      </c>
      <c r="J76" s="16">
        <v>12</v>
      </c>
      <c r="K76" s="16">
        <v>0</v>
      </c>
      <c r="L76" s="16" t="s">
        <v>952</v>
      </c>
    </row>
    <row r="77" spans="1:12" x14ac:dyDescent="0.4">
      <c r="A77" s="16" t="s">
        <v>298</v>
      </c>
      <c r="B77" s="16">
        <v>24</v>
      </c>
      <c r="C77" s="16" t="s">
        <v>686</v>
      </c>
      <c r="D77" s="16" t="s">
        <v>953</v>
      </c>
      <c r="E77" s="16" t="s">
        <v>954</v>
      </c>
      <c r="F77" s="16" t="s">
        <v>955</v>
      </c>
      <c r="G77" s="17">
        <v>38709</v>
      </c>
      <c r="H77" s="16" t="s">
        <v>956</v>
      </c>
      <c r="I77" s="16">
        <v>185</v>
      </c>
      <c r="J77" s="16">
        <v>7</v>
      </c>
      <c r="K77" s="16">
        <v>0</v>
      </c>
      <c r="L77" s="16" t="s">
        <v>955</v>
      </c>
    </row>
    <row r="78" spans="1:12" x14ac:dyDescent="0.4">
      <c r="A78" s="16" t="s">
        <v>298</v>
      </c>
      <c r="B78" s="16">
        <v>25</v>
      </c>
      <c r="C78" s="16" t="s">
        <v>669</v>
      </c>
      <c r="D78" s="16" t="s">
        <v>957</v>
      </c>
      <c r="E78" s="16" t="s">
        <v>907</v>
      </c>
      <c r="F78" s="16" t="s">
        <v>958</v>
      </c>
      <c r="G78" s="17">
        <v>36083</v>
      </c>
      <c r="H78" s="16" t="s">
        <v>959</v>
      </c>
      <c r="I78" s="16">
        <v>195</v>
      </c>
      <c r="J78" s="16">
        <v>4</v>
      </c>
      <c r="K78" s="16">
        <v>0</v>
      </c>
      <c r="L78" s="16" t="s">
        <v>958</v>
      </c>
    </row>
    <row r="79" spans="1:12" x14ac:dyDescent="0.4">
      <c r="A79" s="16" t="s">
        <v>298</v>
      </c>
      <c r="B79" s="16">
        <v>26</v>
      </c>
      <c r="C79" s="16" t="s">
        <v>686</v>
      </c>
      <c r="D79" s="16" t="s">
        <v>960</v>
      </c>
      <c r="E79" s="16" t="s">
        <v>961</v>
      </c>
      <c r="F79" s="16" t="s">
        <v>962</v>
      </c>
      <c r="G79" s="17">
        <v>34372</v>
      </c>
      <c r="H79" s="16" t="s">
        <v>963</v>
      </c>
      <c r="I79" s="16">
        <v>178</v>
      </c>
      <c r="J79" s="16">
        <v>35</v>
      </c>
      <c r="K79" s="16">
        <v>6</v>
      </c>
      <c r="L79" s="16" t="s">
        <v>962</v>
      </c>
    </row>
    <row r="80" spans="1:12" x14ac:dyDescent="0.4">
      <c r="A80" s="16" t="s">
        <v>290</v>
      </c>
      <c r="B80" s="16">
        <v>1</v>
      </c>
      <c r="C80" s="16" t="s">
        <v>664</v>
      </c>
      <c r="D80" s="16" t="s">
        <v>964</v>
      </c>
      <c r="E80" s="16" t="s">
        <v>965</v>
      </c>
      <c r="F80" s="16" t="s">
        <v>966</v>
      </c>
      <c r="G80" s="17">
        <v>33735</v>
      </c>
      <c r="H80" s="16" t="s">
        <v>898</v>
      </c>
      <c r="I80" s="16">
        <v>199</v>
      </c>
      <c r="J80" s="16">
        <v>109</v>
      </c>
      <c r="K80" s="16">
        <v>0</v>
      </c>
      <c r="L80" s="16" t="s">
        <v>966</v>
      </c>
    </row>
    <row r="81" spans="1:12" x14ac:dyDescent="0.4">
      <c r="A81" s="16" t="s">
        <v>290</v>
      </c>
      <c r="B81" s="16">
        <v>2</v>
      </c>
      <c r="C81" s="16" t="s">
        <v>669</v>
      </c>
      <c r="D81" s="16" t="s">
        <v>967</v>
      </c>
      <c r="E81" s="16" t="s">
        <v>968</v>
      </c>
      <c r="F81" s="16" t="s">
        <v>969</v>
      </c>
      <c r="G81" s="17">
        <v>37918</v>
      </c>
      <c r="H81" s="16" t="s">
        <v>970</v>
      </c>
      <c r="I81" s="16">
        <v>189</v>
      </c>
      <c r="J81" s="16">
        <v>26</v>
      </c>
      <c r="K81" s="16">
        <v>1</v>
      </c>
      <c r="L81" s="16" t="s">
        <v>969</v>
      </c>
    </row>
    <row r="82" spans="1:12" x14ac:dyDescent="0.4">
      <c r="A82" s="16" t="s">
        <v>290</v>
      </c>
      <c r="B82" s="16">
        <v>3</v>
      </c>
      <c r="C82" s="16" t="s">
        <v>669</v>
      </c>
      <c r="D82" s="16" t="s">
        <v>971</v>
      </c>
      <c r="E82" s="16" t="s">
        <v>972</v>
      </c>
      <c r="F82" s="16" t="s">
        <v>973</v>
      </c>
      <c r="G82" s="17">
        <v>36671</v>
      </c>
      <c r="H82" s="16" t="s">
        <v>707</v>
      </c>
      <c r="I82" s="16">
        <v>185</v>
      </c>
      <c r="J82" s="16">
        <v>33</v>
      </c>
      <c r="K82" s="16">
        <v>1</v>
      </c>
      <c r="L82" s="16" t="s">
        <v>973</v>
      </c>
    </row>
    <row r="83" spans="1:12" x14ac:dyDescent="0.4">
      <c r="A83" s="16" t="s">
        <v>290</v>
      </c>
      <c r="B83" s="16">
        <v>4</v>
      </c>
      <c r="C83" s="16" t="s">
        <v>669</v>
      </c>
      <c r="D83" s="16" t="s">
        <v>974</v>
      </c>
      <c r="E83" s="16" t="s">
        <v>975</v>
      </c>
      <c r="F83" s="16" t="s">
        <v>976</v>
      </c>
      <c r="G83" s="17">
        <v>33997</v>
      </c>
      <c r="H83" s="16" t="s">
        <v>977</v>
      </c>
      <c r="I83" s="16">
        <v>190</v>
      </c>
      <c r="J83" s="16">
        <v>9</v>
      </c>
      <c r="K83" s="16">
        <v>1</v>
      </c>
      <c r="L83" s="16" t="s">
        <v>976</v>
      </c>
    </row>
    <row r="84" spans="1:12" x14ac:dyDescent="0.4">
      <c r="A84" s="16" t="s">
        <v>290</v>
      </c>
      <c r="B84" s="16">
        <v>5</v>
      </c>
      <c r="C84" s="16" t="s">
        <v>669</v>
      </c>
      <c r="D84" s="16" t="s">
        <v>978</v>
      </c>
      <c r="E84" s="16" t="s">
        <v>979</v>
      </c>
      <c r="F84" s="16" t="s">
        <v>980</v>
      </c>
      <c r="G84" s="17">
        <v>36882</v>
      </c>
      <c r="H84" s="16" t="s">
        <v>981</v>
      </c>
      <c r="I84" s="16">
        <v>182</v>
      </c>
      <c r="J84" s="16">
        <v>19</v>
      </c>
      <c r="K84" s="16">
        <v>4</v>
      </c>
      <c r="L84" s="16" t="s">
        <v>980</v>
      </c>
    </row>
    <row r="85" spans="1:12" x14ac:dyDescent="0.4">
      <c r="A85" s="16" t="s">
        <v>290</v>
      </c>
      <c r="B85" s="16">
        <v>6</v>
      </c>
      <c r="C85" s="16" t="s">
        <v>686</v>
      </c>
      <c r="D85" s="16" t="s">
        <v>982</v>
      </c>
      <c r="E85" s="16" t="s">
        <v>983</v>
      </c>
      <c r="F85" s="16" t="s">
        <v>984</v>
      </c>
      <c r="G85" s="17">
        <v>32520</v>
      </c>
      <c r="H85" s="16" t="s">
        <v>985</v>
      </c>
      <c r="I85" s="16">
        <v>186</v>
      </c>
      <c r="J85" s="16">
        <v>138</v>
      </c>
      <c r="K85" s="16">
        <v>12</v>
      </c>
      <c r="L85" s="16" t="s">
        <v>984</v>
      </c>
    </row>
    <row r="86" spans="1:12" x14ac:dyDescent="0.4">
      <c r="A86" s="16" t="s">
        <v>290</v>
      </c>
      <c r="B86" s="16">
        <v>7</v>
      </c>
      <c r="C86" s="16" t="s">
        <v>686</v>
      </c>
      <c r="D86" s="16" t="s">
        <v>986</v>
      </c>
      <c r="E86" s="16" t="s">
        <v>877</v>
      </c>
      <c r="F86" s="16" t="s">
        <v>987</v>
      </c>
      <c r="G86" s="17">
        <v>33417</v>
      </c>
      <c r="H86" s="16" t="s">
        <v>988</v>
      </c>
      <c r="I86" s="16">
        <v>181</v>
      </c>
      <c r="J86" s="16">
        <v>119</v>
      </c>
      <c r="K86" s="16">
        <v>37</v>
      </c>
      <c r="L86" s="16" t="s">
        <v>987</v>
      </c>
    </row>
    <row r="87" spans="1:12" x14ac:dyDescent="0.4">
      <c r="A87" s="16" t="s">
        <v>290</v>
      </c>
      <c r="B87" s="16">
        <v>8</v>
      </c>
      <c r="C87" s="16" t="s">
        <v>686</v>
      </c>
      <c r="D87" s="16" t="s">
        <v>989</v>
      </c>
      <c r="E87" s="16" t="s">
        <v>990</v>
      </c>
      <c r="F87" s="16" t="s">
        <v>991</v>
      </c>
      <c r="G87" s="17">
        <v>35557</v>
      </c>
      <c r="H87" s="16" t="s">
        <v>992</v>
      </c>
      <c r="I87" s="16">
        <v>176</v>
      </c>
      <c r="J87" s="16">
        <v>85</v>
      </c>
      <c r="K87" s="16">
        <v>13</v>
      </c>
      <c r="L87" s="16" t="s">
        <v>991</v>
      </c>
    </row>
    <row r="88" spans="1:12" x14ac:dyDescent="0.4">
      <c r="A88" s="16" t="s">
        <v>290</v>
      </c>
      <c r="B88" s="16">
        <v>9</v>
      </c>
      <c r="C88" s="16" t="s">
        <v>691</v>
      </c>
      <c r="D88" s="16" t="s">
        <v>993</v>
      </c>
      <c r="E88" s="16" t="s">
        <v>994</v>
      </c>
      <c r="F88" s="16" t="s">
        <v>995</v>
      </c>
      <c r="G88" s="17">
        <v>34102</v>
      </c>
      <c r="H88" s="16" t="s">
        <v>988</v>
      </c>
      <c r="I88" s="16">
        <v>190</v>
      </c>
      <c r="J88" s="16">
        <v>126</v>
      </c>
      <c r="K88" s="16">
        <v>90</v>
      </c>
      <c r="L88" s="16" t="s">
        <v>996</v>
      </c>
    </row>
    <row r="89" spans="1:12" x14ac:dyDescent="0.4">
      <c r="A89" s="16" t="s">
        <v>290</v>
      </c>
      <c r="B89" s="16">
        <v>10</v>
      </c>
      <c r="C89" s="16" t="s">
        <v>691</v>
      </c>
      <c r="D89" s="16" t="s">
        <v>997</v>
      </c>
      <c r="E89" s="16" t="s">
        <v>998</v>
      </c>
      <c r="F89" s="16" t="s">
        <v>999</v>
      </c>
      <c r="G89" s="17">
        <v>34672</v>
      </c>
      <c r="H89" s="16" t="s">
        <v>1000</v>
      </c>
      <c r="I89" s="16">
        <v>172</v>
      </c>
      <c r="J89" s="16">
        <v>51</v>
      </c>
      <c r="K89" s="16">
        <v>12</v>
      </c>
      <c r="L89" s="16" t="s">
        <v>999</v>
      </c>
    </row>
    <row r="90" spans="1:12" x14ac:dyDescent="0.4">
      <c r="A90" s="16" t="s">
        <v>290</v>
      </c>
      <c r="B90" s="16">
        <v>11</v>
      </c>
      <c r="C90" s="16" t="s">
        <v>691</v>
      </c>
      <c r="D90" s="16" t="s">
        <v>1001</v>
      </c>
      <c r="E90" s="16" t="s">
        <v>1002</v>
      </c>
      <c r="F90" s="16" t="s">
        <v>1003</v>
      </c>
      <c r="G90" s="17">
        <v>37403</v>
      </c>
      <c r="H90" s="16" t="s">
        <v>727</v>
      </c>
      <c r="I90" s="16">
        <v>173</v>
      </c>
      <c r="J90" s="16">
        <v>43</v>
      </c>
      <c r="K90" s="16">
        <v>7</v>
      </c>
      <c r="L90" s="16" t="s">
        <v>1003</v>
      </c>
    </row>
    <row r="91" spans="1:12" x14ac:dyDescent="0.4">
      <c r="A91" s="16" t="s">
        <v>290</v>
      </c>
      <c r="B91" s="16">
        <v>12</v>
      </c>
      <c r="C91" s="16" t="s">
        <v>664</v>
      </c>
      <c r="D91" s="16" t="s">
        <v>1004</v>
      </c>
      <c r="E91" s="16" t="s">
        <v>1005</v>
      </c>
      <c r="F91" s="16" t="s">
        <v>1006</v>
      </c>
      <c r="G91" s="17">
        <v>37444</v>
      </c>
      <c r="H91" s="16" t="s">
        <v>1007</v>
      </c>
      <c r="I91" s="16">
        <v>193</v>
      </c>
      <c r="J91" s="16">
        <v>2</v>
      </c>
      <c r="K91" s="16">
        <v>0</v>
      </c>
      <c r="L91" s="16" t="s">
        <v>1006</v>
      </c>
    </row>
    <row r="92" spans="1:12" x14ac:dyDescent="0.4">
      <c r="A92" s="16" t="s">
        <v>290</v>
      </c>
      <c r="B92" s="16">
        <v>13</v>
      </c>
      <c r="C92" s="16" t="s">
        <v>664</v>
      </c>
      <c r="D92" s="16" t="s">
        <v>1008</v>
      </c>
      <c r="E92" s="16" t="s">
        <v>1009</v>
      </c>
      <c r="F92" s="16" t="s">
        <v>1010</v>
      </c>
      <c r="G92" s="17">
        <v>38564</v>
      </c>
      <c r="H92" s="16" t="s">
        <v>1011</v>
      </c>
      <c r="I92" s="16">
        <v>200</v>
      </c>
      <c r="J92" s="16">
        <v>0</v>
      </c>
      <c r="K92" s="16">
        <v>0</v>
      </c>
      <c r="L92" s="16" t="s">
        <v>1010</v>
      </c>
    </row>
    <row r="93" spans="1:12" x14ac:dyDescent="0.4">
      <c r="A93" s="16" t="s">
        <v>290</v>
      </c>
      <c r="B93" s="16">
        <v>14</v>
      </c>
      <c r="C93" s="16" t="s">
        <v>691</v>
      </c>
      <c r="D93" s="16" t="s">
        <v>1012</v>
      </c>
      <c r="E93" s="16" t="s">
        <v>1013</v>
      </c>
      <c r="F93" s="16" t="s">
        <v>1014</v>
      </c>
      <c r="G93" s="17">
        <v>35697</v>
      </c>
      <c r="H93" s="16" t="s">
        <v>1015</v>
      </c>
      <c r="I93" s="16">
        <v>184</v>
      </c>
      <c r="J93" s="16">
        <v>30</v>
      </c>
      <c r="K93" s="16">
        <v>6</v>
      </c>
      <c r="L93" s="16" t="s">
        <v>1016</v>
      </c>
    </row>
    <row r="94" spans="1:12" x14ac:dyDescent="0.4">
      <c r="A94" s="16" t="s">
        <v>290</v>
      </c>
      <c r="B94" s="16">
        <v>15</v>
      </c>
      <c r="C94" s="16" t="s">
        <v>669</v>
      </c>
      <c r="D94" s="16" t="s">
        <v>1017</v>
      </c>
      <c r="E94" s="16" t="s">
        <v>1018</v>
      </c>
      <c r="F94" s="16" t="s">
        <v>1019</v>
      </c>
      <c r="G94" s="17">
        <v>33493</v>
      </c>
      <c r="H94" s="16" t="s">
        <v>673</v>
      </c>
      <c r="I94" s="16">
        <v>190</v>
      </c>
      <c r="J94" s="16">
        <v>80</v>
      </c>
      <c r="K94" s="16">
        <v>10</v>
      </c>
      <c r="L94" s="16" t="s">
        <v>1019</v>
      </c>
    </row>
    <row r="95" spans="1:12" x14ac:dyDescent="0.4">
      <c r="A95" s="16" t="s">
        <v>290</v>
      </c>
      <c r="B95" s="16">
        <v>16</v>
      </c>
      <c r="C95" s="16" t="s">
        <v>669</v>
      </c>
      <c r="D95" s="16" t="s">
        <v>1020</v>
      </c>
      <c r="E95" s="16" t="s">
        <v>1021</v>
      </c>
      <c r="F95" s="16" t="s">
        <v>1022</v>
      </c>
      <c r="G95" s="17">
        <v>37419</v>
      </c>
      <c r="H95" s="16" t="s">
        <v>1023</v>
      </c>
      <c r="I95" s="16">
        <v>191</v>
      </c>
      <c r="J95" s="16">
        <v>8</v>
      </c>
      <c r="K95" s="16">
        <v>0</v>
      </c>
      <c r="L95" s="16" t="s">
        <v>1022</v>
      </c>
    </row>
    <row r="96" spans="1:12" x14ac:dyDescent="0.4">
      <c r="A96" s="16" t="s">
        <v>290</v>
      </c>
      <c r="B96" s="16">
        <v>17</v>
      </c>
      <c r="C96" s="16" t="s">
        <v>691</v>
      </c>
      <c r="D96" s="16" t="s">
        <v>1024</v>
      </c>
      <c r="E96" s="16" t="s">
        <v>1025</v>
      </c>
      <c r="F96" s="16" t="s">
        <v>1026</v>
      </c>
      <c r="G96" s="17">
        <v>36960</v>
      </c>
      <c r="H96" s="16" t="s">
        <v>1027</v>
      </c>
      <c r="I96" s="16">
        <v>192</v>
      </c>
      <c r="J96" s="16">
        <v>30</v>
      </c>
      <c r="K96" s="16">
        <v>6</v>
      </c>
      <c r="L96" s="16" t="s">
        <v>1026</v>
      </c>
    </row>
    <row r="97" spans="1:12" x14ac:dyDescent="0.4">
      <c r="A97" s="16" t="s">
        <v>290</v>
      </c>
      <c r="B97" s="16">
        <v>18</v>
      </c>
      <c r="C97" s="16" t="s">
        <v>669</v>
      </c>
      <c r="D97" s="16" t="s">
        <v>1028</v>
      </c>
      <c r="E97" s="16" t="s">
        <v>1029</v>
      </c>
      <c r="F97" s="16" t="s">
        <v>1030</v>
      </c>
      <c r="G97" s="17">
        <v>38439</v>
      </c>
      <c r="H97" s="16" t="s">
        <v>977</v>
      </c>
      <c r="I97" s="16">
        <v>178</v>
      </c>
      <c r="J97" s="16">
        <v>5</v>
      </c>
      <c r="K97" s="16">
        <v>0</v>
      </c>
      <c r="L97" s="16" t="s">
        <v>1030</v>
      </c>
    </row>
    <row r="98" spans="1:12" x14ac:dyDescent="0.4">
      <c r="A98" s="16" t="s">
        <v>290</v>
      </c>
      <c r="B98" s="16">
        <v>19</v>
      </c>
      <c r="C98" s="16" t="s">
        <v>686</v>
      </c>
      <c r="D98" s="16" t="s">
        <v>1031</v>
      </c>
      <c r="E98" s="16" t="s">
        <v>1032</v>
      </c>
      <c r="F98" s="16" t="s">
        <v>1033</v>
      </c>
      <c r="G98" s="17">
        <v>38205</v>
      </c>
      <c r="H98" s="16" t="s">
        <v>1011</v>
      </c>
      <c r="I98" s="16">
        <v>179</v>
      </c>
      <c r="J98" s="16">
        <v>3</v>
      </c>
      <c r="K98" s="16">
        <v>0</v>
      </c>
      <c r="L98" s="16" t="s">
        <v>1034</v>
      </c>
    </row>
    <row r="99" spans="1:12" x14ac:dyDescent="0.4">
      <c r="A99" s="16" t="s">
        <v>290</v>
      </c>
      <c r="B99" s="16">
        <v>20</v>
      </c>
      <c r="C99" s="16" t="s">
        <v>686</v>
      </c>
      <c r="D99" s="16" t="s">
        <v>1035</v>
      </c>
      <c r="E99" s="16" t="s">
        <v>1036</v>
      </c>
      <c r="F99" s="16" t="s">
        <v>1037</v>
      </c>
      <c r="G99" s="17">
        <v>33840</v>
      </c>
      <c r="H99" s="16" t="s">
        <v>977</v>
      </c>
      <c r="I99" s="16">
        <v>195</v>
      </c>
      <c r="J99" s="16">
        <v>34</v>
      </c>
      <c r="K99" s="16">
        <v>7</v>
      </c>
      <c r="L99" s="16" t="s">
        <v>1037</v>
      </c>
    </row>
    <row r="100" spans="1:12" x14ac:dyDescent="0.4">
      <c r="A100" s="16" t="s">
        <v>290</v>
      </c>
      <c r="B100" s="16">
        <v>21</v>
      </c>
      <c r="C100" s="16" t="s">
        <v>669</v>
      </c>
      <c r="D100" s="16" t="s">
        <v>1038</v>
      </c>
      <c r="E100" s="16" t="s">
        <v>1039</v>
      </c>
      <c r="F100" s="16" t="s">
        <v>1040</v>
      </c>
      <c r="G100" s="17">
        <v>35038</v>
      </c>
      <c r="H100" s="16" t="s">
        <v>1041</v>
      </c>
      <c r="I100" s="16">
        <v>185</v>
      </c>
      <c r="J100" s="16">
        <v>63</v>
      </c>
      <c r="K100" s="16">
        <v>2</v>
      </c>
      <c r="L100" s="16" t="s">
        <v>1040</v>
      </c>
    </row>
    <row r="101" spans="1:12" x14ac:dyDescent="0.4">
      <c r="A101" s="16" t="s">
        <v>290</v>
      </c>
      <c r="B101" s="16">
        <v>22</v>
      </c>
      <c r="C101" s="16" t="s">
        <v>686</v>
      </c>
      <c r="D101" s="16" t="s">
        <v>1042</v>
      </c>
      <c r="E101" s="16" t="s">
        <v>1043</v>
      </c>
      <c r="F101" s="16" t="s">
        <v>1044</v>
      </c>
      <c r="G101" s="17">
        <v>36338</v>
      </c>
      <c r="H101" s="16" t="s">
        <v>1023</v>
      </c>
      <c r="I101" s="16">
        <v>180</v>
      </c>
      <c r="J101" s="16">
        <v>24</v>
      </c>
      <c r="K101" s="16">
        <v>2</v>
      </c>
      <c r="L101" s="16" t="s">
        <v>1044</v>
      </c>
    </row>
    <row r="102" spans="1:12" x14ac:dyDescent="0.4">
      <c r="A102" s="16" t="s">
        <v>290</v>
      </c>
      <c r="B102" s="16">
        <v>23</v>
      </c>
      <c r="C102" s="16" t="s">
        <v>686</v>
      </c>
      <c r="D102" s="16" t="s">
        <v>1045</v>
      </c>
      <c r="E102" s="16" t="s">
        <v>1046</v>
      </c>
      <c r="F102" s="16" t="s">
        <v>1047</v>
      </c>
      <c r="G102" s="17">
        <v>36945</v>
      </c>
      <c r="H102" s="16" t="s">
        <v>1048</v>
      </c>
      <c r="I102" s="16">
        <v>178</v>
      </c>
      <c r="J102" s="16">
        <v>13</v>
      </c>
      <c r="K102" s="16">
        <v>2</v>
      </c>
      <c r="L102" s="16" t="s">
        <v>1047</v>
      </c>
    </row>
    <row r="103" spans="1:12" x14ac:dyDescent="0.4">
      <c r="A103" s="16" t="s">
        <v>290</v>
      </c>
      <c r="B103" s="16">
        <v>24</v>
      </c>
      <c r="C103" s="16" t="s">
        <v>686</v>
      </c>
      <c r="D103" s="16" t="s">
        <v>1049</v>
      </c>
      <c r="E103" s="16" t="s">
        <v>1050</v>
      </c>
      <c r="F103" s="16" t="s">
        <v>1051</v>
      </c>
      <c r="G103" s="17">
        <v>37119</v>
      </c>
      <c r="H103" s="16" t="s">
        <v>992</v>
      </c>
      <c r="I103" s="16">
        <v>192</v>
      </c>
      <c r="J103" s="16">
        <v>29</v>
      </c>
      <c r="K103" s="16">
        <v>1</v>
      </c>
      <c r="L103" s="16" t="s">
        <v>1052</v>
      </c>
    </row>
    <row r="104" spans="1:12" x14ac:dyDescent="0.4">
      <c r="A104" s="16" t="s">
        <v>290</v>
      </c>
      <c r="B104" s="16">
        <v>25</v>
      </c>
      <c r="C104" s="16" t="s">
        <v>669</v>
      </c>
      <c r="D104" s="16" t="s">
        <v>1053</v>
      </c>
      <c r="E104" s="16" t="s">
        <v>1054</v>
      </c>
      <c r="F104" s="16" t="s">
        <v>1055</v>
      </c>
      <c r="G104" s="17">
        <v>37782</v>
      </c>
      <c r="H104" s="16" t="s">
        <v>673</v>
      </c>
      <c r="I104" s="16">
        <v>183</v>
      </c>
      <c r="J104" s="16">
        <v>4</v>
      </c>
      <c r="K104" s="16">
        <v>0</v>
      </c>
      <c r="L104" s="16" t="s">
        <v>1055</v>
      </c>
    </row>
    <row r="105" spans="1:12" x14ac:dyDescent="0.4">
      <c r="A105" s="16" t="s">
        <v>290</v>
      </c>
      <c r="B105" s="16">
        <v>26</v>
      </c>
      <c r="C105" s="16" t="s">
        <v>691</v>
      </c>
      <c r="D105" s="16" t="s">
        <v>1056</v>
      </c>
      <c r="E105" s="16" t="s">
        <v>1057</v>
      </c>
      <c r="F105" s="16" t="s">
        <v>1058</v>
      </c>
      <c r="G105" s="17">
        <v>38386</v>
      </c>
      <c r="H105" s="16" t="s">
        <v>673</v>
      </c>
      <c r="I105" s="16">
        <v>188</v>
      </c>
      <c r="J105" s="16">
        <v>2</v>
      </c>
      <c r="K105" s="16">
        <v>0</v>
      </c>
      <c r="L105" s="16" t="s">
        <v>1058</v>
      </c>
    </row>
    <row r="106" spans="1:12" x14ac:dyDescent="0.4">
      <c r="A106" s="16" t="s">
        <v>316</v>
      </c>
      <c r="B106" s="16">
        <v>1</v>
      </c>
      <c r="C106" s="16" t="s">
        <v>664</v>
      </c>
      <c r="D106" s="16" t="s">
        <v>1059</v>
      </c>
      <c r="E106" s="16" t="s">
        <v>1060</v>
      </c>
      <c r="F106" s="16" t="s">
        <v>1061</v>
      </c>
      <c r="G106" s="17">
        <v>35035</v>
      </c>
      <c r="H106" s="16" t="s">
        <v>799</v>
      </c>
      <c r="I106" s="16">
        <v>193</v>
      </c>
      <c r="J106" s="16">
        <v>26</v>
      </c>
      <c r="K106" s="16">
        <v>0</v>
      </c>
      <c r="L106" s="16" t="s">
        <v>1061</v>
      </c>
    </row>
    <row r="107" spans="1:12" x14ac:dyDescent="0.4">
      <c r="A107" s="16" t="s">
        <v>316</v>
      </c>
      <c r="B107" s="16">
        <v>2</v>
      </c>
      <c r="C107" s="16" t="s">
        <v>669</v>
      </c>
      <c r="D107" s="16" t="s">
        <v>1062</v>
      </c>
      <c r="E107" s="16" t="s">
        <v>1063</v>
      </c>
      <c r="F107" s="16" t="s">
        <v>1064</v>
      </c>
      <c r="G107" s="17">
        <v>35900</v>
      </c>
      <c r="H107" s="16" t="s">
        <v>1065</v>
      </c>
      <c r="I107" s="16">
        <v>189</v>
      </c>
      <c r="J107" s="16">
        <v>12</v>
      </c>
      <c r="K107" s="16">
        <v>1</v>
      </c>
      <c r="L107" s="16" t="s">
        <v>1064</v>
      </c>
    </row>
    <row r="108" spans="1:12" x14ac:dyDescent="0.4">
      <c r="A108" s="16" t="s">
        <v>316</v>
      </c>
      <c r="B108" s="16">
        <v>3</v>
      </c>
      <c r="C108" s="16" t="s">
        <v>669</v>
      </c>
      <c r="D108" s="16" t="s">
        <v>1066</v>
      </c>
      <c r="E108" s="16" t="s">
        <v>1067</v>
      </c>
      <c r="F108" s="16" t="s">
        <v>1068</v>
      </c>
      <c r="G108" s="17">
        <v>35985</v>
      </c>
      <c r="H108" s="16" t="s">
        <v>1069</v>
      </c>
      <c r="I108" s="16">
        <v>191</v>
      </c>
      <c r="J108" s="16">
        <v>32</v>
      </c>
      <c r="K108" s="16">
        <v>0</v>
      </c>
      <c r="L108" s="16" t="s">
        <v>1068</v>
      </c>
    </row>
    <row r="109" spans="1:12" x14ac:dyDescent="0.4">
      <c r="A109" s="16" t="s">
        <v>316</v>
      </c>
      <c r="B109" s="16">
        <v>4</v>
      </c>
      <c r="C109" s="16" t="s">
        <v>669</v>
      </c>
      <c r="D109" s="16" t="s">
        <v>1070</v>
      </c>
      <c r="E109" s="16" t="s">
        <v>1071</v>
      </c>
      <c r="F109" s="16" t="s">
        <v>1072</v>
      </c>
      <c r="G109" s="17">
        <v>37680</v>
      </c>
      <c r="H109" s="16" t="s">
        <v>844</v>
      </c>
      <c r="I109" s="16">
        <v>192</v>
      </c>
      <c r="J109" s="16">
        <v>14</v>
      </c>
      <c r="K109" s="16">
        <v>1</v>
      </c>
      <c r="L109" s="16" t="s">
        <v>1072</v>
      </c>
    </row>
    <row r="110" spans="1:12" x14ac:dyDescent="0.4">
      <c r="A110" s="16" t="s">
        <v>316</v>
      </c>
      <c r="B110" s="16">
        <v>5</v>
      </c>
      <c r="C110" s="16" t="s">
        <v>669</v>
      </c>
      <c r="D110" s="16" t="s">
        <v>1073</v>
      </c>
      <c r="E110" s="16" t="s">
        <v>1074</v>
      </c>
      <c r="F110" s="16" t="s">
        <v>1075</v>
      </c>
      <c r="G110" s="17">
        <v>34140</v>
      </c>
      <c r="H110" s="16" t="s">
        <v>1027</v>
      </c>
      <c r="I110" s="16">
        <v>183</v>
      </c>
      <c r="J110" s="16">
        <v>65</v>
      </c>
      <c r="K110" s="16">
        <v>0</v>
      </c>
      <c r="L110" s="16" t="s">
        <v>1075</v>
      </c>
    </row>
    <row r="111" spans="1:12" x14ac:dyDescent="0.4">
      <c r="A111" s="16" t="s">
        <v>316</v>
      </c>
      <c r="B111" s="16">
        <v>6</v>
      </c>
      <c r="C111" s="16" t="s">
        <v>686</v>
      </c>
      <c r="D111" s="16" t="s">
        <v>1076</v>
      </c>
      <c r="E111" s="16" t="s">
        <v>1077</v>
      </c>
      <c r="F111" s="16" t="s">
        <v>1078</v>
      </c>
      <c r="G111" s="17">
        <v>37683</v>
      </c>
      <c r="H111" s="16" t="s">
        <v>916</v>
      </c>
      <c r="I111" s="16">
        <v>191</v>
      </c>
      <c r="J111" s="16">
        <v>28</v>
      </c>
      <c r="K111" s="16">
        <v>2</v>
      </c>
      <c r="L111" s="16" t="s">
        <v>1079</v>
      </c>
    </row>
    <row r="112" spans="1:12" x14ac:dyDescent="0.4">
      <c r="A112" s="16" t="s">
        <v>316</v>
      </c>
      <c r="B112" s="16">
        <v>7</v>
      </c>
      <c r="C112" s="16" t="s">
        <v>669</v>
      </c>
      <c r="D112" s="16" t="s">
        <v>1080</v>
      </c>
      <c r="E112" s="16" t="s">
        <v>1081</v>
      </c>
      <c r="F112" s="16" t="s">
        <v>1082</v>
      </c>
      <c r="G112" s="17">
        <v>37486</v>
      </c>
      <c r="H112" s="16" t="s">
        <v>1083</v>
      </c>
      <c r="I112" s="16">
        <v>180</v>
      </c>
      <c r="J112" s="16">
        <v>28</v>
      </c>
      <c r="K112" s="16">
        <v>1</v>
      </c>
      <c r="L112" s="16" t="s">
        <v>1082</v>
      </c>
    </row>
    <row r="113" spans="1:12" x14ac:dyDescent="0.4">
      <c r="A113" s="16" t="s">
        <v>316</v>
      </c>
      <c r="B113" s="16">
        <v>8</v>
      </c>
      <c r="C113" s="16" t="s">
        <v>686</v>
      </c>
      <c r="D113" s="16" t="s">
        <v>1084</v>
      </c>
      <c r="E113" s="16" t="s">
        <v>1085</v>
      </c>
      <c r="F113" s="16" t="s">
        <v>1086</v>
      </c>
      <c r="G113" s="17">
        <v>37352</v>
      </c>
      <c r="H113" s="16" t="s">
        <v>719</v>
      </c>
      <c r="I113" s="16">
        <v>187</v>
      </c>
      <c r="J113" s="16">
        <v>20</v>
      </c>
      <c r="K113" s="16">
        <v>1</v>
      </c>
      <c r="L113" s="16" t="s">
        <v>1086</v>
      </c>
    </row>
    <row r="114" spans="1:12" x14ac:dyDescent="0.4">
      <c r="A114" s="16" t="s">
        <v>316</v>
      </c>
      <c r="B114" s="16">
        <v>9</v>
      </c>
      <c r="C114" s="16" t="s">
        <v>691</v>
      </c>
      <c r="D114" s="16" t="s">
        <v>1087</v>
      </c>
      <c r="E114" s="16" t="s">
        <v>1088</v>
      </c>
      <c r="F114" s="16" t="s">
        <v>1089</v>
      </c>
      <c r="G114" s="17">
        <v>38017</v>
      </c>
      <c r="H114" s="16" t="s">
        <v>1090</v>
      </c>
      <c r="I114" s="16">
        <v>189</v>
      </c>
      <c r="J114" s="16">
        <v>13</v>
      </c>
      <c r="K114" s="16">
        <v>1</v>
      </c>
      <c r="L114" s="16" t="s">
        <v>1089</v>
      </c>
    </row>
    <row r="115" spans="1:12" x14ac:dyDescent="0.4">
      <c r="A115" s="16" t="s">
        <v>316</v>
      </c>
      <c r="B115" s="16">
        <v>10</v>
      </c>
      <c r="C115" s="16" t="s">
        <v>691</v>
      </c>
      <c r="D115" s="16" t="s">
        <v>1091</v>
      </c>
      <c r="E115" s="16" t="s">
        <v>1092</v>
      </c>
      <c r="F115" s="16" t="s">
        <v>1093</v>
      </c>
      <c r="G115" s="17">
        <v>35879</v>
      </c>
      <c r="H115" s="16" t="s">
        <v>1094</v>
      </c>
      <c r="I115" s="16">
        <v>185</v>
      </c>
      <c r="J115" s="16">
        <v>40</v>
      </c>
      <c r="K115" s="16">
        <v>4</v>
      </c>
      <c r="L115" s="16" t="s">
        <v>1093</v>
      </c>
    </row>
    <row r="116" spans="1:12" x14ac:dyDescent="0.4">
      <c r="A116" s="16" t="s">
        <v>316</v>
      </c>
      <c r="B116" s="16">
        <v>11</v>
      </c>
      <c r="C116" s="16" t="s">
        <v>691</v>
      </c>
      <c r="D116" s="16" t="s">
        <v>1095</v>
      </c>
      <c r="E116" s="16" t="s">
        <v>1096</v>
      </c>
      <c r="F116" s="16" t="s">
        <v>1097</v>
      </c>
      <c r="G116" s="17">
        <v>31488</v>
      </c>
      <c r="H116" s="16" t="s">
        <v>939</v>
      </c>
      <c r="I116" s="16">
        <v>192</v>
      </c>
      <c r="J116" s="16">
        <v>148</v>
      </c>
      <c r="K116" s="16">
        <v>73</v>
      </c>
      <c r="L116" s="16" t="s">
        <v>1097</v>
      </c>
    </row>
    <row r="117" spans="1:12" x14ac:dyDescent="0.4">
      <c r="A117" s="16" t="s">
        <v>316</v>
      </c>
      <c r="B117" s="16">
        <v>12</v>
      </c>
      <c r="C117" s="16" t="s">
        <v>664</v>
      </c>
      <c r="D117" s="16" t="s">
        <v>1098</v>
      </c>
      <c r="E117" s="16" t="s">
        <v>1099</v>
      </c>
      <c r="F117" s="16" t="s">
        <v>1100</v>
      </c>
      <c r="G117" s="17">
        <v>39362</v>
      </c>
      <c r="H117" s="16" t="s">
        <v>1101</v>
      </c>
      <c r="I117" s="16">
        <v>193</v>
      </c>
      <c r="J117" s="16">
        <v>0</v>
      </c>
      <c r="K117" s="16">
        <v>0</v>
      </c>
      <c r="L117" s="16" t="s">
        <v>1100</v>
      </c>
    </row>
    <row r="118" spans="1:12" x14ac:dyDescent="0.4">
      <c r="A118" s="16" t="s">
        <v>316</v>
      </c>
      <c r="B118" s="16">
        <v>13</v>
      </c>
      <c r="C118" s="16" t="s">
        <v>686</v>
      </c>
      <c r="D118" s="16" t="s">
        <v>1102</v>
      </c>
      <c r="E118" s="16" t="s">
        <v>1103</v>
      </c>
      <c r="F118" s="16" t="s">
        <v>1104</v>
      </c>
      <c r="G118" s="17">
        <v>37376</v>
      </c>
      <c r="H118" s="16" t="s">
        <v>1105</v>
      </c>
      <c r="I118" s="16">
        <v>178</v>
      </c>
      <c r="J118" s="16">
        <v>17</v>
      </c>
      <c r="K118" s="16">
        <v>0</v>
      </c>
      <c r="L118" s="16" t="s">
        <v>1104</v>
      </c>
    </row>
    <row r="119" spans="1:12" x14ac:dyDescent="0.4">
      <c r="A119" s="16" t="s">
        <v>316</v>
      </c>
      <c r="B119" s="16">
        <v>14</v>
      </c>
      <c r="C119" s="16" t="s">
        <v>686</v>
      </c>
      <c r="D119" s="16" t="s">
        <v>1106</v>
      </c>
      <c r="E119" s="16" t="s">
        <v>1103</v>
      </c>
      <c r="F119" s="16" t="s">
        <v>1107</v>
      </c>
      <c r="G119" s="17">
        <v>35347</v>
      </c>
      <c r="H119" s="16" t="s">
        <v>1108</v>
      </c>
      <c r="I119" s="16">
        <v>183</v>
      </c>
      <c r="J119" s="16">
        <v>11</v>
      </c>
      <c r="K119" s="16">
        <v>0</v>
      </c>
      <c r="L119" s="16" t="s">
        <v>1107</v>
      </c>
    </row>
    <row r="120" spans="1:12" x14ac:dyDescent="0.4">
      <c r="A120" s="16" t="s">
        <v>316</v>
      </c>
      <c r="B120" s="16">
        <v>15</v>
      </c>
      <c r="C120" s="16" t="s">
        <v>686</v>
      </c>
      <c r="D120" s="16" t="s">
        <v>1109</v>
      </c>
      <c r="E120" s="16" t="s">
        <v>1081</v>
      </c>
      <c r="F120" s="16" t="s">
        <v>1110</v>
      </c>
      <c r="G120" s="17">
        <v>36911</v>
      </c>
      <c r="H120" s="16" t="s">
        <v>912</v>
      </c>
      <c r="I120" s="16">
        <v>176</v>
      </c>
      <c r="J120" s="16">
        <v>13</v>
      </c>
      <c r="K120" s="16">
        <v>1</v>
      </c>
      <c r="L120" s="16" t="s">
        <v>1110</v>
      </c>
    </row>
    <row r="121" spans="1:12" x14ac:dyDescent="0.4">
      <c r="A121" s="16" t="s">
        <v>316</v>
      </c>
      <c r="B121" s="16">
        <v>16</v>
      </c>
      <c r="C121" s="16" t="s">
        <v>686</v>
      </c>
      <c r="D121" s="16" t="s">
        <v>1111</v>
      </c>
      <c r="E121" s="16" t="s">
        <v>1112</v>
      </c>
      <c r="F121" s="16" t="s">
        <v>1113</v>
      </c>
      <c r="G121" s="17">
        <v>35497</v>
      </c>
      <c r="H121" s="16" t="s">
        <v>1114</v>
      </c>
      <c r="I121" s="16">
        <v>179</v>
      </c>
      <c r="J121" s="16">
        <v>36</v>
      </c>
      <c r="K121" s="16">
        <v>0</v>
      </c>
      <c r="L121" s="16" t="s">
        <v>1113</v>
      </c>
    </row>
    <row r="122" spans="1:12" x14ac:dyDescent="0.4">
      <c r="A122" s="16" t="s">
        <v>316</v>
      </c>
      <c r="B122" s="16">
        <v>17</v>
      </c>
      <c r="C122" s="16" t="s">
        <v>686</v>
      </c>
      <c r="D122" s="16" t="s">
        <v>1115</v>
      </c>
      <c r="E122" s="16" t="s">
        <v>1116</v>
      </c>
      <c r="F122" s="16" t="s">
        <v>1117</v>
      </c>
      <c r="G122" s="17">
        <v>35937</v>
      </c>
      <c r="H122" s="16" t="s">
        <v>1118</v>
      </c>
      <c r="I122" s="16">
        <v>182</v>
      </c>
      <c r="J122" s="16">
        <v>20</v>
      </c>
      <c r="K122" s="16">
        <v>0</v>
      </c>
      <c r="L122" s="16" t="s">
        <v>1117</v>
      </c>
    </row>
    <row r="123" spans="1:12" x14ac:dyDescent="0.4">
      <c r="A123" s="16" t="s">
        <v>316</v>
      </c>
      <c r="B123" s="16">
        <v>18</v>
      </c>
      <c r="C123" s="16" t="s">
        <v>669</v>
      </c>
      <c r="D123" s="16" t="s">
        <v>1119</v>
      </c>
      <c r="E123" s="16" t="s">
        <v>1060</v>
      </c>
      <c r="F123" s="16" t="s">
        <v>1120</v>
      </c>
      <c r="G123" s="17">
        <v>35348</v>
      </c>
      <c r="H123" s="16" t="s">
        <v>939</v>
      </c>
      <c r="I123" s="16">
        <v>194</v>
      </c>
      <c r="J123" s="16">
        <v>17</v>
      </c>
      <c r="K123" s="16">
        <v>2</v>
      </c>
      <c r="L123" s="16" t="s">
        <v>1120</v>
      </c>
    </row>
    <row r="124" spans="1:12" x14ac:dyDescent="0.4">
      <c r="A124" s="16" t="s">
        <v>316</v>
      </c>
      <c r="B124" s="16">
        <v>19</v>
      </c>
      <c r="C124" s="16" t="s">
        <v>691</v>
      </c>
      <c r="D124" s="16" t="s">
        <v>1121</v>
      </c>
      <c r="E124" s="16" t="s">
        <v>1122</v>
      </c>
      <c r="F124" s="16" t="s">
        <v>1123</v>
      </c>
      <c r="G124" s="17">
        <v>39346</v>
      </c>
      <c r="H124" s="16" t="s">
        <v>871</v>
      </c>
      <c r="I124" s="16">
        <v>186</v>
      </c>
      <c r="J124" s="16">
        <v>10</v>
      </c>
      <c r="K124" s="16">
        <v>1</v>
      </c>
      <c r="L124" s="16" t="s">
        <v>1123</v>
      </c>
    </row>
    <row r="125" spans="1:12" x14ac:dyDescent="0.4">
      <c r="A125" s="16" t="s">
        <v>316</v>
      </c>
      <c r="B125" s="16">
        <v>20</v>
      </c>
      <c r="C125" s="16" t="s">
        <v>691</v>
      </c>
      <c r="D125" s="16" t="s">
        <v>1124</v>
      </c>
      <c r="E125" s="16" t="s">
        <v>1125</v>
      </c>
      <c r="F125" s="16" t="s">
        <v>1126</v>
      </c>
      <c r="G125" s="17">
        <v>38421</v>
      </c>
      <c r="H125" s="16" t="s">
        <v>956</v>
      </c>
      <c r="I125" s="16">
        <v>175</v>
      </c>
      <c r="J125" s="16">
        <v>16</v>
      </c>
      <c r="K125" s="16">
        <v>1</v>
      </c>
      <c r="L125" s="16" t="s">
        <v>1126</v>
      </c>
    </row>
    <row r="126" spans="1:12" x14ac:dyDescent="0.4">
      <c r="A126" s="16" t="s">
        <v>316</v>
      </c>
      <c r="B126" s="16">
        <v>21</v>
      </c>
      <c r="C126" s="16" t="s">
        <v>669</v>
      </c>
      <c r="D126" s="16" t="s">
        <v>1127</v>
      </c>
      <c r="E126" s="16" t="s">
        <v>1128</v>
      </c>
      <c r="F126" s="16" t="s">
        <v>1129</v>
      </c>
      <c r="G126" s="17">
        <v>35678</v>
      </c>
      <c r="H126" s="16" t="s">
        <v>1130</v>
      </c>
      <c r="I126" s="16">
        <v>201</v>
      </c>
      <c r="J126" s="16">
        <v>5</v>
      </c>
      <c r="K126" s="16">
        <v>0</v>
      </c>
      <c r="L126" s="16" t="s">
        <v>1129</v>
      </c>
    </row>
    <row r="127" spans="1:12" x14ac:dyDescent="0.4">
      <c r="A127" s="16" t="s">
        <v>316</v>
      </c>
      <c r="B127" s="16">
        <v>22</v>
      </c>
      <c r="C127" s="16" t="s">
        <v>664</v>
      </c>
      <c r="D127" s="16" t="s">
        <v>1131</v>
      </c>
      <c r="E127" s="16" t="s">
        <v>1132</v>
      </c>
      <c r="F127" s="16" t="s">
        <v>1133</v>
      </c>
      <c r="G127" s="17">
        <v>36023</v>
      </c>
      <c r="H127" s="16" t="s">
        <v>1130</v>
      </c>
      <c r="I127" s="16">
        <v>189</v>
      </c>
      <c r="J127" s="16">
        <v>3</v>
      </c>
      <c r="K127" s="16">
        <v>0</v>
      </c>
      <c r="L127" s="16" t="s">
        <v>1133</v>
      </c>
    </row>
    <row r="128" spans="1:12" x14ac:dyDescent="0.4">
      <c r="A128" s="16" t="s">
        <v>316</v>
      </c>
      <c r="B128" s="16">
        <v>23</v>
      </c>
      <c r="C128" s="16" t="s">
        <v>691</v>
      </c>
      <c r="D128" s="16" t="s">
        <v>1134</v>
      </c>
      <c r="E128" s="16" t="s">
        <v>1135</v>
      </c>
      <c r="F128" s="16" t="s">
        <v>1136</v>
      </c>
      <c r="G128" s="17">
        <v>34505</v>
      </c>
      <c r="H128" s="16" t="s">
        <v>1137</v>
      </c>
      <c r="I128" s="16">
        <v>196</v>
      </c>
      <c r="J128" s="16">
        <v>10</v>
      </c>
      <c r="K128" s="16">
        <v>4</v>
      </c>
      <c r="L128" s="16" t="s">
        <v>1136</v>
      </c>
    </row>
    <row r="129" spans="1:12" x14ac:dyDescent="0.4">
      <c r="A129" s="16" t="s">
        <v>316</v>
      </c>
      <c r="B129" s="16">
        <v>24</v>
      </c>
      <c r="C129" s="16" t="s">
        <v>669</v>
      </c>
      <c r="D129" s="16" t="s">
        <v>1138</v>
      </c>
      <c r="E129" s="16" t="s">
        <v>1139</v>
      </c>
      <c r="F129" s="16" t="s">
        <v>1140</v>
      </c>
      <c r="G129" s="17">
        <v>38592</v>
      </c>
      <c r="H129" s="16" t="s">
        <v>1141</v>
      </c>
      <c r="I129" s="16">
        <v>188</v>
      </c>
      <c r="J129" s="16">
        <v>8</v>
      </c>
      <c r="K129" s="16">
        <v>0</v>
      </c>
      <c r="L129" s="16" t="s">
        <v>1140</v>
      </c>
    </row>
    <row r="130" spans="1:12" x14ac:dyDescent="0.4">
      <c r="A130" s="16" t="s">
        <v>316</v>
      </c>
      <c r="B130" s="16">
        <v>25</v>
      </c>
      <c r="C130" s="16" t="s">
        <v>691</v>
      </c>
      <c r="D130" s="16" t="s">
        <v>1142</v>
      </c>
      <c r="E130" s="16" t="s">
        <v>1143</v>
      </c>
      <c r="F130" s="16" t="s">
        <v>1144</v>
      </c>
      <c r="G130" s="17">
        <v>36127</v>
      </c>
      <c r="H130" s="16" t="s">
        <v>1145</v>
      </c>
      <c r="I130" s="16">
        <v>190</v>
      </c>
      <c r="J130" s="16">
        <v>3</v>
      </c>
      <c r="K130" s="16">
        <v>0</v>
      </c>
      <c r="L130" s="16" t="s">
        <v>1144</v>
      </c>
    </row>
    <row r="131" spans="1:12" x14ac:dyDescent="0.4">
      <c r="A131" s="16" t="s">
        <v>316</v>
      </c>
      <c r="B131" s="16">
        <v>26</v>
      </c>
      <c r="C131" s="16" t="s">
        <v>686</v>
      </c>
      <c r="D131" s="16" t="s">
        <v>1146</v>
      </c>
      <c r="E131" s="16" t="s">
        <v>1147</v>
      </c>
      <c r="F131" s="16" t="s">
        <v>1148</v>
      </c>
      <c r="G131" s="17">
        <v>38425</v>
      </c>
      <c r="H131" s="16" t="s">
        <v>1149</v>
      </c>
      <c r="I131" s="16">
        <v>182</v>
      </c>
      <c r="J131" s="16">
        <v>2</v>
      </c>
      <c r="K131" s="16">
        <v>0</v>
      </c>
      <c r="L131" s="16" t="s">
        <v>1148</v>
      </c>
    </row>
    <row r="132" spans="1:12" x14ac:dyDescent="0.4">
      <c r="A132" s="16" t="s">
        <v>284</v>
      </c>
      <c r="B132" s="16">
        <v>1</v>
      </c>
      <c r="C132" s="16" t="s">
        <v>664</v>
      </c>
      <c r="D132" s="16" t="s">
        <v>1150</v>
      </c>
      <c r="E132" s="16" t="s">
        <v>1151</v>
      </c>
      <c r="F132" s="16" t="s">
        <v>1152</v>
      </c>
      <c r="G132" s="17">
        <v>33879</v>
      </c>
      <c r="H132" s="16" t="s">
        <v>1153</v>
      </c>
      <c r="I132" s="16">
        <v>193</v>
      </c>
      <c r="J132" s="16">
        <v>78</v>
      </c>
      <c r="K132" s="16">
        <v>0</v>
      </c>
      <c r="L132" s="16" t="s">
        <v>1154</v>
      </c>
    </row>
    <row r="133" spans="1:12" x14ac:dyDescent="0.4">
      <c r="A133" s="16" t="s">
        <v>284</v>
      </c>
      <c r="B133" s="16">
        <v>2</v>
      </c>
      <c r="C133" s="16" t="s">
        <v>686</v>
      </c>
      <c r="D133" s="16" t="s">
        <v>1155</v>
      </c>
      <c r="E133" s="16" t="s">
        <v>1156</v>
      </c>
      <c r="F133" s="16" t="s">
        <v>1157</v>
      </c>
      <c r="G133" s="17">
        <v>36348</v>
      </c>
      <c r="H133" s="16" t="s">
        <v>1027</v>
      </c>
      <c r="I133" s="16">
        <v>184</v>
      </c>
      <c r="J133" s="16">
        <v>3</v>
      </c>
      <c r="K133" s="16">
        <v>0</v>
      </c>
      <c r="L133" s="16" t="s">
        <v>1158</v>
      </c>
    </row>
    <row r="134" spans="1:12" x14ac:dyDescent="0.4">
      <c r="A134" s="16" t="s">
        <v>284</v>
      </c>
      <c r="B134" s="16">
        <v>3</v>
      </c>
      <c r="C134" s="16" t="s">
        <v>669</v>
      </c>
      <c r="D134" s="16" t="s">
        <v>1159</v>
      </c>
      <c r="E134" s="16" t="s">
        <v>1160</v>
      </c>
      <c r="F134" s="16" t="s">
        <v>1161</v>
      </c>
      <c r="G134" s="17">
        <v>35783</v>
      </c>
      <c r="H134" s="16" t="s">
        <v>1000</v>
      </c>
      <c r="I134" s="16">
        <v>190</v>
      </c>
      <c r="J134" s="16">
        <v>17</v>
      </c>
      <c r="K134" s="16">
        <v>1</v>
      </c>
      <c r="L134" s="16" t="s">
        <v>1162</v>
      </c>
    </row>
    <row r="135" spans="1:12" x14ac:dyDescent="0.4">
      <c r="A135" s="16" t="s">
        <v>284</v>
      </c>
      <c r="B135" s="16">
        <v>4</v>
      </c>
      <c r="C135" s="16" t="s">
        <v>669</v>
      </c>
      <c r="D135" s="16" t="s">
        <v>1163</v>
      </c>
      <c r="E135" s="16" t="s">
        <v>1164</v>
      </c>
      <c r="F135" s="16" t="s">
        <v>1163</v>
      </c>
      <c r="G135" s="17">
        <v>34468</v>
      </c>
      <c r="H135" s="16" t="s">
        <v>1165</v>
      </c>
      <c r="I135" s="16">
        <v>183</v>
      </c>
      <c r="J135" s="16">
        <v>105</v>
      </c>
      <c r="K135" s="16">
        <v>7</v>
      </c>
      <c r="L135" s="16" t="s">
        <v>1166</v>
      </c>
    </row>
    <row r="136" spans="1:12" x14ac:dyDescent="0.4">
      <c r="A136" s="16" t="s">
        <v>284</v>
      </c>
      <c r="B136" s="16">
        <v>5</v>
      </c>
      <c r="C136" s="16" t="s">
        <v>686</v>
      </c>
      <c r="D136" s="16" t="s">
        <v>1167</v>
      </c>
      <c r="E136" s="16" t="s">
        <v>1168</v>
      </c>
      <c r="F136" s="16" t="s">
        <v>1167</v>
      </c>
      <c r="G136" s="17">
        <v>33657</v>
      </c>
      <c r="H136" s="16" t="s">
        <v>1007</v>
      </c>
      <c r="I136" s="16">
        <v>185</v>
      </c>
      <c r="J136" s="16">
        <v>86</v>
      </c>
      <c r="K136" s="16">
        <v>9</v>
      </c>
      <c r="L136" s="16" t="s">
        <v>1169</v>
      </c>
    </row>
    <row r="137" spans="1:12" x14ac:dyDescent="0.4">
      <c r="A137" s="16" t="s">
        <v>284</v>
      </c>
      <c r="B137" s="16">
        <v>6</v>
      </c>
      <c r="C137" s="16" t="s">
        <v>669</v>
      </c>
      <c r="D137" s="16" t="s">
        <v>1170</v>
      </c>
      <c r="E137" s="16" t="s">
        <v>1171</v>
      </c>
      <c r="F137" s="16" t="s">
        <v>1170</v>
      </c>
      <c r="G137" s="17">
        <v>33264</v>
      </c>
      <c r="H137" s="16" t="s">
        <v>1172</v>
      </c>
      <c r="I137" s="16">
        <v>180</v>
      </c>
      <c r="J137" s="16">
        <v>45</v>
      </c>
      <c r="K137" s="16">
        <v>2</v>
      </c>
      <c r="L137" s="16" t="s">
        <v>1173</v>
      </c>
    </row>
    <row r="138" spans="1:12" x14ac:dyDescent="0.4">
      <c r="A138" s="16" t="s">
        <v>284</v>
      </c>
      <c r="B138" s="16">
        <v>7</v>
      </c>
      <c r="C138" s="16" t="s">
        <v>691</v>
      </c>
      <c r="D138" s="16" t="s">
        <v>1174</v>
      </c>
      <c r="E138" s="16" t="s">
        <v>1175</v>
      </c>
      <c r="F138" s="16" t="s">
        <v>1176</v>
      </c>
      <c r="G138" s="17">
        <v>36719</v>
      </c>
      <c r="H138" s="16" t="s">
        <v>898</v>
      </c>
      <c r="I138" s="16">
        <v>176</v>
      </c>
      <c r="J138" s="16">
        <v>49</v>
      </c>
      <c r="K138" s="16">
        <v>9</v>
      </c>
      <c r="L138" s="16" t="s">
        <v>1177</v>
      </c>
    </row>
    <row r="139" spans="1:12" x14ac:dyDescent="0.4">
      <c r="A139" s="16" t="s">
        <v>284</v>
      </c>
      <c r="B139" s="16">
        <v>8</v>
      </c>
      <c r="C139" s="16" t="s">
        <v>686</v>
      </c>
      <c r="D139" s="16" t="s">
        <v>1178</v>
      </c>
      <c r="E139" s="16" t="s">
        <v>1179</v>
      </c>
      <c r="F139" s="16" t="s">
        <v>1180</v>
      </c>
      <c r="G139" s="17">
        <v>35750</v>
      </c>
      <c r="H139" s="16" t="s">
        <v>1181</v>
      </c>
      <c r="I139" s="16">
        <v>182</v>
      </c>
      <c r="J139" s="16">
        <v>43</v>
      </c>
      <c r="K139" s="16">
        <v>3</v>
      </c>
      <c r="L139" s="16" t="s">
        <v>1182</v>
      </c>
    </row>
    <row r="140" spans="1:12" x14ac:dyDescent="0.4">
      <c r="A140" s="16" t="s">
        <v>284</v>
      </c>
      <c r="B140" s="16">
        <v>9</v>
      </c>
      <c r="C140" s="16" t="s">
        <v>691</v>
      </c>
      <c r="D140" s="16" t="s">
        <v>1183</v>
      </c>
      <c r="E140" s="16" t="s">
        <v>1184</v>
      </c>
      <c r="F140" s="16" t="s">
        <v>1185</v>
      </c>
      <c r="G140" s="17">
        <v>36307</v>
      </c>
      <c r="H140" s="16" t="s">
        <v>1007</v>
      </c>
      <c r="I140" s="16">
        <v>183</v>
      </c>
      <c r="J140" s="16">
        <v>23</v>
      </c>
      <c r="K140" s="16">
        <v>1</v>
      </c>
      <c r="L140" s="16" t="s">
        <v>1186</v>
      </c>
    </row>
    <row r="141" spans="1:12" x14ac:dyDescent="0.4">
      <c r="A141" s="16" t="s">
        <v>284</v>
      </c>
      <c r="B141" s="16">
        <v>10</v>
      </c>
      <c r="C141" s="16" t="s">
        <v>691</v>
      </c>
      <c r="D141" s="16" t="s">
        <v>1187</v>
      </c>
      <c r="E141" s="16" t="s">
        <v>1188</v>
      </c>
      <c r="F141" s="16" t="s">
        <v>1187</v>
      </c>
      <c r="G141" s="17">
        <v>33639</v>
      </c>
      <c r="H141" s="16" t="s">
        <v>1189</v>
      </c>
      <c r="I141" s="16">
        <v>175</v>
      </c>
      <c r="J141" s="16">
        <v>128</v>
      </c>
      <c r="K141" s="16">
        <v>79</v>
      </c>
      <c r="L141" s="16" t="s">
        <v>1190</v>
      </c>
    </row>
    <row r="142" spans="1:12" x14ac:dyDescent="0.4">
      <c r="A142" s="16" t="s">
        <v>284</v>
      </c>
      <c r="B142" s="16">
        <v>11</v>
      </c>
      <c r="C142" s="16" t="s">
        <v>691</v>
      </c>
      <c r="D142" s="16" t="s">
        <v>1191</v>
      </c>
      <c r="E142" s="16" t="s">
        <v>1192</v>
      </c>
      <c r="F142" s="16" t="s">
        <v>1191</v>
      </c>
      <c r="G142" s="17">
        <v>35413</v>
      </c>
      <c r="H142" s="16" t="s">
        <v>1193</v>
      </c>
      <c r="I142" s="16">
        <v>176</v>
      </c>
      <c r="J142" s="16">
        <v>39</v>
      </c>
      <c r="K142" s="16">
        <v>11</v>
      </c>
      <c r="L142" s="16" t="s">
        <v>1194</v>
      </c>
    </row>
    <row r="143" spans="1:12" x14ac:dyDescent="0.4">
      <c r="A143" s="16" t="s">
        <v>284</v>
      </c>
      <c r="B143" s="16">
        <v>12</v>
      </c>
      <c r="C143" s="16" t="s">
        <v>664</v>
      </c>
      <c r="D143" s="16" t="s">
        <v>1195</v>
      </c>
      <c r="E143" s="16" t="s">
        <v>1196</v>
      </c>
      <c r="F143" s="16" t="s">
        <v>1195</v>
      </c>
      <c r="G143" s="17">
        <v>32124</v>
      </c>
      <c r="H143" s="16" t="s">
        <v>1197</v>
      </c>
      <c r="I143" s="16">
        <v>189</v>
      </c>
      <c r="J143" s="16">
        <v>11</v>
      </c>
      <c r="K143" s="16">
        <v>0</v>
      </c>
      <c r="L143" s="16" t="s">
        <v>1198</v>
      </c>
    </row>
    <row r="144" spans="1:12" x14ac:dyDescent="0.4">
      <c r="A144" s="16" t="s">
        <v>284</v>
      </c>
      <c r="B144" s="16">
        <v>13</v>
      </c>
      <c r="C144" s="16" t="s">
        <v>669</v>
      </c>
      <c r="D144" s="16" t="s">
        <v>1199</v>
      </c>
      <c r="E144" s="16" t="s">
        <v>1200</v>
      </c>
      <c r="F144" s="16" t="s">
        <v>1199</v>
      </c>
      <c r="G144" s="17">
        <v>33434</v>
      </c>
      <c r="H144" s="16" t="s">
        <v>1172</v>
      </c>
      <c r="I144" s="16">
        <v>184</v>
      </c>
      <c r="J144" s="16">
        <v>70</v>
      </c>
      <c r="K144" s="16">
        <v>1</v>
      </c>
      <c r="L144" s="16" t="s">
        <v>1201</v>
      </c>
    </row>
    <row r="145" spans="1:12" x14ac:dyDescent="0.4">
      <c r="A145" s="16" t="s">
        <v>284</v>
      </c>
      <c r="B145" s="16">
        <v>14</v>
      </c>
      <c r="C145" s="16" t="s">
        <v>669</v>
      </c>
      <c r="D145" s="16" t="s">
        <v>1202</v>
      </c>
      <c r="E145" s="16" t="s">
        <v>1203</v>
      </c>
      <c r="F145" s="16" t="s">
        <v>1202</v>
      </c>
      <c r="G145" s="17">
        <v>35507</v>
      </c>
      <c r="H145" s="16" t="s">
        <v>1204</v>
      </c>
      <c r="I145" s="16">
        <v>188</v>
      </c>
      <c r="J145" s="16">
        <v>8</v>
      </c>
      <c r="K145" s="16">
        <v>1</v>
      </c>
      <c r="L145" s="16" t="s">
        <v>1205</v>
      </c>
    </row>
    <row r="146" spans="1:12" x14ac:dyDescent="0.4">
      <c r="A146" s="16" t="s">
        <v>284</v>
      </c>
      <c r="B146" s="16">
        <v>15</v>
      </c>
      <c r="C146" s="16" t="s">
        <v>669</v>
      </c>
      <c r="D146" s="16" t="s">
        <v>1206</v>
      </c>
      <c r="E146" s="16" t="s">
        <v>1207</v>
      </c>
      <c r="F146" s="16" t="s">
        <v>1208</v>
      </c>
      <c r="G146" s="17">
        <v>35095</v>
      </c>
      <c r="H146" s="16" t="s">
        <v>1172</v>
      </c>
      <c r="I146" s="16">
        <v>189</v>
      </c>
      <c r="J146" s="16">
        <v>4</v>
      </c>
      <c r="K146" s="16">
        <v>0</v>
      </c>
      <c r="L146" s="16" t="s">
        <v>1209</v>
      </c>
    </row>
    <row r="147" spans="1:12" x14ac:dyDescent="0.4">
      <c r="A147" s="16" t="s">
        <v>284</v>
      </c>
      <c r="B147" s="16">
        <v>16</v>
      </c>
      <c r="C147" s="16" t="s">
        <v>669</v>
      </c>
      <c r="D147" s="16" t="s">
        <v>1210</v>
      </c>
      <c r="E147" s="16" t="s">
        <v>1211</v>
      </c>
      <c r="F147" s="16" t="s">
        <v>1212</v>
      </c>
      <c r="G147" s="17">
        <v>34415</v>
      </c>
      <c r="H147" s="16" t="s">
        <v>1213</v>
      </c>
      <c r="I147" s="16">
        <v>173</v>
      </c>
      <c r="J147" s="16">
        <v>7</v>
      </c>
      <c r="K147" s="16">
        <v>0</v>
      </c>
      <c r="L147" s="16" t="s">
        <v>1214</v>
      </c>
    </row>
    <row r="148" spans="1:12" x14ac:dyDescent="0.4">
      <c r="A148" s="16" t="s">
        <v>284</v>
      </c>
      <c r="B148" s="16">
        <v>17</v>
      </c>
      <c r="C148" s="16" t="s">
        <v>686</v>
      </c>
      <c r="D148" s="16" t="s">
        <v>1215</v>
      </c>
      <c r="E148" s="16" t="s">
        <v>1216</v>
      </c>
      <c r="F148" s="16" t="s">
        <v>1215</v>
      </c>
      <c r="G148" s="17">
        <v>34265</v>
      </c>
      <c r="H148" s="16" t="s">
        <v>699</v>
      </c>
      <c r="I148" s="16">
        <v>188</v>
      </c>
      <c r="J148" s="16">
        <v>33</v>
      </c>
      <c r="K148" s="16">
        <v>0</v>
      </c>
      <c r="L148" s="16" t="s">
        <v>1217</v>
      </c>
    </row>
    <row r="149" spans="1:12" x14ac:dyDescent="0.4">
      <c r="A149" s="16" t="s">
        <v>284</v>
      </c>
      <c r="B149" s="16">
        <v>18</v>
      </c>
      <c r="C149" s="16" t="s">
        <v>686</v>
      </c>
      <c r="D149" s="16" t="s">
        <v>1218</v>
      </c>
      <c r="E149" s="16" t="s">
        <v>1219</v>
      </c>
      <c r="F149" s="16" t="s">
        <v>1220</v>
      </c>
      <c r="G149" s="17">
        <v>37010</v>
      </c>
      <c r="H149" s="16" t="s">
        <v>1221</v>
      </c>
      <c r="I149" s="16">
        <v>177</v>
      </c>
      <c r="J149" s="16">
        <v>4</v>
      </c>
      <c r="K149" s="16">
        <v>2</v>
      </c>
      <c r="L149" s="16" t="s">
        <v>1222</v>
      </c>
    </row>
    <row r="150" spans="1:12" x14ac:dyDescent="0.4">
      <c r="A150" s="16" t="s">
        <v>284</v>
      </c>
      <c r="B150" s="16">
        <v>19</v>
      </c>
      <c r="C150" s="16" t="s">
        <v>691</v>
      </c>
      <c r="D150" s="16" t="s">
        <v>1223</v>
      </c>
      <c r="E150" s="16" t="s">
        <v>1224</v>
      </c>
      <c r="F150" s="16" t="s">
        <v>1223</v>
      </c>
      <c r="G150" s="17">
        <v>38919</v>
      </c>
      <c r="H150" s="16" t="s">
        <v>1225</v>
      </c>
      <c r="I150" s="16">
        <v>172</v>
      </c>
      <c r="J150" s="16">
        <v>17</v>
      </c>
      <c r="K150" s="16">
        <v>4</v>
      </c>
      <c r="L150" s="16" t="s">
        <v>1226</v>
      </c>
    </row>
    <row r="151" spans="1:12" x14ac:dyDescent="0.4">
      <c r="A151" s="16" t="s">
        <v>284</v>
      </c>
      <c r="B151" s="16">
        <v>20</v>
      </c>
      <c r="C151" s="16" t="s">
        <v>686</v>
      </c>
      <c r="D151" s="16" t="s">
        <v>1227</v>
      </c>
      <c r="E151" s="16" t="s">
        <v>861</v>
      </c>
      <c r="F151" s="16" t="s">
        <v>1228</v>
      </c>
      <c r="G151" s="17">
        <v>35669</v>
      </c>
      <c r="H151" s="16" t="s">
        <v>1172</v>
      </c>
      <c r="I151" s="16">
        <v>183</v>
      </c>
      <c r="J151" s="16">
        <v>63</v>
      </c>
      <c r="K151" s="16">
        <v>13</v>
      </c>
      <c r="L151" s="16" t="s">
        <v>1229</v>
      </c>
    </row>
    <row r="152" spans="1:12" x14ac:dyDescent="0.4">
      <c r="A152" s="16" t="s">
        <v>284</v>
      </c>
      <c r="B152" s="16">
        <v>21</v>
      </c>
      <c r="C152" s="16" t="s">
        <v>691</v>
      </c>
      <c r="D152" s="16" t="s">
        <v>1230</v>
      </c>
      <c r="E152" s="16" t="s">
        <v>1231</v>
      </c>
      <c r="F152" s="16" t="s">
        <v>1232</v>
      </c>
      <c r="G152" s="17">
        <v>36893</v>
      </c>
      <c r="H152" s="16" t="s">
        <v>1213</v>
      </c>
      <c r="I152" s="16">
        <v>182</v>
      </c>
      <c r="J152" s="16">
        <v>15</v>
      </c>
      <c r="K152" s="16">
        <v>2</v>
      </c>
      <c r="L152" s="16" t="s">
        <v>1233</v>
      </c>
    </row>
    <row r="153" spans="1:12" x14ac:dyDescent="0.4">
      <c r="A153" s="16" t="s">
        <v>284</v>
      </c>
      <c r="B153" s="16">
        <v>22</v>
      </c>
      <c r="C153" s="16" t="s">
        <v>691</v>
      </c>
      <c r="D153" s="16" t="s">
        <v>1234</v>
      </c>
      <c r="E153" s="16" t="s">
        <v>1160</v>
      </c>
      <c r="F153" s="16" t="s">
        <v>1235</v>
      </c>
      <c r="G153" s="17">
        <v>37060</v>
      </c>
      <c r="H153" s="16" t="s">
        <v>1000</v>
      </c>
      <c r="I153" s="16">
        <v>178</v>
      </c>
      <c r="J153" s="16">
        <v>23</v>
      </c>
      <c r="K153" s="16">
        <v>4</v>
      </c>
      <c r="L153" s="16" t="s">
        <v>1236</v>
      </c>
    </row>
    <row r="154" spans="1:12" x14ac:dyDescent="0.4">
      <c r="A154" s="16" t="s">
        <v>284</v>
      </c>
      <c r="B154" s="16">
        <v>23</v>
      </c>
      <c r="C154" s="16" t="s">
        <v>664</v>
      </c>
      <c r="D154" s="16" t="s">
        <v>1237</v>
      </c>
      <c r="E154" s="16" t="s">
        <v>1238</v>
      </c>
      <c r="F154" s="16" t="s">
        <v>1237</v>
      </c>
      <c r="G154" s="17">
        <v>34198</v>
      </c>
      <c r="H154" s="16" t="s">
        <v>1239</v>
      </c>
      <c r="I154" s="16">
        <v>188</v>
      </c>
      <c r="J154" s="16">
        <v>32</v>
      </c>
      <c r="K154" s="16">
        <v>0</v>
      </c>
      <c r="L154" s="16" t="s">
        <v>1240</v>
      </c>
    </row>
    <row r="155" spans="1:12" x14ac:dyDescent="0.4">
      <c r="A155" s="16" t="s">
        <v>284</v>
      </c>
      <c r="B155" s="16">
        <v>24</v>
      </c>
      <c r="C155" s="16" t="s">
        <v>669</v>
      </c>
      <c r="D155" s="16" t="s">
        <v>1241</v>
      </c>
      <c r="E155" s="16" t="s">
        <v>1242</v>
      </c>
      <c r="F155" s="16" t="s">
        <v>1243</v>
      </c>
      <c r="G155" s="17">
        <v>36122</v>
      </c>
      <c r="H155" s="16" t="s">
        <v>695</v>
      </c>
      <c r="I155" s="16">
        <v>186</v>
      </c>
      <c r="J155" s="16">
        <v>7</v>
      </c>
      <c r="K155" s="16">
        <v>0</v>
      </c>
      <c r="L155" s="16" t="s">
        <v>1244</v>
      </c>
    </row>
    <row r="156" spans="1:12" x14ac:dyDescent="0.4">
      <c r="A156" s="16" t="s">
        <v>284</v>
      </c>
      <c r="B156" s="16">
        <v>25</v>
      </c>
      <c r="C156" s="16" t="s">
        <v>691</v>
      </c>
      <c r="D156" s="16" t="s">
        <v>1245</v>
      </c>
      <c r="E156" s="16" t="s">
        <v>1246</v>
      </c>
      <c r="F156" s="16" t="s">
        <v>1247</v>
      </c>
      <c r="G156" s="17">
        <v>37068</v>
      </c>
      <c r="H156" s="16" t="s">
        <v>1248</v>
      </c>
      <c r="I156" s="16">
        <v>190</v>
      </c>
      <c r="J156" s="16">
        <v>4</v>
      </c>
      <c r="K156" s="16">
        <v>2</v>
      </c>
      <c r="L156" s="16" t="s">
        <v>1249</v>
      </c>
    </row>
    <row r="157" spans="1:12" x14ac:dyDescent="0.4">
      <c r="A157" s="16" t="s">
        <v>284</v>
      </c>
      <c r="B157" s="16">
        <v>26</v>
      </c>
      <c r="C157" s="16" t="s">
        <v>691</v>
      </c>
      <c r="D157" s="16" t="s">
        <v>1250</v>
      </c>
      <c r="E157" s="16" t="s">
        <v>1251</v>
      </c>
      <c r="F157" s="16" t="s">
        <v>1250</v>
      </c>
      <c r="G157" s="17">
        <v>38932</v>
      </c>
      <c r="H157" s="16" t="s">
        <v>1252</v>
      </c>
      <c r="I157" s="16">
        <v>187</v>
      </c>
      <c r="J157" s="16">
        <v>2</v>
      </c>
      <c r="K157" s="16">
        <v>1</v>
      </c>
      <c r="L157" s="16" t="s">
        <v>1253</v>
      </c>
    </row>
    <row r="158" spans="1:12" x14ac:dyDescent="0.4">
      <c r="A158" s="16" t="s">
        <v>321</v>
      </c>
      <c r="B158" s="16">
        <v>1</v>
      </c>
      <c r="C158" s="16" t="s">
        <v>664</v>
      </c>
      <c r="D158" s="16" t="s">
        <v>1254</v>
      </c>
      <c r="E158" s="16" t="s">
        <v>1255</v>
      </c>
      <c r="F158" s="16" t="s">
        <v>1254</v>
      </c>
      <c r="G158" s="17">
        <v>31566</v>
      </c>
      <c r="H158" s="16" t="s">
        <v>1256</v>
      </c>
      <c r="I158" s="16">
        <v>189</v>
      </c>
      <c r="J158" s="16">
        <v>90</v>
      </c>
      <c r="K158" s="16">
        <v>0</v>
      </c>
      <c r="L158" s="16" t="s">
        <v>1257</v>
      </c>
    </row>
    <row r="159" spans="1:12" x14ac:dyDescent="0.4">
      <c r="A159" s="16" t="s">
        <v>321</v>
      </c>
      <c r="B159" s="16">
        <v>2</v>
      </c>
      <c r="C159" s="16" t="s">
        <v>669</v>
      </c>
      <c r="D159" s="16" t="s">
        <v>1258</v>
      </c>
      <c r="E159" s="16" t="s">
        <v>1259</v>
      </c>
      <c r="F159" s="16" t="s">
        <v>1258</v>
      </c>
      <c r="G159" s="17">
        <v>32283</v>
      </c>
      <c r="H159" s="16" t="s">
        <v>1260</v>
      </c>
      <c r="I159" s="16">
        <v>178</v>
      </c>
      <c r="J159" s="16">
        <v>61</v>
      </c>
      <c r="K159" s="16">
        <v>4</v>
      </c>
      <c r="L159" s="16" t="s">
        <v>1261</v>
      </c>
    </row>
    <row r="160" spans="1:12" x14ac:dyDescent="0.4">
      <c r="A160" s="16" t="s">
        <v>321</v>
      </c>
      <c r="B160" s="16">
        <v>3</v>
      </c>
      <c r="C160" s="16" t="s">
        <v>669</v>
      </c>
      <c r="D160" s="16" t="s">
        <v>1262</v>
      </c>
      <c r="E160" s="16" t="s">
        <v>1263</v>
      </c>
      <c r="F160" s="16" t="s">
        <v>1264</v>
      </c>
      <c r="G160" s="17">
        <v>34716</v>
      </c>
      <c r="H160" s="16" t="s">
        <v>1265</v>
      </c>
      <c r="I160" s="16">
        <v>185</v>
      </c>
      <c r="J160" s="16">
        <v>32</v>
      </c>
      <c r="K160" s="16">
        <v>2</v>
      </c>
      <c r="L160" s="16" t="s">
        <v>1266</v>
      </c>
    </row>
    <row r="161" spans="1:12" x14ac:dyDescent="0.4">
      <c r="A161" s="16" t="s">
        <v>321</v>
      </c>
      <c r="B161" s="16">
        <v>4</v>
      </c>
      <c r="C161" s="16" t="s">
        <v>669</v>
      </c>
      <c r="D161" s="16" t="s">
        <v>1267</v>
      </c>
      <c r="E161" s="16" t="s">
        <v>1268</v>
      </c>
      <c r="F161" s="16" t="s">
        <v>1269</v>
      </c>
      <c r="G161" s="17">
        <v>33772</v>
      </c>
      <c r="H161" s="16" t="s">
        <v>1270</v>
      </c>
      <c r="I161" s="16">
        <v>186</v>
      </c>
      <c r="J161" s="16">
        <v>45</v>
      </c>
      <c r="K161" s="16">
        <v>0</v>
      </c>
      <c r="L161" s="16" t="s">
        <v>1269</v>
      </c>
    </row>
    <row r="162" spans="1:12" x14ac:dyDescent="0.4">
      <c r="A162" s="16" t="s">
        <v>321</v>
      </c>
      <c r="B162" s="16">
        <v>5</v>
      </c>
      <c r="C162" s="16" t="s">
        <v>669</v>
      </c>
      <c r="D162" s="16" t="s">
        <v>1271</v>
      </c>
      <c r="E162" s="16" t="s">
        <v>1272</v>
      </c>
      <c r="F162" s="16" t="s">
        <v>1273</v>
      </c>
      <c r="G162" s="17">
        <v>36982</v>
      </c>
      <c r="H162" s="16" t="s">
        <v>1274</v>
      </c>
      <c r="I162" s="16">
        <v>190</v>
      </c>
      <c r="J162" s="16">
        <v>28</v>
      </c>
      <c r="K162" s="16">
        <v>0</v>
      </c>
      <c r="L162" s="16" t="s">
        <v>1273</v>
      </c>
    </row>
    <row r="163" spans="1:12" x14ac:dyDescent="0.4">
      <c r="A163" s="16" t="s">
        <v>321</v>
      </c>
      <c r="B163" s="16">
        <v>6</v>
      </c>
      <c r="C163" s="16" t="s">
        <v>686</v>
      </c>
      <c r="D163" s="16" t="s">
        <v>1275</v>
      </c>
      <c r="E163" s="16" t="s">
        <v>1276</v>
      </c>
      <c r="F163" s="16" t="s">
        <v>1277</v>
      </c>
      <c r="G163" s="17">
        <v>35457</v>
      </c>
      <c r="H163" s="16" t="s">
        <v>1278</v>
      </c>
      <c r="I163" s="16">
        <v>177</v>
      </c>
      <c r="J163" s="16">
        <v>31</v>
      </c>
      <c r="K163" s="16">
        <v>3</v>
      </c>
      <c r="L163" s="16" t="s">
        <v>1279</v>
      </c>
    </row>
    <row r="164" spans="1:12" x14ac:dyDescent="0.4">
      <c r="A164" s="16" t="s">
        <v>321</v>
      </c>
      <c r="B164" s="16">
        <v>7</v>
      </c>
      <c r="C164" s="16" t="s">
        <v>686</v>
      </c>
      <c r="D164" s="16" t="s">
        <v>1280</v>
      </c>
      <c r="E164" s="16" t="s">
        <v>1281</v>
      </c>
      <c r="F164" s="16" t="s">
        <v>1282</v>
      </c>
      <c r="G164" s="17">
        <v>35960</v>
      </c>
      <c r="H164" s="16" t="s">
        <v>1283</v>
      </c>
      <c r="I164" s="16">
        <v>174</v>
      </c>
      <c r="J164" s="16">
        <v>29</v>
      </c>
      <c r="K164" s="16">
        <v>3</v>
      </c>
      <c r="L164" s="16" t="s">
        <v>1284</v>
      </c>
    </row>
    <row r="165" spans="1:12" x14ac:dyDescent="0.4">
      <c r="A165" s="16" t="s">
        <v>321</v>
      </c>
      <c r="B165" s="16">
        <v>8</v>
      </c>
      <c r="C165" s="16" t="s">
        <v>686</v>
      </c>
      <c r="D165" s="16" t="s">
        <v>1285</v>
      </c>
      <c r="E165" s="16" t="s">
        <v>1286</v>
      </c>
      <c r="F165" s="16" t="s">
        <v>1287</v>
      </c>
      <c r="G165" s="17">
        <v>35941</v>
      </c>
      <c r="H165" s="16" t="s">
        <v>1288</v>
      </c>
      <c r="I165" s="16">
        <v>180</v>
      </c>
      <c r="J165" s="16">
        <v>41</v>
      </c>
      <c r="K165" s="16">
        <v>1</v>
      </c>
      <c r="L165" s="16" t="s">
        <v>1289</v>
      </c>
    </row>
    <row r="166" spans="1:12" x14ac:dyDescent="0.4">
      <c r="A166" s="16" t="s">
        <v>321</v>
      </c>
      <c r="B166" s="16">
        <v>9</v>
      </c>
      <c r="C166" s="16" t="s">
        <v>691</v>
      </c>
      <c r="D166" s="16" t="s">
        <v>1290</v>
      </c>
      <c r="E166" s="16" t="s">
        <v>1291</v>
      </c>
      <c r="F166" s="16" t="s">
        <v>1292</v>
      </c>
      <c r="G166" s="17">
        <v>37254</v>
      </c>
      <c r="H166" s="16" t="s">
        <v>1293</v>
      </c>
      <c r="I166" s="16">
        <v>187</v>
      </c>
      <c r="J166" s="16">
        <v>21</v>
      </c>
      <c r="K166" s="16">
        <v>6</v>
      </c>
      <c r="L166" s="16" t="s">
        <v>1294</v>
      </c>
    </row>
    <row r="167" spans="1:12" x14ac:dyDescent="0.4">
      <c r="A167" s="16" t="s">
        <v>321</v>
      </c>
      <c r="B167" s="16">
        <v>10</v>
      </c>
      <c r="C167" s="16" t="s">
        <v>686</v>
      </c>
      <c r="D167" s="16" t="s">
        <v>1295</v>
      </c>
      <c r="E167" s="16" t="s">
        <v>1296</v>
      </c>
      <c r="F167" s="16" t="s">
        <v>1297</v>
      </c>
      <c r="G167" s="17">
        <v>34296</v>
      </c>
      <c r="H167" s="16" t="s">
        <v>1298</v>
      </c>
      <c r="I167" s="16">
        <v>175</v>
      </c>
      <c r="J167" s="16">
        <v>55</v>
      </c>
      <c r="K167" s="16">
        <v>5</v>
      </c>
      <c r="L167" s="16" t="s">
        <v>1299</v>
      </c>
    </row>
    <row r="168" spans="1:12" x14ac:dyDescent="0.4">
      <c r="A168" s="16" t="s">
        <v>321</v>
      </c>
      <c r="B168" s="16">
        <v>11</v>
      </c>
      <c r="C168" s="16" t="s">
        <v>686</v>
      </c>
      <c r="D168" s="16" t="s">
        <v>1300</v>
      </c>
      <c r="E168" s="16" t="s">
        <v>1301</v>
      </c>
      <c r="F168" s="16" t="s">
        <v>1302</v>
      </c>
      <c r="G168" s="17">
        <v>33204</v>
      </c>
      <c r="H168" s="16" t="s">
        <v>1303</v>
      </c>
      <c r="I168" s="16">
        <v>173</v>
      </c>
      <c r="J168" s="16">
        <v>61</v>
      </c>
      <c r="K168" s="16">
        <v>10</v>
      </c>
      <c r="L168" s="16" t="s">
        <v>1304</v>
      </c>
    </row>
    <row r="169" spans="1:12" x14ac:dyDescent="0.4">
      <c r="A169" s="16" t="s">
        <v>321</v>
      </c>
      <c r="B169" s="16">
        <v>12</v>
      </c>
      <c r="C169" s="16" t="s">
        <v>664</v>
      </c>
      <c r="D169" s="16" t="s">
        <v>1305</v>
      </c>
      <c r="E169" s="16" t="s">
        <v>1306</v>
      </c>
      <c r="F169" s="16" t="s">
        <v>1307</v>
      </c>
      <c r="G169" s="17">
        <v>35484</v>
      </c>
      <c r="H169" s="16" t="s">
        <v>1308</v>
      </c>
      <c r="I169" s="16">
        <v>186</v>
      </c>
      <c r="J169" s="16">
        <v>11</v>
      </c>
      <c r="K169" s="16">
        <v>0</v>
      </c>
      <c r="L169" s="16" t="s">
        <v>1309</v>
      </c>
    </row>
    <row r="170" spans="1:12" x14ac:dyDescent="0.4">
      <c r="A170" s="16" t="s">
        <v>321</v>
      </c>
      <c r="B170" s="16">
        <v>13</v>
      </c>
      <c r="C170" s="16" t="s">
        <v>669</v>
      </c>
      <c r="D170" s="16" t="s">
        <v>1310</v>
      </c>
      <c r="E170" s="16" t="s">
        <v>1311</v>
      </c>
      <c r="F170" s="16" t="s">
        <v>1312</v>
      </c>
      <c r="G170" s="17">
        <v>37517</v>
      </c>
      <c r="H170" s="16" t="s">
        <v>1015</v>
      </c>
      <c r="I170" s="16">
        <v>176</v>
      </c>
      <c r="J170" s="16">
        <v>11</v>
      </c>
      <c r="K170" s="16">
        <v>3</v>
      </c>
      <c r="L170" s="16" t="s">
        <v>1312</v>
      </c>
    </row>
    <row r="171" spans="1:12" x14ac:dyDescent="0.4">
      <c r="A171" s="16" t="s">
        <v>321</v>
      </c>
      <c r="B171" s="16">
        <v>14</v>
      </c>
      <c r="C171" s="16" t="s">
        <v>686</v>
      </c>
      <c r="D171" s="16" t="s">
        <v>1313</v>
      </c>
      <c r="E171" s="16" t="s">
        <v>1314</v>
      </c>
      <c r="F171" s="16" t="s">
        <v>1315</v>
      </c>
      <c r="G171" s="17">
        <v>36345</v>
      </c>
      <c r="H171" s="16" t="s">
        <v>1316</v>
      </c>
      <c r="I171" s="16">
        <v>177</v>
      </c>
      <c r="J171" s="16">
        <v>33</v>
      </c>
      <c r="K171" s="16">
        <v>0</v>
      </c>
      <c r="L171" s="16" t="s">
        <v>1317</v>
      </c>
    </row>
    <row r="172" spans="1:12" x14ac:dyDescent="0.4">
      <c r="A172" s="16" t="s">
        <v>321</v>
      </c>
      <c r="B172" s="16">
        <v>15</v>
      </c>
      <c r="C172" s="16" t="s">
        <v>686</v>
      </c>
      <c r="D172" s="16" t="s">
        <v>1318</v>
      </c>
      <c r="E172" s="16" t="s">
        <v>1319</v>
      </c>
      <c r="F172" s="16" t="s">
        <v>1320</v>
      </c>
      <c r="G172" s="17">
        <v>35489</v>
      </c>
      <c r="H172" s="16" t="s">
        <v>1321</v>
      </c>
      <c r="I172" s="16">
        <v>180</v>
      </c>
      <c r="J172" s="16">
        <v>20</v>
      </c>
      <c r="K172" s="16">
        <v>1</v>
      </c>
      <c r="L172" s="16" t="s">
        <v>1317</v>
      </c>
    </row>
    <row r="173" spans="1:12" x14ac:dyDescent="0.4">
      <c r="A173" s="16" t="s">
        <v>321</v>
      </c>
      <c r="B173" s="16">
        <v>16</v>
      </c>
      <c r="C173" s="16" t="s">
        <v>686</v>
      </c>
      <c r="D173" s="16" t="s">
        <v>1322</v>
      </c>
      <c r="E173" s="16" t="s">
        <v>1323</v>
      </c>
      <c r="F173" s="16" t="s">
        <v>1324</v>
      </c>
      <c r="G173" s="17">
        <v>35062</v>
      </c>
      <c r="H173" s="16" t="s">
        <v>1325</v>
      </c>
      <c r="I173" s="16">
        <v>176</v>
      </c>
      <c r="J173" s="16">
        <v>11</v>
      </c>
      <c r="K173" s="16">
        <v>1</v>
      </c>
      <c r="L173" s="16" t="s">
        <v>1326</v>
      </c>
    </row>
    <row r="174" spans="1:12" x14ac:dyDescent="0.4">
      <c r="A174" s="16" t="s">
        <v>321</v>
      </c>
      <c r="B174" s="16">
        <v>17</v>
      </c>
      <c r="C174" s="16" t="s">
        <v>686</v>
      </c>
      <c r="D174" s="16" t="s">
        <v>1327</v>
      </c>
      <c r="E174" s="16" t="s">
        <v>1328</v>
      </c>
      <c r="F174" s="16" t="s">
        <v>1329</v>
      </c>
      <c r="G174" s="17">
        <v>34451</v>
      </c>
      <c r="H174" s="16" t="s">
        <v>1330</v>
      </c>
      <c r="I174" s="16">
        <v>185</v>
      </c>
      <c r="J174" s="16">
        <v>38</v>
      </c>
      <c r="K174" s="16">
        <v>3</v>
      </c>
      <c r="L174" s="16" t="s">
        <v>1331</v>
      </c>
    </row>
    <row r="175" spans="1:12" x14ac:dyDescent="0.4">
      <c r="A175" s="16" t="s">
        <v>321</v>
      </c>
      <c r="B175" s="16">
        <v>18</v>
      </c>
      <c r="C175" s="16" t="s">
        <v>686</v>
      </c>
      <c r="D175" s="16" t="s">
        <v>1332</v>
      </c>
      <c r="E175" s="16" t="s">
        <v>1333</v>
      </c>
      <c r="F175" s="16" t="s">
        <v>1334</v>
      </c>
      <c r="G175" s="17">
        <v>37063</v>
      </c>
      <c r="H175" s="16" t="s">
        <v>1335</v>
      </c>
      <c r="I175" s="16">
        <v>180</v>
      </c>
      <c r="J175" s="16">
        <v>16</v>
      </c>
      <c r="K175" s="16">
        <v>1</v>
      </c>
      <c r="L175" s="16" t="s">
        <v>1336</v>
      </c>
    </row>
    <row r="176" spans="1:12" x14ac:dyDescent="0.4">
      <c r="A176" s="16" t="s">
        <v>321</v>
      </c>
      <c r="B176" s="16">
        <v>19</v>
      </c>
      <c r="C176" s="16" t="s">
        <v>691</v>
      </c>
      <c r="D176" s="16" t="s">
        <v>1337</v>
      </c>
      <c r="E176" s="16" t="s">
        <v>1338</v>
      </c>
      <c r="F176" s="16" t="s">
        <v>1339</v>
      </c>
      <c r="G176" s="17">
        <v>37015</v>
      </c>
      <c r="H176" s="16" t="s">
        <v>1340</v>
      </c>
      <c r="I176" s="16">
        <v>185</v>
      </c>
      <c r="J176" s="16">
        <v>22</v>
      </c>
      <c r="K176" s="16">
        <v>7</v>
      </c>
      <c r="L176" s="16" t="s">
        <v>1341</v>
      </c>
    </row>
    <row r="177" spans="1:12" x14ac:dyDescent="0.4">
      <c r="A177" s="16" t="s">
        <v>321</v>
      </c>
      <c r="B177" s="16">
        <v>20</v>
      </c>
      <c r="C177" s="16" t="s">
        <v>691</v>
      </c>
      <c r="D177" s="16" t="s">
        <v>1342</v>
      </c>
      <c r="E177" s="16" t="s">
        <v>1343</v>
      </c>
      <c r="F177" s="16" t="s">
        <v>771</v>
      </c>
      <c r="G177" s="17">
        <v>32881</v>
      </c>
      <c r="H177" s="16" t="s">
        <v>1344</v>
      </c>
      <c r="I177" s="16">
        <v>178</v>
      </c>
      <c r="J177" s="16">
        <v>96</v>
      </c>
      <c r="K177" s="16">
        <v>22</v>
      </c>
      <c r="L177" s="16" t="s">
        <v>1345</v>
      </c>
    </row>
    <row r="178" spans="1:12" x14ac:dyDescent="0.4">
      <c r="A178" s="16" t="s">
        <v>321</v>
      </c>
      <c r="B178" s="16">
        <v>21</v>
      </c>
      <c r="C178" s="16" t="s">
        <v>686</v>
      </c>
      <c r="D178" s="16" t="s">
        <v>1346</v>
      </c>
      <c r="E178" s="16" t="s">
        <v>1347</v>
      </c>
      <c r="F178" s="16" t="s">
        <v>1348</v>
      </c>
      <c r="G178" s="17">
        <v>33279</v>
      </c>
      <c r="H178" s="16" t="s">
        <v>1349</v>
      </c>
      <c r="I178" s="16">
        <v>182</v>
      </c>
      <c r="J178" s="16">
        <v>9</v>
      </c>
      <c r="K178" s="16">
        <v>2</v>
      </c>
      <c r="L178" s="16" t="s">
        <v>1350</v>
      </c>
    </row>
    <row r="179" spans="1:12" x14ac:dyDescent="0.4">
      <c r="A179" s="16" t="s">
        <v>321</v>
      </c>
      <c r="B179" s="16">
        <v>22</v>
      </c>
      <c r="C179" s="16" t="s">
        <v>669</v>
      </c>
      <c r="D179" s="16" t="s">
        <v>1351</v>
      </c>
      <c r="E179" s="16" t="s">
        <v>1352</v>
      </c>
      <c r="F179" s="16" t="s">
        <v>1353</v>
      </c>
      <c r="G179" s="17">
        <v>34559</v>
      </c>
      <c r="H179" s="16" t="s">
        <v>1354</v>
      </c>
      <c r="I179" s="16">
        <v>178</v>
      </c>
      <c r="J179" s="16">
        <v>20</v>
      </c>
      <c r="K179" s="16">
        <v>0</v>
      </c>
      <c r="L179" s="16" t="s">
        <v>1353</v>
      </c>
    </row>
    <row r="180" spans="1:12" x14ac:dyDescent="0.4">
      <c r="A180" s="16" t="s">
        <v>321</v>
      </c>
      <c r="B180" s="16">
        <v>23</v>
      </c>
      <c r="C180" s="16" t="s">
        <v>664</v>
      </c>
      <c r="D180" s="16" t="s">
        <v>1355</v>
      </c>
      <c r="E180" s="16" t="s">
        <v>1356</v>
      </c>
      <c r="F180" s="16" t="s">
        <v>1357</v>
      </c>
      <c r="G180" s="17">
        <v>36762</v>
      </c>
      <c r="H180" s="16" t="s">
        <v>1358</v>
      </c>
      <c r="I180" s="16">
        <v>189</v>
      </c>
      <c r="J180" s="16">
        <v>1</v>
      </c>
      <c r="K180" s="16">
        <v>0</v>
      </c>
      <c r="L180" s="16" t="s">
        <v>1359</v>
      </c>
    </row>
    <row r="181" spans="1:12" x14ac:dyDescent="0.4">
      <c r="A181" s="16" t="s">
        <v>321</v>
      </c>
      <c r="B181" s="16">
        <v>24</v>
      </c>
      <c r="C181" s="16" t="s">
        <v>669</v>
      </c>
      <c r="D181" s="16" t="s">
        <v>1360</v>
      </c>
      <c r="E181" s="16" t="s">
        <v>1361</v>
      </c>
      <c r="F181" s="16" t="s">
        <v>1362</v>
      </c>
      <c r="G181" s="17">
        <v>37563</v>
      </c>
      <c r="H181" s="16" t="s">
        <v>1363</v>
      </c>
      <c r="I181" s="16">
        <v>180</v>
      </c>
      <c r="J181" s="16">
        <v>14</v>
      </c>
      <c r="K181" s="16">
        <v>0</v>
      </c>
      <c r="L181" s="16" t="s">
        <v>1364</v>
      </c>
    </row>
    <row r="182" spans="1:12" x14ac:dyDescent="0.4">
      <c r="A182" s="16" t="s">
        <v>321</v>
      </c>
      <c r="B182" s="16">
        <v>25</v>
      </c>
      <c r="C182" s="16" t="s">
        <v>669</v>
      </c>
      <c r="D182" s="16" t="s">
        <v>1365</v>
      </c>
      <c r="E182" s="16" t="s">
        <v>1366</v>
      </c>
      <c r="F182" s="16" t="s">
        <v>1367</v>
      </c>
      <c r="G182" s="17">
        <v>36682</v>
      </c>
      <c r="H182" s="16" t="s">
        <v>1368</v>
      </c>
      <c r="I182" s="16">
        <v>193</v>
      </c>
      <c r="J182" s="16">
        <v>6</v>
      </c>
      <c r="K182" s="16">
        <v>1</v>
      </c>
      <c r="L182" s="16" t="s">
        <v>1369</v>
      </c>
    </row>
    <row r="183" spans="1:12" x14ac:dyDescent="0.4">
      <c r="A183" s="16" t="s">
        <v>321</v>
      </c>
      <c r="B183" s="16">
        <v>26</v>
      </c>
      <c r="C183" s="16" t="s">
        <v>686</v>
      </c>
      <c r="D183" s="16" t="s">
        <v>1370</v>
      </c>
      <c r="E183" s="16" t="s">
        <v>1371</v>
      </c>
      <c r="F183" s="16" t="s">
        <v>1372</v>
      </c>
      <c r="G183" s="17">
        <v>37379</v>
      </c>
      <c r="H183" s="16" t="s">
        <v>1373</v>
      </c>
      <c r="I183" s="16">
        <v>176</v>
      </c>
      <c r="J183" s="16">
        <v>21</v>
      </c>
      <c r="K183" s="16">
        <v>0</v>
      </c>
      <c r="L183" s="16" t="s">
        <v>1374</v>
      </c>
    </row>
    <row r="184" spans="1:12" x14ac:dyDescent="0.4">
      <c r="A184" s="16" t="s">
        <v>282</v>
      </c>
      <c r="B184" s="16">
        <v>1</v>
      </c>
      <c r="C184" s="16" t="s">
        <v>664</v>
      </c>
      <c r="D184" s="16" t="s">
        <v>1375</v>
      </c>
      <c r="E184" s="16" t="s">
        <v>1376</v>
      </c>
      <c r="F184" s="16" t="s">
        <v>1377</v>
      </c>
      <c r="G184" s="17">
        <v>35559</v>
      </c>
      <c r="H184" s="16" t="s">
        <v>1378</v>
      </c>
      <c r="I184" s="16">
        <v>191</v>
      </c>
      <c r="J184" s="16">
        <v>20</v>
      </c>
      <c r="K184" s="16">
        <v>0</v>
      </c>
      <c r="L184" s="16" t="s">
        <v>1377</v>
      </c>
    </row>
    <row r="185" spans="1:12" x14ac:dyDescent="0.4">
      <c r="A185" s="16" t="s">
        <v>282</v>
      </c>
      <c r="B185" s="16">
        <v>2</v>
      </c>
      <c r="C185" s="16" t="s">
        <v>669</v>
      </c>
      <c r="D185" s="16" t="s">
        <v>1379</v>
      </c>
      <c r="E185" s="16" t="s">
        <v>1380</v>
      </c>
      <c r="F185" s="16" t="s">
        <v>1381</v>
      </c>
      <c r="G185" s="17">
        <v>36076</v>
      </c>
      <c r="H185" s="16" t="s">
        <v>1382</v>
      </c>
      <c r="I185" s="16">
        <v>180</v>
      </c>
      <c r="J185" s="16">
        <v>58</v>
      </c>
      <c r="K185" s="16">
        <v>1</v>
      </c>
      <c r="L185" s="16" t="s">
        <v>1381</v>
      </c>
    </row>
    <row r="186" spans="1:12" x14ac:dyDescent="0.4">
      <c r="A186" s="16" t="s">
        <v>282</v>
      </c>
      <c r="B186" s="16">
        <v>3</v>
      </c>
      <c r="C186" s="16" t="s">
        <v>669</v>
      </c>
      <c r="D186" s="16" t="s">
        <v>1383</v>
      </c>
      <c r="E186" s="16" t="s">
        <v>1384</v>
      </c>
      <c r="F186" s="16" t="s">
        <v>1385</v>
      </c>
      <c r="G186" s="17">
        <v>35710</v>
      </c>
      <c r="H186" s="16" t="s">
        <v>1386</v>
      </c>
      <c r="I186" s="16">
        <v>191</v>
      </c>
      <c r="J186" s="16">
        <v>2</v>
      </c>
      <c r="K186" s="16">
        <v>0</v>
      </c>
      <c r="L186" s="16" t="s">
        <v>1385</v>
      </c>
    </row>
    <row r="187" spans="1:12" x14ac:dyDescent="0.4">
      <c r="A187" s="16" t="s">
        <v>282</v>
      </c>
      <c r="B187" s="16">
        <v>4</v>
      </c>
      <c r="C187" s="16" t="s">
        <v>669</v>
      </c>
      <c r="D187" s="16" t="s">
        <v>1387</v>
      </c>
      <c r="E187" s="16" t="s">
        <v>1388</v>
      </c>
      <c r="F187" s="16" t="s">
        <v>1389</v>
      </c>
      <c r="G187" s="17">
        <v>38637</v>
      </c>
      <c r="H187" s="16" t="s">
        <v>1390</v>
      </c>
      <c r="I187" s="16">
        <v>183</v>
      </c>
      <c r="J187" s="16">
        <v>13</v>
      </c>
      <c r="K187" s="16">
        <v>0</v>
      </c>
      <c r="L187" s="16" t="s">
        <v>1391</v>
      </c>
    </row>
    <row r="188" spans="1:12" x14ac:dyDescent="0.4">
      <c r="A188" s="16" t="s">
        <v>282</v>
      </c>
      <c r="B188" s="16">
        <v>5</v>
      </c>
      <c r="C188" s="16" t="s">
        <v>669</v>
      </c>
      <c r="D188" s="16" t="s">
        <v>1392</v>
      </c>
      <c r="E188" s="16" t="s">
        <v>1393</v>
      </c>
      <c r="F188" s="16" t="s">
        <v>1394</v>
      </c>
      <c r="G188" s="17">
        <v>35088</v>
      </c>
      <c r="H188" s="16" t="s">
        <v>1395</v>
      </c>
      <c r="I188" s="16">
        <v>185</v>
      </c>
      <c r="J188" s="16">
        <v>17</v>
      </c>
      <c r="K188" s="16">
        <v>0</v>
      </c>
      <c r="L188" s="16" t="s">
        <v>1394</v>
      </c>
    </row>
    <row r="189" spans="1:12" x14ac:dyDescent="0.4">
      <c r="A189" s="16" t="s">
        <v>282</v>
      </c>
      <c r="B189" s="16">
        <v>6</v>
      </c>
      <c r="C189" s="16" t="s">
        <v>686</v>
      </c>
      <c r="D189" s="16" t="s">
        <v>1396</v>
      </c>
      <c r="E189" s="16" t="s">
        <v>1397</v>
      </c>
      <c r="F189" s="16" t="s">
        <v>1398</v>
      </c>
      <c r="G189" s="17">
        <v>36198</v>
      </c>
      <c r="H189" s="16" t="s">
        <v>1399</v>
      </c>
      <c r="I189" s="16">
        <v>173</v>
      </c>
      <c r="J189" s="16">
        <v>23</v>
      </c>
      <c r="K189" s="16">
        <v>0</v>
      </c>
      <c r="L189" s="16" t="s">
        <v>1398</v>
      </c>
    </row>
    <row r="190" spans="1:12" x14ac:dyDescent="0.4">
      <c r="A190" s="16" t="s">
        <v>282</v>
      </c>
      <c r="B190" s="16">
        <v>7</v>
      </c>
      <c r="C190" s="16" t="s">
        <v>686</v>
      </c>
      <c r="D190" s="16" t="s">
        <v>1400</v>
      </c>
      <c r="E190" s="16" t="s">
        <v>1401</v>
      </c>
      <c r="F190" s="16" t="s">
        <v>1402</v>
      </c>
      <c r="G190" s="17">
        <v>35420</v>
      </c>
      <c r="H190" s="16" t="s">
        <v>1399</v>
      </c>
      <c r="I190" s="16">
        <v>175</v>
      </c>
      <c r="J190" s="16">
        <v>56</v>
      </c>
      <c r="K190" s="16">
        <v>4</v>
      </c>
      <c r="L190" s="16" t="s">
        <v>1403</v>
      </c>
    </row>
    <row r="191" spans="1:12" x14ac:dyDescent="0.4">
      <c r="A191" s="16" t="s">
        <v>282</v>
      </c>
      <c r="B191" s="16">
        <v>8</v>
      </c>
      <c r="C191" s="16" t="s">
        <v>686</v>
      </c>
      <c r="D191" s="16" t="s">
        <v>1404</v>
      </c>
      <c r="E191" s="16" t="s">
        <v>1405</v>
      </c>
      <c r="F191" s="16" t="s">
        <v>1406</v>
      </c>
      <c r="G191" s="17">
        <v>37423</v>
      </c>
      <c r="H191" s="16" t="s">
        <v>844</v>
      </c>
      <c r="I191" s="16">
        <v>188</v>
      </c>
      <c r="J191" s="16">
        <v>40</v>
      </c>
      <c r="K191" s="16">
        <v>4</v>
      </c>
      <c r="L191" s="16" t="s">
        <v>1407</v>
      </c>
    </row>
    <row r="192" spans="1:12" x14ac:dyDescent="0.4">
      <c r="A192" s="16" t="s">
        <v>282</v>
      </c>
      <c r="B192" s="16">
        <v>9</v>
      </c>
      <c r="C192" s="16" t="s">
        <v>691</v>
      </c>
      <c r="D192" s="16" t="s">
        <v>1408</v>
      </c>
      <c r="E192" s="16" t="s">
        <v>1409</v>
      </c>
      <c r="F192" s="16" t="s">
        <v>1410</v>
      </c>
      <c r="G192" s="17">
        <v>34806</v>
      </c>
      <c r="H192" s="16" t="s">
        <v>1411</v>
      </c>
      <c r="I192" s="16">
        <v>188</v>
      </c>
      <c r="J192" s="16">
        <v>90</v>
      </c>
      <c r="K192" s="16">
        <v>30</v>
      </c>
      <c r="L192" s="16" t="s">
        <v>1410</v>
      </c>
    </row>
    <row r="193" spans="1:12" x14ac:dyDescent="0.4">
      <c r="A193" s="16" t="s">
        <v>282</v>
      </c>
      <c r="B193" s="16">
        <v>10</v>
      </c>
      <c r="C193" s="16" t="s">
        <v>691</v>
      </c>
      <c r="D193" s="16" t="s">
        <v>1412</v>
      </c>
      <c r="E193" s="16" t="s">
        <v>1413</v>
      </c>
      <c r="F193" s="16" t="s">
        <v>1414</v>
      </c>
      <c r="G193" s="17">
        <v>36539</v>
      </c>
      <c r="H193" s="16" t="s">
        <v>1204</v>
      </c>
      <c r="I193" s="16">
        <v>175</v>
      </c>
      <c r="J193" s="16">
        <v>77</v>
      </c>
      <c r="K193" s="16">
        <v>39</v>
      </c>
      <c r="L193" s="16" t="s">
        <v>1415</v>
      </c>
    </row>
    <row r="194" spans="1:12" x14ac:dyDescent="0.4">
      <c r="A194" s="16" t="s">
        <v>282</v>
      </c>
      <c r="B194" s="16">
        <v>11</v>
      </c>
      <c r="C194" s="16" t="s">
        <v>686</v>
      </c>
      <c r="D194" s="16" t="s">
        <v>1416</v>
      </c>
      <c r="E194" s="16" t="s">
        <v>1417</v>
      </c>
      <c r="F194" s="16" t="s">
        <v>1418</v>
      </c>
      <c r="G194" s="17">
        <v>36430</v>
      </c>
      <c r="H194" s="16" t="s">
        <v>1114</v>
      </c>
      <c r="I194" s="16">
        <v>176</v>
      </c>
      <c r="J194" s="16">
        <v>41</v>
      </c>
      <c r="K194" s="16">
        <v>1</v>
      </c>
      <c r="L194" s="16" t="s">
        <v>1418</v>
      </c>
    </row>
    <row r="195" spans="1:12" x14ac:dyDescent="0.4">
      <c r="A195" s="16" t="s">
        <v>282</v>
      </c>
      <c r="B195" s="16">
        <v>12</v>
      </c>
      <c r="C195" s="16" t="s">
        <v>691</v>
      </c>
      <c r="D195" s="16" t="s">
        <v>1419</v>
      </c>
      <c r="E195" s="16" t="s">
        <v>1420</v>
      </c>
      <c r="F195" s="16" t="s">
        <v>1421</v>
      </c>
      <c r="G195" s="17">
        <v>36661</v>
      </c>
      <c r="H195" s="16" t="s">
        <v>1274</v>
      </c>
      <c r="I195" s="16">
        <v>187</v>
      </c>
      <c r="J195" s="16">
        <v>24</v>
      </c>
      <c r="K195" s="16">
        <v>2</v>
      </c>
      <c r="L195" s="16" t="s">
        <v>1421</v>
      </c>
    </row>
    <row r="196" spans="1:12" x14ac:dyDescent="0.4">
      <c r="A196" s="16" t="s">
        <v>282</v>
      </c>
      <c r="B196" s="16">
        <v>13</v>
      </c>
      <c r="C196" s="16" t="s">
        <v>669</v>
      </c>
      <c r="D196" s="16" t="s">
        <v>1422</v>
      </c>
      <c r="E196" s="16" t="s">
        <v>1423</v>
      </c>
      <c r="F196" s="16" t="s">
        <v>1424</v>
      </c>
      <c r="G196" s="17">
        <v>35759</v>
      </c>
      <c r="H196" s="16" t="s">
        <v>1048</v>
      </c>
      <c r="I196" s="16">
        <v>186</v>
      </c>
      <c r="J196" s="16">
        <v>44</v>
      </c>
      <c r="K196" s="16">
        <v>1</v>
      </c>
      <c r="L196" s="16" t="s">
        <v>1424</v>
      </c>
    </row>
    <row r="197" spans="1:12" x14ac:dyDescent="0.4">
      <c r="A197" s="16" t="s">
        <v>282</v>
      </c>
      <c r="B197" s="16">
        <v>14</v>
      </c>
      <c r="C197" s="16" t="s">
        <v>686</v>
      </c>
      <c r="D197" s="16" t="s">
        <v>1425</v>
      </c>
      <c r="E197" s="16" t="s">
        <v>1426</v>
      </c>
      <c r="F197" s="16" t="s">
        <v>1427</v>
      </c>
      <c r="G197" s="17">
        <v>36490</v>
      </c>
      <c r="H197" s="16" t="s">
        <v>1399</v>
      </c>
      <c r="I197" s="16">
        <v>181</v>
      </c>
      <c r="J197" s="16">
        <v>31</v>
      </c>
      <c r="K197" s="16">
        <v>6</v>
      </c>
      <c r="L197" s="16" t="s">
        <v>1427</v>
      </c>
    </row>
    <row r="198" spans="1:12" x14ac:dyDescent="0.4">
      <c r="A198" s="16" t="s">
        <v>282</v>
      </c>
      <c r="B198" s="16">
        <v>15</v>
      </c>
      <c r="C198" s="16" t="s">
        <v>669</v>
      </c>
      <c r="D198" s="16" t="s">
        <v>1428</v>
      </c>
      <c r="E198" s="16" t="s">
        <v>1429</v>
      </c>
      <c r="F198" s="16" t="s">
        <v>1430</v>
      </c>
      <c r="G198" s="17">
        <v>36615</v>
      </c>
      <c r="H198" s="16" t="s">
        <v>723</v>
      </c>
      <c r="I198" s="16">
        <v>190</v>
      </c>
      <c r="J198" s="16">
        <v>20</v>
      </c>
      <c r="K198" s="16">
        <v>0</v>
      </c>
      <c r="L198" s="16" t="s">
        <v>1431</v>
      </c>
    </row>
    <row r="199" spans="1:12" x14ac:dyDescent="0.4">
      <c r="A199" s="16" t="s">
        <v>282</v>
      </c>
      <c r="B199" s="16">
        <v>16</v>
      </c>
      <c r="C199" s="16" t="s">
        <v>664</v>
      </c>
      <c r="D199" s="16" t="s">
        <v>1432</v>
      </c>
      <c r="E199" s="16" t="s">
        <v>1433</v>
      </c>
      <c r="F199" s="16" t="s">
        <v>1434</v>
      </c>
      <c r="G199" s="17">
        <v>34465</v>
      </c>
      <c r="H199" s="16" t="s">
        <v>1435</v>
      </c>
      <c r="I199" s="16">
        <v>185</v>
      </c>
      <c r="J199" s="16">
        <v>32</v>
      </c>
      <c r="K199" s="16">
        <v>0</v>
      </c>
      <c r="L199" s="16" t="s">
        <v>1434</v>
      </c>
    </row>
    <row r="200" spans="1:12" x14ac:dyDescent="0.4">
      <c r="A200" s="16" t="s">
        <v>282</v>
      </c>
      <c r="B200" s="16">
        <v>17</v>
      </c>
      <c r="C200" s="16" t="s">
        <v>691</v>
      </c>
      <c r="D200" s="16" t="s">
        <v>1436</v>
      </c>
      <c r="E200" s="16" t="s">
        <v>1437</v>
      </c>
      <c r="F200" s="16" t="s">
        <v>1438</v>
      </c>
      <c r="G200" s="17">
        <v>36199</v>
      </c>
      <c r="H200" s="16" t="s">
        <v>1274</v>
      </c>
      <c r="I200" s="16">
        <v>183</v>
      </c>
      <c r="J200" s="16">
        <v>60</v>
      </c>
      <c r="K200" s="16">
        <v>8</v>
      </c>
      <c r="L200" s="16" t="s">
        <v>1438</v>
      </c>
    </row>
    <row r="201" spans="1:12" x14ac:dyDescent="0.4">
      <c r="A201" s="16" t="s">
        <v>282</v>
      </c>
      <c r="B201" s="16">
        <v>18</v>
      </c>
      <c r="C201" s="16" t="s">
        <v>664</v>
      </c>
      <c r="D201" s="16" t="s">
        <v>1439</v>
      </c>
      <c r="E201" s="16" t="s">
        <v>1440</v>
      </c>
      <c r="F201" s="16" t="s">
        <v>1441</v>
      </c>
      <c r="G201" s="17">
        <v>37952</v>
      </c>
      <c r="H201" s="16" t="s">
        <v>1442</v>
      </c>
      <c r="I201" s="16">
        <v>193</v>
      </c>
      <c r="J201" s="16">
        <v>0</v>
      </c>
      <c r="K201" s="16">
        <v>0</v>
      </c>
      <c r="L201" s="16" t="s">
        <v>1441</v>
      </c>
    </row>
    <row r="202" spans="1:12" x14ac:dyDescent="0.4">
      <c r="A202" s="16" t="s">
        <v>282</v>
      </c>
      <c r="B202" s="16">
        <v>19</v>
      </c>
      <c r="C202" s="16" t="s">
        <v>669</v>
      </c>
      <c r="D202" s="16" t="s">
        <v>1443</v>
      </c>
      <c r="E202" s="16" t="s">
        <v>1444</v>
      </c>
      <c r="F202" s="16" t="s">
        <v>1445</v>
      </c>
      <c r="G202" s="17">
        <v>36832</v>
      </c>
      <c r="H202" s="16" t="s">
        <v>944</v>
      </c>
      <c r="I202" s="16">
        <v>183</v>
      </c>
      <c r="J202" s="16">
        <v>58</v>
      </c>
      <c r="K202" s="16">
        <v>15</v>
      </c>
      <c r="L202" s="16" t="s">
        <v>1445</v>
      </c>
    </row>
    <row r="203" spans="1:12" x14ac:dyDescent="0.4">
      <c r="A203" s="16" t="s">
        <v>282</v>
      </c>
      <c r="B203" s="16">
        <v>20</v>
      </c>
      <c r="C203" s="16" t="s">
        <v>691</v>
      </c>
      <c r="D203" s="16" t="s">
        <v>1446</v>
      </c>
      <c r="E203" s="16" t="s">
        <v>1447</v>
      </c>
      <c r="F203" s="16" t="s">
        <v>1448</v>
      </c>
      <c r="G203" s="17">
        <v>36809</v>
      </c>
      <c r="H203" s="16" t="s">
        <v>803</v>
      </c>
      <c r="I203" s="16">
        <v>180</v>
      </c>
      <c r="J203" s="16">
        <v>24</v>
      </c>
      <c r="K203" s="16">
        <v>1</v>
      </c>
      <c r="L203" s="16" t="s">
        <v>1448</v>
      </c>
    </row>
    <row r="204" spans="1:12" x14ac:dyDescent="0.4">
      <c r="A204" s="16" t="s">
        <v>282</v>
      </c>
      <c r="B204" s="16">
        <v>21</v>
      </c>
      <c r="C204" s="16" t="s">
        <v>686</v>
      </c>
      <c r="D204" s="16" t="s">
        <v>1449</v>
      </c>
      <c r="E204" s="16" t="s">
        <v>1450</v>
      </c>
      <c r="F204" s="16" t="s">
        <v>1451</v>
      </c>
      <c r="G204" s="17">
        <v>33767</v>
      </c>
      <c r="H204" s="16" t="s">
        <v>1452</v>
      </c>
      <c r="I204" s="16">
        <v>175</v>
      </c>
      <c r="J204" s="16">
        <v>90</v>
      </c>
      <c r="K204" s="16">
        <v>10</v>
      </c>
      <c r="L204" s="16" t="s">
        <v>1451</v>
      </c>
    </row>
    <row r="205" spans="1:12" x14ac:dyDescent="0.4">
      <c r="A205" s="16" t="s">
        <v>282</v>
      </c>
      <c r="B205" s="16">
        <v>22</v>
      </c>
      <c r="C205" s="16" t="s">
        <v>669</v>
      </c>
      <c r="D205" s="16" t="s">
        <v>1453</v>
      </c>
      <c r="E205" s="16" t="s">
        <v>1454</v>
      </c>
      <c r="F205" s="16" t="s">
        <v>1455</v>
      </c>
      <c r="G205" s="17">
        <v>34706</v>
      </c>
      <c r="H205" s="16" t="s">
        <v>1452</v>
      </c>
      <c r="I205" s="16">
        <v>175</v>
      </c>
      <c r="J205" s="16">
        <v>75</v>
      </c>
      <c r="K205" s="16">
        <v>1</v>
      </c>
      <c r="L205" s="16" t="s">
        <v>1455</v>
      </c>
    </row>
    <row r="206" spans="1:12" x14ac:dyDescent="0.4">
      <c r="A206" s="16" t="s">
        <v>282</v>
      </c>
      <c r="B206" s="16">
        <v>23</v>
      </c>
      <c r="C206" s="16" t="s">
        <v>669</v>
      </c>
      <c r="D206" s="16" t="s">
        <v>1456</v>
      </c>
      <c r="E206" s="16" t="s">
        <v>1457</v>
      </c>
      <c r="F206" s="16" t="s">
        <v>1458</v>
      </c>
      <c r="G206" s="17">
        <v>37873</v>
      </c>
      <c r="H206" s="16" t="s">
        <v>1459</v>
      </c>
      <c r="I206" s="16">
        <v>178</v>
      </c>
      <c r="J206" s="16">
        <v>19</v>
      </c>
      <c r="K206" s="16">
        <v>2</v>
      </c>
      <c r="L206" s="16" t="s">
        <v>1458</v>
      </c>
    </row>
    <row r="207" spans="1:12" x14ac:dyDescent="0.4">
      <c r="A207" s="16" t="s">
        <v>282</v>
      </c>
      <c r="B207" s="16">
        <v>24</v>
      </c>
      <c r="C207" s="16" t="s">
        <v>691</v>
      </c>
      <c r="D207" s="16" t="s">
        <v>1460</v>
      </c>
      <c r="E207" s="16" t="s">
        <v>1461</v>
      </c>
      <c r="F207" s="16" t="s">
        <v>1462</v>
      </c>
      <c r="G207" s="17">
        <v>37075</v>
      </c>
      <c r="H207" s="16" t="s">
        <v>1463</v>
      </c>
      <c r="I207" s="16">
        <v>195</v>
      </c>
      <c r="J207" s="16">
        <v>10</v>
      </c>
      <c r="K207" s="16">
        <v>3</v>
      </c>
      <c r="L207" s="16" t="s">
        <v>1415</v>
      </c>
    </row>
    <row r="208" spans="1:12" x14ac:dyDescent="0.4">
      <c r="A208" s="16" t="s">
        <v>282</v>
      </c>
      <c r="B208" s="16">
        <v>25</v>
      </c>
      <c r="C208" s="16" t="s">
        <v>686</v>
      </c>
      <c r="D208" s="16" t="s">
        <v>1464</v>
      </c>
      <c r="E208" s="16" t="s">
        <v>1465</v>
      </c>
      <c r="F208" s="16" t="s">
        <v>1466</v>
      </c>
      <c r="G208" s="17">
        <v>38024</v>
      </c>
      <c r="H208" s="16" t="s">
        <v>1467</v>
      </c>
      <c r="I208" s="16">
        <v>174</v>
      </c>
      <c r="J208" s="16">
        <v>15</v>
      </c>
      <c r="K208" s="16">
        <v>2</v>
      </c>
      <c r="L208" s="16" t="s">
        <v>1466</v>
      </c>
    </row>
    <row r="209" spans="1:12" x14ac:dyDescent="0.4">
      <c r="A209" s="16" t="s">
        <v>282</v>
      </c>
      <c r="B209" s="16">
        <v>26</v>
      </c>
      <c r="C209" s="16" t="s">
        <v>691</v>
      </c>
      <c r="D209" s="16" t="s">
        <v>1468</v>
      </c>
      <c r="E209" s="16" t="s">
        <v>1469</v>
      </c>
      <c r="F209" s="16" t="s">
        <v>1470</v>
      </c>
      <c r="G209" s="17">
        <v>37525</v>
      </c>
      <c r="H209" s="16" t="s">
        <v>1471</v>
      </c>
      <c r="I209" s="16">
        <v>170</v>
      </c>
      <c r="J209" s="16">
        <v>14</v>
      </c>
      <c r="K209" s="16">
        <v>3</v>
      </c>
      <c r="L209" s="16" t="s">
        <v>1470</v>
      </c>
    </row>
    <row r="210" spans="1:12" x14ac:dyDescent="0.4">
      <c r="A210" s="16" t="s">
        <v>297</v>
      </c>
      <c r="B210" s="16">
        <v>1</v>
      </c>
      <c r="C210" s="16" t="s">
        <v>664</v>
      </c>
      <c r="D210" s="16" t="s">
        <v>1472</v>
      </c>
      <c r="E210" s="16" t="s">
        <v>1473</v>
      </c>
      <c r="F210" s="16" t="s">
        <v>1474</v>
      </c>
      <c r="G210" s="17">
        <v>34460</v>
      </c>
      <c r="H210" s="16" t="s">
        <v>1475</v>
      </c>
      <c r="I210" s="16">
        <v>193</v>
      </c>
      <c r="J210" s="16">
        <v>4</v>
      </c>
      <c r="K210" s="16">
        <v>0</v>
      </c>
      <c r="L210" s="16" t="s">
        <v>1474</v>
      </c>
    </row>
    <row r="211" spans="1:12" x14ac:dyDescent="0.4">
      <c r="A211" s="16" t="s">
        <v>297</v>
      </c>
      <c r="B211" s="16">
        <v>2</v>
      </c>
      <c r="C211" s="16" t="s">
        <v>669</v>
      </c>
      <c r="D211" s="16" t="s">
        <v>1476</v>
      </c>
      <c r="E211" s="16" t="s">
        <v>1477</v>
      </c>
      <c r="F211" s="16" t="s">
        <v>1478</v>
      </c>
      <c r="G211" s="17">
        <v>35560</v>
      </c>
      <c r="H211" s="16" t="s">
        <v>1252</v>
      </c>
      <c r="I211" s="16">
        <v>185</v>
      </c>
      <c r="J211" s="16">
        <v>3</v>
      </c>
      <c r="K211" s="16">
        <v>0</v>
      </c>
      <c r="L211" s="16" t="s">
        <v>1479</v>
      </c>
    </row>
    <row r="212" spans="1:12" x14ac:dyDescent="0.4">
      <c r="A212" s="16" t="s">
        <v>297</v>
      </c>
      <c r="B212" s="16">
        <v>3</v>
      </c>
      <c r="C212" s="16" t="s">
        <v>669</v>
      </c>
      <c r="D212" s="16" t="s">
        <v>1480</v>
      </c>
      <c r="E212" s="16" t="s">
        <v>1481</v>
      </c>
      <c r="F212" s="16" t="s">
        <v>1482</v>
      </c>
      <c r="G212" s="17">
        <v>33847</v>
      </c>
      <c r="H212" s="16" t="s">
        <v>1225</v>
      </c>
      <c r="I212" s="16">
        <v>172</v>
      </c>
      <c r="J212" s="16">
        <v>76</v>
      </c>
      <c r="K212" s="16">
        <v>1</v>
      </c>
      <c r="L212" s="16" t="s">
        <v>1482</v>
      </c>
    </row>
    <row r="213" spans="1:12" x14ac:dyDescent="0.4">
      <c r="A213" s="16" t="s">
        <v>297</v>
      </c>
      <c r="B213" s="16">
        <v>4</v>
      </c>
      <c r="C213" s="16" t="s">
        <v>669</v>
      </c>
      <c r="D213" s="16" t="s">
        <v>1483</v>
      </c>
      <c r="E213" s="16" t="s">
        <v>1484</v>
      </c>
      <c r="F213" s="16" t="s">
        <v>1485</v>
      </c>
      <c r="G213" s="17">
        <v>35431</v>
      </c>
      <c r="H213" s="16" t="s">
        <v>1486</v>
      </c>
      <c r="I213" s="16">
        <v>175</v>
      </c>
      <c r="J213" s="16">
        <v>39</v>
      </c>
      <c r="K213" s="16">
        <v>2</v>
      </c>
      <c r="L213" s="16" t="s">
        <v>1485</v>
      </c>
    </row>
    <row r="214" spans="1:12" x14ac:dyDescent="0.4">
      <c r="A214" s="16" t="s">
        <v>297</v>
      </c>
      <c r="B214" s="16">
        <v>5</v>
      </c>
      <c r="C214" s="16" t="s">
        <v>686</v>
      </c>
      <c r="D214" s="16" t="s">
        <v>1487</v>
      </c>
      <c r="E214" s="16" t="s">
        <v>1488</v>
      </c>
      <c r="F214" s="16" t="s">
        <v>1489</v>
      </c>
      <c r="G214" s="17">
        <v>34514</v>
      </c>
      <c r="H214" s="16" t="s">
        <v>1490</v>
      </c>
      <c r="I214" s="16">
        <v>182</v>
      </c>
      <c r="J214" s="16">
        <v>77</v>
      </c>
      <c r="K214" s="16">
        <v>5</v>
      </c>
      <c r="L214" s="16" t="s">
        <v>1489</v>
      </c>
    </row>
    <row r="215" spans="1:12" x14ac:dyDescent="0.4">
      <c r="A215" s="16" t="s">
        <v>297</v>
      </c>
      <c r="B215" s="16">
        <v>6</v>
      </c>
      <c r="C215" s="16" t="s">
        <v>669</v>
      </c>
      <c r="D215" s="16" t="s">
        <v>1491</v>
      </c>
      <c r="E215" s="16" t="s">
        <v>1492</v>
      </c>
      <c r="F215" s="16" t="s">
        <v>1493</v>
      </c>
      <c r="G215" s="17">
        <v>35813</v>
      </c>
      <c r="H215" s="16" t="s">
        <v>1007</v>
      </c>
      <c r="I215" s="16">
        <v>175</v>
      </c>
      <c r="J215" s="16">
        <v>28</v>
      </c>
      <c r="K215" s="16">
        <v>1</v>
      </c>
      <c r="L215" s="16" t="s">
        <v>1493</v>
      </c>
    </row>
    <row r="216" spans="1:12" x14ac:dyDescent="0.4">
      <c r="A216" s="16" t="s">
        <v>297</v>
      </c>
      <c r="B216" s="16">
        <v>7</v>
      </c>
      <c r="C216" s="16" t="s">
        <v>686</v>
      </c>
      <c r="D216" s="16" t="s">
        <v>1494</v>
      </c>
      <c r="E216" s="16" t="s">
        <v>1495</v>
      </c>
      <c r="F216" s="16" t="s">
        <v>1496</v>
      </c>
      <c r="G216" s="17">
        <v>34478</v>
      </c>
      <c r="H216" s="16" t="s">
        <v>1378</v>
      </c>
      <c r="I216" s="16">
        <v>178</v>
      </c>
      <c r="J216" s="16">
        <v>87</v>
      </c>
      <c r="K216" s="16">
        <v>2</v>
      </c>
      <c r="L216" s="16" t="s">
        <v>1496</v>
      </c>
    </row>
    <row r="217" spans="1:12" x14ac:dyDescent="0.4">
      <c r="A217" s="16" t="s">
        <v>297</v>
      </c>
      <c r="B217" s="16">
        <v>8</v>
      </c>
      <c r="C217" s="16" t="s">
        <v>686</v>
      </c>
      <c r="D217" s="16" t="s">
        <v>1497</v>
      </c>
      <c r="E217" s="16" t="s">
        <v>1498</v>
      </c>
      <c r="F217" s="16" t="s">
        <v>1499</v>
      </c>
      <c r="G217" s="17">
        <v>38191</v>
      </c>
      <c r="H217" s="16" t="s">
        <v>1011</v>
      </c>
      <c r="I217" s="16">
        <v>172</v>
      </c>
      <c r="J217" s="16">
        <v>4</v>
      </c>
      <c r="K217" s="16">
        <v>2</v>
      </c>
      <c r="L217" s="16" t="s">
        <v>1499</v>
      </c>
    </row>
    <row r="218" spans="1:12" x14ac:dyDescent="0.4">
      <c r="A218" s="16" t="s">
        <v>297</v>
      </c>
      <c r="B218" s="16">
        <v>9</v>
      </c>
      <c r="C218" s="16" t="s">
        <v>691</v>
      </c>
      <c r="D218" s="16" t="s">
        <v>1500</v>
      </c>
      <c r="E218" s="16" t="s">
        <v>1501</v>
      </c>
      <c r="F218" s="16" t="s">
        <v>1502</v>
      </c>
      <c r="G218" s="17">
        <v>36556</v>
      </c>
      <c r="H218" s="16" t="s">
        <v>1475</v>
      </c>
      <c r="I218" s="16">
        <v>170</v>
      </c>
      <c r="J218" s="16">
        <v>51</v>
      </c>
      <c r="K218" s="16">
        <v>14</v>
      </c>
      <c r="L218" s="16" t="s">
        <v>1503</v>
      </c>
    </row>
    <row r="219" spans="1:12" x14ac:dyDescent="0.4">
      <c r="A219" s="16" t="s">
        <v>297</v>
      </c>
      <c r="B219" s="16">
        <v>10</v>
      </c>
      <c r="C219" s="16" t="s">
        <v>691</v>
      </c>
      <c r="D219" s="16" t="s">
        <v>1504</v>
      </c>
      <c r="E219" s="16" t="s">
        <v>1505</v>
      </c>
      <c r="F219" s="16" t="s">
        <v>1506</v>
      </c>
      <c r="G219" s="17">
        <v>31952</v>
      </c>
      <c r="H219" s="16" t="s">
        <v>1378</v>
      </c>
      <c r="I219" s="16">
        <v>170</v>
      </c>
      <c r="J219" s="16">
        <v>199</v>
      </c>
      <c r="K219" s="16">
        <v>117</v>
      </c>
      <c r="L219" s="16" t="s">
        <v>1506</v>
      </c>
    </row>
    <row r="220" spans="1:12" x14ac:dyDescent="0.4">
      <c r="A220" s="16" t="s">
        <v>297</v>
      </c>
      <c r="B220" s="16">
        <v>11</v>
      </c>
      <c r="C220" s="16" t="s">
        <v>686</v>
      </c>
      <c r="D220" s="16" t="s">
        <v>1507</v>
      </c>
      <c r="E220" s="16" t="s">
        <v>1508</v>
      </c>
      <c r="F220" s="16" t="s">
        <v>1509</v>
      </c>
      <c r="G220" s="17">
        <v>35164</v>
      </c>
      <c r="H220" s="16" t="s">
        <v>1510</v>
      </c>
      <c r="I220" s="16">
        <v>177</v>
      </c>
      <c r="J220" s="16">
        <v>67</v>
      </c>
      <c r="K220" s="16">
        <v>4</v>
      </c>
      <c r="L220" s="16" t="s">
        <v>1509</v>
      </c>
    </row>
    <row r="221" spans="1:12" x14ac:dyDescent="0.4">
      <c r="A221" s="16" t="s">
        <v>297</v>
      </c>
      <c r="B221" s="16">
        <v>12</v>
      </c>
      <c r="C221" s="16" t="s">
        <v>664</v>
      </c>
      <c r="D221" s="16" t="s">
        <v>1511</v>
      </c>
      <c r="E221" s="16" t="s">
        <v>1512</v>
      </c>
      <c r="F221" s="16" t="s">
        <v>1513</v>
      </c>
      <c r="G221" s="17">
        <v>33744</v>
      </c>
      <c r="H221" s="16" t="s">
        <v>703</v>
      </c>
      <c r="I221" s="16">
        <v>189</v>
      </c>
      <c r="J221" s="16">
        <v>8</v>
      </c>
      <c r="K221" s="16">
        <v>0</v>
      </c>
      <c r="L221" s="16" t="s">
        <v>1513</v>
      </c>
    </row>
    <row r="222" spans="1:12" x14ac:dyDescent="0.4">
      <c r="A222" s="16" t="s">
        <v>297</v>
      </c>
      <c r="B222" s="16">
        <v>13</v>
      </c>
      <c r="C222" s="16" t="s">
        <v>669</v>
      </c>
      <c r="D222" s="16" t="s">
        <v>1514</v>
      </c>
      <c r="E222" s="16" t="s">
        <v>1515</v>
      </c>
      <c r="F222" s="16" t="s">
        <v>1516</v>
      </c>
      <c r="G222" s="17">
        <v>35912</v>
      </c>
      <c r="H222" s="16" t="s">
        <v>879</v>
      </c>
      <c r="I222" s="16">
        <v>185</v>
      </c>
      <c r="J222" s="16">
        <v>51</v>
      </c>
      <c r="K222" s="16">
        <v>3</v>
      </c>
      <c r="L222" s="16" t="s">
        <v>1516</v>
      </c>
    </row>
    <row r="223" spans="1:12" x14ac:dyDescent="0.4">
      <c r="A223" s="16" t="s">
        <v>297</v>
      </c>
      <c r="B223" s="16">
        <v>14</v>
      </c>
      <c r="C223" s="16" t="s">
        <v>686</v>
      </c>
      <c r="D223" s="16" t="s">
        <v>1517</v>
      </c>
      <c r="E223" s="16" t="s">
        <v>1518</v>
      </c>
      <c r="F223" s="16" t="s">
        <v>1519</v>
      </c>
      <c r="G223" s="17">
        <v>36073</v>
      </c>
      <c r="H223" s="16" t="s">
        <v>753</v>
      </c>
      <c r="I223" s="16">
        <v>177</v>
      </c>
      <c r="J223" s="16">
        <v>40</v>
      </c>
      <c r="K223" s="16">
        <v>0</v>
      </c>
      <c r="L223" s="16" t="s">
        <v>1519</v>
      </c>
    </row>
    <row r="224" spans="1:12" x14ac:dyDescent="0.4">
      <c r="A224" s="16" t="s">
        <v>297</v>
      </c>
      <c r="B224" s="16">
        <v>15</v>
      </c>
      <c r="C224" s="16" t="s">
        <v>686</v>
      </c>
      <c r="D224" s="16" t="s">
        <v>1520</v>
      </c>
      <c r="E224" s="16" t="s">
        <v>1521</v>
      </c>
      <c r="F224" s="16" t="s">
        <v>1522</v>
      </c>
      <c r="G224" s="17">
        <v>35891</v>
      </c>
      <c r="H224" s="16" t="s">
        <v>1475</v>
      </c>
      <c r="I224" s="16">
        <v>180</v>
      </c>
      <c r="J224" s="16">
        <v>51</v>
      </c>
      <c r="K224" s="16">
        <v>6</v>
      </c>
      <c r="L224" s="16" t="s">
        <v>1523</v>
      </c>
    </row>
    <row r="225" spans="1:12" x14ac:dyDescent="0.4">
      <c r="A225" s="16" t="s">
        <v>297</v>
      </c>
      <c r="B225" s="16">
        <v>16</v>
      </c>
      <c r="C225" s="16" t="s">
        <v>691</v>
      </c>
      <c r="D225" s="16" t="s">
        <v>1524</v>
      </c>
      <c r="E225" s="16" t="s">
        <v>1525</v>
      </c>
      <c r="F225" s="16" t="s">
        <v>1526</v>
      </c>
      <c r="G225" s="17">
        <v>37007</v>
      </c>
      <c r="H225" s="16" t="s">
        <v>1475</v>
      </c>
      <c r="I225" s="16">
        <v>171</v>
      </c>
      <c r="J225" s="16">
        <v>16</v>
      </c>
      <c r="K225" s="16">
        <v>5</v>
      </c>
      <c r="L225" s="16" t="s">
        <v>1526</v>
      </c>
    </row>
    <row r="226" spans="1:12" x14ac:dyDescent="0.4">
      <c r="A226" s="16" t="s">
        <v>297</v>
      </c>
      <c r="B226" s="16">
        <v>17</v>
      </c>
      <c r="C226" s="16" t="s">
        <v>691</v>
      </c>
      <c r="D226" s="16" t="s">
        <v>1527</v>
      </c>
      <c r="E226" s="16" t="s">
        <v>1528</v>
      </c>
      <c r="F226" s="16" t="s">
        <v>1529</v>
      </c>
      <c r="G226" s="17">
        <v>37608</v>
      </c>
      <c r="H226" s="16" t="s">
        <v>1475</v>
      </c>
      <c r="I226" s="16">
        <v>174</v>
      </c>
      <c r="J226" s="16">
        <v>13</v>
      </c>
      <c r="K226" s="16">
        <v>2</v>
      </c>
      <c r="L226" s="16" t="s">
        <v>1529</v>
      </c>
    </row>
    <row r="227" spans="1:12" x14ac:dyDescent="0.4">
      <c r="A227" s="16" t="s">
        <v>297</v>
      </c>
      <c r="B227" s="16">
        <v>18</v>
      </c>
      <c r="C227" s="16" t="s">
        <v>691</v>
      </c>
      <c r="D227" s="16" t="s">
        <v>1530</v>
      </c>
      <c r="E227" s="16" t="s">
        <v>889</v>
      </c>
      <c r="F227" s="16" t="s">
        <v>1531</v>
      </c>
      <c r="G227" s="17">
        <v>38238</v>
      </c>
      <c r="H227" s="16" t="s">
        <v>1532</v>
      </c>
      <c r="I227" s="16">
        <v>185</v>
      </c>
      <c r="J227" s="16">
        <v>9</v>
      </c>
      <c r="K227" s="16">
        <v>1</v>
      </c>
      <c r="L227" s="16" t="s">
        <v>1533</v>
      </c>
    </row>
    <row r="228" spans="1:12" x14ac:dyDescent="0.4">
      <c r="A228" s="16" t="s">
        <v>297</v>
      </c>
      <c r="B228" s="16">
        <v>19</v>
      </c>
      <c r="C228" s="16" t="s">
        <v>669</v>
      </c>
      <c r="D228" s="16" t="s">
        <v>1534</v>
      </c>
      <c r="E228" s="16" t="s">
        <v>1535</v>
      </c>
      <c r="F228" s="16" t="s">
        <v>1536</v>
      </c>
      <c r="G228" s="17">
        <v>32185</v>
      </c>
      <c r="H228" s="16" t="s">
        <v>1083</v>
      </c>
      <c r="I228" s="16">
        <v>182</v>
      </c>
      <c r="J228" s="16">
        <v>132</v>
      </c>
      <c r="K228" s="16">
        <v>8</v>
      </c>
      <c r="L228" s="16" t="s">
        <v>1536</v>
      </c>
    </row>
    <row r="229" spans="1:12" x14ac:dyDescent="0.4">
      <c r="A229" s="16" t="s">
        <v>297</v>
      </c>
      <c r="B229" s="16">
        <v>20</v>
      </c>
      <c r="C229" s="16" t="s">
        <v>686</v>
      </c>
      <c r="D229" s="16" t="s">
        <v>1537</v>
      </c>
      <c r="E229" s="16" t="s">
        <v>1538</v>
      </c>
      <c r="F229" s="16" t="s">
        <v>1539</v>
      </c>
      <c r="G229" s="17">
        <v>36153</v>
      </c>
      <c r="H229" s="16" t="s">
        <v>1153</v>
      </c>
      <c r="I229" s="16">
        <v>176</v>
      </c>
      <c r="J229" s="16">
        <v>46</v>
      </c>
      <c r="K229" s="16">
        <v>6</v>
      </c>
      <c r="L229" s="16" t="s">
        <v>1539</v>
      </c>
    </row>
    <row r="230" spans="1:12" x14ac:dyDescent="0.4">
      <c r="A230" s="16" t="s">
        <v>297</v>
      </c>
      <c r="B230" s="16">
        <v>21</v>
      </c>
      <c r="C230" s="16" t="s">
        <v>691</v>
      </c>
      <c r="D230" s="16" t="s">
        <v>1540</v>
      </c>
      <c r="E230" s="16" t="s">
        <v>1541</v>
      </c>
      <c r="F230" s="16" t="s">
        <v>1542</v>
      </c>
      <c r="G230" s="17">
        <v>36866</v>
      </c>
      <c r="H230" s="16" t="s">
        <v>1543</v>
      </c>
      <c r="I230" s="16">
        <v>190</v>
      </c>
      <c r="J230" s="16">
        <v>5</v>
      </c>
      <c r="K230" s="16">
        <v>0</v>
      </c>
      <c r="L230" s="16" t="s">
        <v>1542</v>
      </c>
    </row>
    <row r="231" spans="1:12" x14ac:dyDescent="0.4">
      <c r="A231" s="16" t="s">
        <v>297</v>
      </c>
      <c r="B231" s="16">
        <v>22</v>
      </c>
      <c r="C231" s="16" t="s">
        <v>691</v>
      </c>
      <c r="D231" s="16" t="s">
        <v>1544</v>
      </c>
      <c r="E231" s="16" t="s">
        <v>1545</v>
      </c>
      <c r="F231" s="16" t="s">
        <v>1546</v>
      </c>
      <c r="G231" s="17">
        <v>35664</v>
      </c>
      <c r="H231" s="16" t="s">
        <v>1547</v>
      </c>
      <c r="I231" s="16">
        <v>175</v>
      </c>
      <c r="J231" s="16">
        <v>77</v>
      </c>
      <c r="K231" s="16">
        <v>37</v>
      </c>
      <c r="L231" s="16" t="s">
        <v>1493</v>
      </c>
    </row>
    <row r="232" spans="1:12" x14ac:dyDescent="0.4">
      <c r="A232" s="16" t="s">
        <v>297</v>
      </c>
      <c r="B232" s="16">
        <v>23</v>
      </c>
      <c r="C232" s="16" t="s">
        <v>664</v>
      </c>
      <c r="D232" s="16" t="s">
        <v>1548</v>
      </c>
      <c r="E232" s="16" t="s">
        <v>1549</v>
      </c>
      <c r="F232" s="16" t="s">
        <v>1550</v>
      </c>
      <c r="G232" s="17">
        <v>33849</v>
      </c>
      <c r="H232" s="16" t="s">
        <v>992</v>
      </c>
      <c r="I232" s="16">
        <v>195</v>
      </c>
      <c r="J232" s="16">
        <v>59</v>
      </c>
      <c r="K232" s="16">
        <v>0</v>
      </c>
      <c r="L232" s="16" t="s">
        <v>1493</v>
      </c>
    </row>
    <row r="233" spans="1:12" x14ac:dyDescent="0.4">
      <c r="A233" s="16" t="s">
        <v>297</v>
      </c>
      <c r="B233" s="16">
        <v>24</v>
      </c>
      <c r="C233" s="16" t="s">
        <v>686</v>
      </c>
      <c r="D233" s="16" t="s">
        <v>1551</v>
      </c>
      <c r="E233" s="16" t="s">
        <v>1552</v>
      </c>
      <c r="F233" s="16" t="s">
        <v>1553</v>
      </c>
      <c r="G233" s="17">
        <v>36908</v>
      </c>
      <c r="H233" s="16" t="s">
        <v>1554</v>
      </c>
      <c r="I233" s="16">
        <v>178</v>
      </c>
      <c r="J233" s="16">
        <v>42</v>
      </c>
      <c r="K233" s="16">
        <v>6</v>
      </c>
      <c r="L233" s="16" t="s">
        <v>1555</v>
      </c>
    </row>
    <row r="234" spans="1:12" x14ac:dyDescent="0.4">
      <c r="A234" s="16" t="s">
        <v>297</v>
      </c>
      <c r="B234" s="16">
        <v>25</v>
      </c>
      <c r="C234" s="16" t="s">
        <v>669</v>
      </c>
      <c r="D234" s="16" t="s">
        <v>1556</v>
      </c>
      <c r="E234" s="16" t="s">
        <v>1557</v>
      </c>
      <c r="F234" s="16" t="s">
        <v>1558</v>
      </c>
      <c r="G234" s="17">
        <v>36308</v>
      </c>
      <c r="H234" s="16" t="s">
        <v>703</v>
      </c>
      <c r="I234" s="16">
        <v>184</v>
      </c>
      <c r="J234" s="16">
        <v>9</v>
      </c>
      <c r="K234" s="16">
        <v>0</v>
      </c>
      <c r="L234" s="16" t="s">
        <v>1558</v>
      </c>
    </row>
    <row r="235" spans="1:12" x14ac:dyDescent="0.4">
      <c r="A235" s="16" t="s">
        <v>297</v>
      </c>
      <c r="B235" s="16">
        <v>26</v>
      </c>
      <c r="C235" s="16" t="s">
        <v>669</v>
      </c>
      <c r="D235" s="16" t="s">
        <v>1559</v>
      </c>
      <c r="E235" s="16" t="s">
        <v>1560</v>
      </c>
      <c r="F235" s="16" t="s">
        <v>1561</v>
      </c>
      <c r="G235" s="17">
        <v>35891</v>
      </c>
      <c r="H235" s="16" t="s">
        <v>1475</v>
      </c>
      <c r="I235" s="16">
        <v>179</v>
      </c>
      <c r="J235" s="16">
        <v>58</v>
      </c>
      <c r="K235" s="16">
        <v>1</v>
      </c>
      <c r="L235" s="16" t="s">
        <v>1562</v>
      </c>
    </row>
    <row r="236" spans="1:12" x14ac:dyDescent="0.4">
      <c r="A236" s="16" t="s">
        <v>314</v>
      </c>
      <c r="B236" s="16">
        <v>1</v>
      </c>
      <c r="C236" s="16" t="s">
        <v>664</v>
      </c>
      <c r="D236" s="16" t="s">
        <v>1563</v>
      </c>
      <c r="E236" s="16" t="s">
        <v>896</v>
      </c>
      <c r="F236" s="16" t="s">
        <v>1564</v>
      </c>
      <c r="G236" s="17">
        <v>32386</v>
      </c>
      <c r="H236" s="16" t="s">
        <v>1565</v>
      </c>
      <c r="I236" s="16">
        <v>183</v>
      </c>
      <c r="J236" s="16">
        <v>130</v>
      </c>
      <c r="K236" s="16">
        <v>0</v>
      </c>
      <c r="L236" s="16" t="s">
        <v>1566</v>
      </c>
    </row>
    <row r="237" spans="1:12" x14ac:dyDescent="0.4">
      <c r="A237" s="16" t="s">
        <v>314</v>
      </c>
      <c r="B237" s="16">
        <v>2</v>
      </c>
      <c r="C237" s="16" t="s">
        <v>669</v>
      </c>
      <c r="D237" s="16" t="s">
        <v>1567</v>
      </c>
      <c r="E237" s="16" t="s">
        <v>1568</v>
      </c>
      <c r="F237" s="16" t="s">
        <v>1569</v>
      </c>
      <c r="G237" s="17">
        <v>35211</v>
      </c>
      <c r="H237" s="16" t="s">
        <v>1570</v>
      </c>
      <c r="I237" s="16">
        <v>180</v>
      </c>
      <c r="J237" s="16">
        <v>46</v>
      </c>
      <c r="K237" s="16">
        <v>3</v>
      </c>
      <c r="L237" s="16" t="s">
        <v>1571</v>
      </c>
    </row>
    <row r="238" spans="1:12" x14ac:dyDescent="0.4">
      <c r="A238" s="16" t="s">
        <v>314</v>
      </c>
      <c r="B238" s="16">
        <v>3</v>
      </c>
      <c r="C238" s="16" t="s">
        <v>669</v>
      </c>
      <c r="D238" s="16" t="s">
        <v>1572</v>
      </c>
      <c r="E238" s="16" t="s">
        <v>1573</v>
      </c>
      <c r="F238" s="16" t="s">
        <v>1574</v>
      </c>
      <c r="G238" s="17">
        <v>35972</v>
      </c>
      <c r="H238" s="16" t="s">
        <v>1575</v>
      </c>
      <c r="I238" s="16">
        <v>187</v>
      </c>
      <c r="J238" s="16">
        <v>37</v>
      </c>
      <c r="K238" s="16">
        <v>1</v>
      </c>
      <c r="L238" s="16" t="s">
        <v>1576</v>
      </c>
    </row>
    <row r="239" spans="1:12" x14ac:dyDescent="0.4">
      <c r="A239" s="16" t="s">
        <v>314</v>
      </c>
      <c r="B239" s="16">
        <v>4</v>
      </c>
      <c r="C239" s="16" t="s">
        <v>669</v>
      </c>
      <c r="D239" s="16" t="s">
        <v>1577</v>
      </c>
      <c r="E239" s="16" t="s">
        <v>1578</v>
      </c>
      <c r="F239" s="16" t="s">
        <v>1579</v>
      </c>
      <c r="G239" s="17">
        <v>33616</v>
      </c>
      <c r="H239" s="16" t="s">
        <v>1580</v>
      </c>
      <c r="I239" s="16">
        <v>177</v>
      </c>
      <c r="J239" s="16">
        <v>68</v>
      </c>
      <c r="K239" s="16">
        <v>0</v>
      </c>
      <c r="L239" s="16" t="s">
        <v>1581</v>
      </c>
    </row>
    <row r="240" spans="1:12" x14ac:dyDescent="0.4">
      <c r="A240" s="16" t="s">
        <v>314</v>
      </c>
      <c r="B240" s="16">
        <v>5</v>
      </c>
      <c r="C240" s="16" t="s">
        <v>686</v>
      </c>
      <c r="D240" s="16" t="s">
        <v>1582</v>
      </c>
      <c r="E240" s="16" t="s">
        <v>1583</v>
      </c>
      <c r="F240" s="16" t="s">
        <v>1584</v>
      </c>
      <c r="G240" s="17">
        <v>36798</v>
      </c>
      <c r="H240" s="16" t="s">
        <v>1486</v>
      </c>
      <c r="I240" s="16">
        <v>179</v>
      </c>
      <c r="J240" s="16">
        <v>25</v>
      </c>
      <c r="K240" s="16">
        <v>0</v>
      </c>
      <c r="L240" s="16" t="s">
        <v>1585</v>
      </c>
    </row>
    <row r="241" spans="1:12" x14ac:dyDescent="0.4">
      <c r="A241" s="16" t="s">
        <v>314</v>
      </c>
      <c r="B241" s="16">
        <v>6</v>
      </c>
      <c r="C241" s="16" t="s">
        <v>686</v>
      </c>
      <c r="D241" s="16" t="s">
        <v>1586</v>
      </c>
      <c r="E241" s="16" t="s">
        <v>1587</v>
      </c>
      <c r="F241" s="16" t="s">
        <v>1588</v>
      </c>
      <c r="G241" s="17">
        <v>36679</v>
      </c>
      <c r="H241" s="16" t="s">
        <v>1015</v>
      </c>
      <c r="I241" s="16">
        <v>185</v>
      </c>
      <c r="J241" s="16">
        <v>32</v>
      </c>
      <c r="K241" s="16">
        <v>2</v>
      </c>
      <c r="L241" s="16" t="s">
        <v>1589</v>
      </c>
    </row>
    <row r="242" spans="1:12" x14ac:dyDescent="0.4">
      <c r="A242" s="16" t="s">
        <v>314</v>
      </c>
      <c r="B242" s="16">
        <v>7</v>
      </c>
      <c r="C242" s="16" t="s">
        <v>691</v>
      </c>
      <c r="D242" s="16" t="s">
        <v>1590</v>
      </c>
      <c r="E242" s="16" t="s">
        <v>1591</v>
      </c>
      <c r="F242" s="16" t="s">
        <v>1592</v>
      </c>
      <c r="G242" s="17">
        <v>35443</v>
      </c>
      <c r="H242" s="16" t="s">
        <v>944</v>
      </c>
      <c r="I242" s="16">
        <v>179</v>
      </c>
      <c r="J242" s="16">
        <v>74</v>
      </c>
      <c r="K242" s="16">
        <v>22</v>
      </c>
      <c r="L242" s="16" t="s">
        <v>1593</v>
      </c>
    </row>
    <row r="243" spans="1:12" x14ac:dyDescent="0.4">
      <c r="A243" s="16" t="s">
        <v>314</v>
      </c>
      <c r="B243" s="16">
        <v>8</v>
      </c>
      <c r="C243" s="16" t="s">
        <v>686</v>
      </c>
      <c r="D243" s="16" t="s">
        <v>1594</v>
      </c>
      <c r="E243" s="16" t="s">
        <v>1595</v>
      </c>
      <c r="F243" s="16" t="s">
        <v>1596</v>
      </c>
      <c r="G243" s="17">
        <v>35940</v>
      </c>
      <c r="H243" s="16" t="s">
        <v>1172</v>
      </c>
      <c r="I243" s="16">
        <v>180</v>
      </c>
      <c r="J243" s="16">
        <v>24</v>
      </c>
      <c r="K243" s="16">
        <v>2</v>
      </c>
      <c r="L243" s="16" t="s">
        <v>1597</v>
      </c>
    </row>
    <row r="244" spans="1:12" x14ac:dyDescent="0.4">
      <c r="A244" s="16" t="s">
        <v>314</v>
      </c>
      <c r="B244" s="16">
        <v>9</v>
      </c>
      <c r="C244" s="16" t="s">
        <v>691</v>
      </c>
      <c r="D244" s="16" t="s">
        <v>1598</v>
      </c>
      <c r="E244" s="16" t="s">
        <v>1599</v>
      </c>
      <c r="F244" s="16" t="s">
        <v>1600</v>
      </c>
      <c r="G244" s="17">
        <v>34100</v>
      </c>
      <c r="H244" s="16" t="s">
        <v>1278</v>
      </c>
      <c r="I244" s="16">
        <v>186</v>
      </c>
      <c r="J244" s="16">
        <v>21</v>
      </c>
      <c r="K244" s="16">
        <v>6</v>
      </c>
      <c r="L244" s="16" t="s">
        <v>1601</v>
      </c>
    </row>
    <row r="245" spans="1:12" x14ac:dyDescent="0.4">
      <c r="A245" s="16" t="s">
        <v>314</v>
      </c>
      <c r="B245" s="16">
        <v>10</v>
      </c>
      <c r="C245" s="16" t="s">
        <v>686</v>
      </c>
      <c r="D245" s="16" t="s">
        <v>1602</v>
      </c>
      <c r="E245" s="16" t="s">
        <v>1603</v>
      </c>
      <c r="F245" s="16" t="s">
        <v>1604</v>
      </c>
      <c r="G245" s="17">
        <v>33431</v>
      </c>
      <c r="H245" s="16" t="s">
        <v>1605</v>
      </c>
      <c r="I245" s="16">
        <v>181</v>
      </c>
      <c r="J245" s="16">
        <v>126</v>
      </c>
      <c r="K245" s="16">
        <v>31</v>
      </c>
      <c r="L245" s="16" t="s">
        <v>1606</v>
      </c>
    </row>
    <row r="246" spans="1:12" x14ac:dyDescent="0.4">
      <c r="A246" s="16" t="s">
        <v>314</v>
      </c>
      <c r="B246" s="16">
        <v>11</v>
      </c>
      <c r="C246" s="16" t="s">
        <v>686</v>
      </c>
      <c r="D246" s="16" t="s">
        <v>1607</v>
      </c>
      <c r="E246" s="16" t="s">
        <v>1608</v>
      </c>
      <c r="F246" s="16" t="s">
        <v>1609</v>
      </c>
      <c r="G246" s="17">
        <v>35694</v>
      </c>
      <c r="H246" s="16" t="s">
        <v>1543</v>
      </c>
      <c r="I246" s="16">
        <v>168</v>
      </c>
      <c r="J246" s="16">
        <v>38</v>
      </c>
      <c r="K246" s="16">
        <v>6</v>
      </c>
      <c r="L246" s="16" t="s">
        <v>1610</v>
      </c>
    </row>
    <row r="247" spans="1:12" x14ac:dyDescent="0.4">
      <c r="A247" s="16" t="s">
        <v>314</v>
      </c>
      <c r="B247" s="16">
        <v>12</v>
      </c>
      <c r="C247" s="16" t="s">
        <v>664</v>
      </c>
      <c r="D247" s="16" t="s">
        <v>1611</v>
      </c>
      <c r="E247" s="16" t="s">
        <v>1612</v>
      </c>
      <c r="F247" s="16" t="s">
        <v>1613</v>
      </c>
      <c r="G247" s="17">
        <v>32576</v>
      </c>
      <c r="H247" s="16" t="s">
        <v>1614</v>
      </c>
      <c r="I247" s="16">
        <v>183</v>
      </c>
      <c r="J247" s="16">
        <v>42</v>
      </c>
      <c r="K247" s="16">
        <v>0</v>
      </c>
      <c r="L247" s="16" t="s">
        <v>1615</v>
      </c>
    </row>
    <row r="248" spans="1:12" x14ac:dyDescent="0.4">
      <c r="A248" s="16" t="s">
        <v>314</v>
      </c>
      <c r="B248" s="16">
        <v>13</v>
      </c>
      <c r="C248" s="16" t="s">
        <v>669</v>
      </c>
      <c r="D248" s="16" t="s">
        <v>1616</v>
      </c>
      <c r="E248" s="16" t="s">
        <v>1617</v>
      </c>
      <c r="F248" s="16" t="s">
        <v>1618</v>
      </c>
      <c r="G248" s="17">
        <v>34600</v>
      </c>
      <c r="H248" s="16" t="s">
        <v>1619</v>
      </c>
      <c r="I248" s="16">
        <v>195</v>
      </c>
      <c r="J248" s="16">
        <v>54</v>
      </c>
      <c r="K248" s="16">
        <v>8</v>
      </c>
      <c r="L248" s="16" t="s">
        <v>1620</v>
      </c>
    </row>
    <row r="249" spans="1:12" x14ac:dyDescent="0.4">
      <c r="A249" s="16" t="s">
        <v>314</v>
      </c>
      <c r="B249" s="16">
        <v>14</v>
      </c>
      <c r="C249" s="16" t="s">
        <v>669</v>
      </c>
      <c r="D249" s="16" t="s">
        <v>1621</v>
      </c>
      <c r="E249" s="16" t="s">
        <v>1622</v>
      </c>
      <c r="F249" s="16" t="s">
        <v>1623</v>
      </c>
      <c r="G249" s="17">
        <v>37825</v>
      </c>
      <c r="H249" s="16" t="s">
        <v>1624</v>
      </c>
      <c r="I249" s="16">
        <v>173</v>
      </c>
      <c r="J249" s="16">
        <v>6</v>
      </c>
      <c r="K249" s="16">
        <v>1</v>
      </c>
      <c r="L249" s="16" t="s">
        <v>1625</v>
      </c>
    </row>
    <row r="250" spans="1:12" x14ac:dyDescent="0.4">
      <c r="A250" s="16" t="s">
        <v>314</v>
      </c>
      <c r="B250" s="16">
        <v>15</v>
      </c>
      <c r="C250" s="16" t="s">
        <v>686</v>
      </c>
      <c r="D250" s="16" t="s">
        <v>1626</v>
      </c>
      <c r="E250" s="16" t="s">
        <v>1627</v>
      </c>
      <c r="F250" s="16" t="s">
        <v>1628</v>
      </c>
      <c r="G250" s="17">
        <v>36050</v>
      </c>
      <c r="H250" s="16" t="s">
        <v>1629</v>
      </c>
      <c r="I250" s="16">
        <v>181</v>
      </c>
      <c r="J250" s="16">
        <v>10</v>
      </c>
      <c r="K250" s="16">
        <v>0</v>
      </c>
      <c r="L250" s="16" t="s">
        <v>1630</v>
      </c>
    </row>
    <row r="251" spans="1:12" x14ac:dyDescent="0.4">
      <c r="A251" s="16" t="s">
        <v>314</v>
      </c>
      <c r="B251" s="16">
        <v>16</v>
      </c>
      <c r="C251" s="16" t="s">
        <v>686</v>
      </c>
      <c r="D251" s="16" t="s">
        <v>1631</v>
      </c>
      <c r="E251" s="16" t="s">
        <v>1632</v>
      </c>
      <c r="F251" s="16" t="s">
        <v>1633</v>
      </c>
      <c r="G251" s="17">
        <v>34632</v>
      </c>
      <c r="H251" s="16" t="s">
        <v>1570</v>
      </c>
      <c r="I251" s="16">
        <v>180</v>
      </c>
      <c r="J251" s="16">
        <v>65</v>
      </c>
      <c r="K251" s="16">
        <v>5</v>
      </c>
      <c r="L251" s="16" t="s">
        <v>1634</v>
      </c>
    </row>
    <row r="252" spans="1:12" x14ac:dyDescent="0.4">
      <c r="A252" s="16" t="s">
        <v>314</v>
      </c>
      <c r="B252" s="16">
        <v>17</v>
      </c>
      <c r="C252" s="16" t="s">
        <v>669</v>
      </c>
      <c r="D252" s="16" t="s">
        <v>1635</v>
      </c>
      <c r="E252" s="16" t="s">
        <v>1636</v>
      </c>
      <c r="F252" s="16" t="s">
        <v>1637</v>
      </c>
      <c r="G252" s="17">
        <v>33837</v>
      </c>
      <c r="H252" s="16" t="s">
        <v>1638</v>
      </c>
      <c r="I252" s="16">
        <v>184</v>
      </c>
      <c r="J252" s="16">
        <v>45</v>
      </c>
      <c r="K252" s="16">
        <v>1</v>
      </c>
      <c r="L252" s="16" t="s">
        <v>1639</v>
      </c>
    </row>
    <row r="253" spans="1:12" x14ac:dyDescent="0.4">
      <c r="A253" s="16" t="s">
        <v>314</v>
      </c>
      <c r="B253" s="16">
        <v>18</v>
      </c>
      <c r="C253" s="16" t="s">
        <v>669</v>
      </c>
      <c r="D253" s="16" t="s">
        <v>1640</v>
      </c>
      <c r="E253" s="16" t="s">
        <v>1641</v>
      </c>
      <c r="F253" s="16" t="s">
        <v>1642</v>
      </c>
      <c r="G253" s="17">
        <v>35818</v>
      </c>
      <c r="H253" s="16" t="s">
        <v>1643</v>
      </c>
      <c r="I253" s="16">
        <v>179</v>
      </c>
      <c r="J253" s="16">
        <v>5</v>
      </c>
      <c r="K253" s="16">
        <v>0</v>
      </c>
      <c r="L253" s="16" t="s">
        <v>1644</v>
      </c>
    </row>
    <row r="254" spans="1:12" x14ac:dyDescent="0.4">
      <c r="A254" s="16" t="s">
        <v>314</v>
      </c>
      <c r="B254" s="16">
        <v>19</v>
      </c>
      <c r="C254" s="16" t="s">
        <v>691</v>
      </c>
      <c r="D254" s="16" t="s">
        <v>1645</v>
      </c>
      <c r="E254" s="16" t="s">
        <v>1627</v>
      </c>
      <c r="F254" s="16" t="s">
        <v>1646</v>
      </c>
      <c r="G254" s="17">
        <v>36270</v>
      </c>
      <c r="H254" s="16" t="s">
        <v>1510</v>
      </c>
      <c r="I254" s="16">
        <v>176</v>
      </c>
      <c r="J254" s="16">
        <v>9</v>
      </c>
      <c r="K254" s="16">
        <v>2</v>
      </c>
      <c r="L254" s="16" t="s">
        <v>1647</v>
      </c>
    </row>
    <row r="255" spans="1:12" x14ac:dyDescent="0.4">
      <c r="A255" s="16" t="s">
        <v>314</v>
      </c>
      <c r="B255" s="16">
        <v>20</v>
      </c>
      <c r="C255" s="16" t="s">
        <v>686</v>
      </c>
      <c r="D255" s="16" t="s">
        <v>1648</v>
      </c>
      <c r="E255" s="16" t="s">
        <v>1649</v>
      </c>
      <c r="F255" s="16" t="s">
        <v>1650</v>
      </c>
      <c r="G255" s="17">
        <v>33987</v>
      </c>
      <c r="H255" s="16" t="s">
        <v>1486</v>
      </c>
      <c r="I255" s="16">
        <v>167</v>
      </c>
      <c r="J255" s="16">
        <v>49</v>
      </c>
      <c r="K255" s="16">
        <v>6</v>
      </c>
      <c r="L255" s="16" t="s">
        <v>1651</v>
      </c>
    </row>
    <row r="256" spans="1:12" x14ac:dyDescent="0.4">
      <c r="A256" s="16" t="s">
        <v>314</v>
      </c>
      <c r="B256" s="16">
        <v>21</v>
      </c>
      <c r="C256" s="16" t="s">
        <v>691</v>
      </c>
      <c r="D256" s="16" t="s">
        <v>1652</v>
      </c>
      <c r="E256" s="16" t="s">
        <v>1653</v>
      </c>
      <c r="F256" s="16" t="s">
        <v>1654</v>
      </c>
      <c r="G256" s="17">
        <v>36670</v>
      </c>
      <c r="H256" s="16" t="s">
        <v>1655</v>
      </c>
      <c r="I256" s="16">
        <v>166</v>
      </c>
      <c r="J256" s="16">
        <v>10</v>
      </c>
      <c r="K256" s="16">
        <v>1</v>
      </c>
      <c r="L256" s="16" t="s">
        <v>1654</v>
      </c>
    </row>
    <row r="257" spans="1:12" x14ac:dyDescent="0.4">
      <c r="A257" s="16" t="s">
        <v>314</v>
      </c>
      <c r="B257" s="16">
        <v>22</v>
      </c>
      <c r="C257" s="16" t="s">
        <v>669</v>
      </c>
      <c r="D257" s="16" t="s">
        <v>1656</v>
      </c>
      <c r="E257" s="16" t="s">
        <v>1657</v>
      </c>
      <c r="F257" s="16" t="s">
        <v>1658</v>
      </c>
      <c r="G257" s="17">
        <v>34214</v>
      </c>
      <c r="H257" s="16" t="s">
        <v>1659</v>
      </c>
      <c r="I257" s="16">
        <v>173</v>
      </c>
      <c r="J257" s="16">
        <v>15</v>
      </c>
      <c r="K257" s="16">
        <v>0</v>
      </c>
      <c r="L257" s="16" t="s">
        <v>1660</v>
      </c>
    </row>
    <row r="258" spans="1:12" x14ac:dyDescent="0.4">
      <c r="A258" s="16" t="s">
        <v>314</v>
      </c>
      <c r="B258" s="16">
        <v>23</v>
      </c>
      <c r="C258" s="16" t="s">
        <v>669</v>
      </c>
      <c r="D258" s="16" t="s">
        <v>1661</v>
      </c>
      <c r="E258" s="16" t="s">
        <v>1662</v>
      </c>
      <c r="F258" s="16" t="s">
        <v>1663</v>
      </c>
      <c r="G258" s="17">
        <v>35228</v>
      </c>
      <c r="H258" s="16" t="s">
        <v>1664</v>
      </c>
      <c r="I258" s="16">
        <v>188</v>
      </c>
      <c r="J258" s="16">
        <v>79</v>
      </c>
      <c r="K258" s="16">
        <v>4</v>
      </c>
      <c r="L258" s="16" t="s">
        <v>1665</v>
      </c>
    </row>
    <row r="259" spans="1:12" x14ac:dyDescent="0.4">
      <c r="A259" s="16" t="s">
        <v>314</v>
      </c>
      <c r="B259" s="16">
        <v>24</v>
      </c>
      <c r="C259" s="16" t="s">
        <v>664</v>
      </c>
      <c r="D259" s="16" t="s">
        <v>1666</v>
      </c>
      <c r="E259" s="16" t="s">
        <v>1667</v>
      </c>
      <c r="F259" s="16" t="s">
        <v>1668</v>
      </c>
      <c r="G259" s="17">
        <v>34787</v>
      </c>
      <c r="H259" s="16" t="s">
        <v>1669</v>
      </c>
      <c r="I259" s="16">
        <v>201</v>
      </c>
      <c r="J259" s="16">
        <v>12</v>
      </c>
      <c r="K259" s="16">
        <v>0</v>
      </c>
      <c r="L259" s="16" t="s">
        <v>1670</v>
      </c>
    </row>
    <row r="260" spans="1:12" x14ac:dyDescent="0.4">
      <c r="A260" s="16" t="s">
        <v>314</v>
      </c>
      <c r="B260" s="16">
        <v>25</v>
      </c>
      <c r="C260" s="16" t="s">
        <v>691</v>
      </c>
      <c r="D260" s="16" t="s">
        <v>1671</v>
      </c>
      <c r="E260" s="16" t="s">
        <v>1672</v>
      </c>
      <c r="F260" s="16" t="s">
        <v>1673</v>
      </c>
      <c r="G260" s="17">
        <v>35766</v>
      </c>
      <c r="H260" s="16" t="s">
        <v>970</v>
      </c>
      <c r="I260" s="16">
        <v>179</v>
      </c>
      <c r="J260" s="16">
        <v>12</v>
      </c>
      <c r="K260" s="16">
        <v>5</v>
      </c>
      <c r="L260" s="16" t="s">
        <v>1674</v>
      </c>
    </row>
    <row r="261" spans="1:12" x14ac:dyDescent="0.4">
      <c r="A261" s="16" t="s">
        <v>314</v>
      </c>
      <c r="B261" s="16">
        <v>26</v>
      </c>
      <c r="C261" s="16" t="s">
        <v>691</v>
      </c>
      <c r="D261" s="16" t="s">
        <v>1675</v>
      </c>
      <c r="E261" s="16" t="s">
        <v>1676</v>
      </c>
      <c r="F261" s="16" t="s">
        <v>1677</v>
      </c>
      <c r="G261" s="17">
        <v>37511</v>
      </c>
      <c r="H261" s="16" t="s">
        <v>1678</v>
      </c>
      <c r="I261" s="16">
        <v>170</v>
      </c>
      <c r="J261" s="16">
        <v>8</v>
      </c>
      <c r="K261" s="16">
        <v>2</v>
      </c>
      <c r="L261" s="16" t="s">
        <v>1679</v>
      </c>
    </row>
    <row r="262" spans="1:12" x14ac:dyDescent="0.4">
      <c r="A262" s="16" t="s">
        <v>324</v>
      </c>
      <c r="B262" s="16">
        <v>1</v>
      </c>
      <c r="C262" s="16" t="s">
        <v>664</v>
      </c>
      <c r="D262" s="16" t="s">
        <v>1680</v>
      </c>
      <c r="E262" s="16" t="s">
        <v>1681</v>
      </c>
      <c r="F262" s="16" t="s">
        <v>1682</v>
      </c>
      <c r="G262" s="17">
        <v>34547</v>
      </c>
      <c r="H262" s="16" t="s">
        <v>1683</v>
      </c>
      <c r="I262" s="16">
        <v>182</v>
      </c>
      <c r="J262" s="16">
        <v>29</v>
      </c>
      <c r="K262" s="16">
        <v>0</v>
      </c>
      <c r="L262" s="16" t="s">
        <v>1682</v>
      </c>
    </row>
    <row r="263" spans="1:12" x14ac:dyDescent="0.4">
      <c r="A263" s="16" t="s">
        <v>324</v>
      </c>
      <c r="B263" s="16">
        <v>2</v>
      </c>
      <c r="C263" s="16" t="s">
        <v>669</v>
      </c>
      <c r="D263" s="16" t="s">
        <v>1684</v>
      </c>
      <c r="E263" s="16" t="s">
        <v>1685</v>
      </c>
      <c r="F263" s="16" t="s">
        <v>1686</v>
      </c>
      <c r="G263" s="17">
        <v>35760</v>
      </c>
      <c r="H263" s="16" t="s">
        <v>1687</v>
      </c>
      <c r="I263" s="16">
        <v>183</v>
      </c>
      <c r="J263" s="16">
        <v>12</v>
      </c>
      <c r="K263" s="16">
        <v>0</v>
      </c>
      <c r="L263" s="16" t="s">
        <v>1688</v>
      </c>
    </row>
    <row r="264" spans="1:12" x14ac:dyDescent="0.4">
      <c r="A264" s="16" t="s">
        <v>324</v>
      </c>
      <c r="B264" s="16">
        <v>3</v>
      </c>
      <c r="C264" s="16" t="s">
        <v>669</v>
      </c>
      <c r="D264" s="16" t="s">
        <v>1689</v>
      </c>
      <c r="E264" s="16" t="s">
        <v>1690</v>
      </c>
      <c r="F264" s="16" t="s">
        <v>1691</v>
      </c>
      <c r="G264" s="17">
        <v>35915</v>
      </c>
      <c r="H264" s="16" t="s">
        <v>1692</v>
      </c>
      <c r="I264" s="16">
        <v>196</v>
      </c>
      <c r="J264" s="16">
        <v>4</v>
      </c>
      <c r="K264" s="16">
        <v>0</v>
      </c>
      <c r="L264" s="16" t="s">
        <v>1691</v>
      </c>
    </row>
    <row r="265" spans="1:12" x14ac:dyDescent="0.4">
      <c r="A265" s="16" t="s">
        <v>324</v>
      </c>
      <c r="B265" s="16">
        <v>4</v>
      </c>
      <c r="C265" s="16" t="s">
        <v>669</v>
      </c>
      <c r="D265" s="16" t="s">
        <v>1693</v>
      </c>
      <c r="E265" s="16" t="s">
        <v>1694</v>
      </c>
      <c r="F265" s="16" t="s">
        <v>1695</v>
      </c>
      <c r="G265" s="17">
        <v>35748</v>
      </c>
      <c r="H265" s="16" t="s">
        <v>1696</v>
      </c>
      <c r="I265" s="16">
        <v>188</v>
      </c>
      <c r="J265" s="16">
        <v>14</v>
      </c>
      <c r="K265" s="16">
        <v>1</v>
      </c>
      <c r="L265" s="16" t="s">
        <v>1695</v>
      </c>
    </row>
    <row r="266" spans="1:12" x14ac:dyDescent="0.4">
      <c r="A266" s="16" t="s">
        <v>324</v>
      </c>
      <c r="B266" s="16">
        <v>5</v>
      </c>
      <c r="C266" s="16" t="s">
        <v>669</v>
      </c>
      <c r="D266" s="16" t="s">
        <v>1697</v>
      </c>
      <c r="E266" s="16" t="s">
        <v>1698</v>
      </c>
      <c r="F266" s="16" t="s">
        <v>1699</v>
      </c>
      <c r="G266" s="17">
        <v>35110</v>
      </c>
      <c r="H266" s="16" t="s">
        <v>1700</v>
      </c>
      <c r="I266" s="16">
        <v>185</v>
      </c>
      <c r="J266" s="16">
        <v>14</v>
      </c>
      <c r="K266" s="16">
        <v>1</v>
      </c>
      <c r="L266" s="16" t="s">
        <v>1699</v>
      </c>
    </row>
    <row r="267" spans="1:12" x14ac:dyDescent="0.4">
      <c r="A267" s="16" t="s">
        <v>324</v>
      </c>
      <c r="B267" s="16">
        <v>6</v>
      </c>
      <c r="C267" s="16" t="s">
        <v>686</v>
      </c>
      <c r="D267" s="16" t="s">
        <v>1701</v>
      </c>
      <c r="E267" s="16" t="s">
        <v>1702</v>
      </c>
      <c r="F267" s="16" t="s">
        <v>1703</v>
      </c>
      <c r="G267" s="17">
        <v>38294</v>
      </c>
      <c r="H267" s="16" t="s">
        <v>673</v>
      </c>
      <c r="I267" s="16">
        <v>186</v>
      </c>
      <c r="J267" s="16">
        <v>14</v>
      </c>
      <c r="K267" s="16">
        <v>0</v>
      </c>
      <c r="L267" s="16" t="s">
        <v>1703</v>
      </c>
    </row>
    <row r="268" spans="1:12" x14ac:dyDescent="0.4">
      <c r="A268" s="16" t="s">
        <v>324</v>
      </c>
      <c r="B268" s="16">
        <v>7</v>
      </c>
      <c r="C268" s="16" t="s">
        <v>686</v>
      </c>
      <c r="D268" s="16" t="s">
        <v>1704</v>
      </c>
      <c r="E268" s="16" t="s">
        <v>1705</v>
      </c>
      <c r="F268" s="16" t="s">
        <v>1706</v>
      </c>
      <c r="G268" s="17">
        <v>37331</v>
      </c>
      <c r="H268" s="16" t="s">
        <v>1707</v>
      </c>
      <c r="I268" s="16">
        <v>170</v>
      </c>
      <c r="J268" s="16">
        <v>19</v>
      </c>
      <c r="K268" s="16">
        <v>2</v>
      </c>
      <c r="L268" s="16" t="s">
        <v>1706</v>
      </c>
    </row>
    <row r="269" spans="1:12" x14ac:dyDescent="0.4">
      <c r="A269" s="16" t="s">
        <v>324</v>
      </c>
      <c r="B269" s="16">
        <v>8</v>
      </c>
      <c r="C269" s="16" t="s">
        <v>686</v>
      </c>
      <c r="D269" s="16" t="s">
        <v>1708</v>
      </c>
      <c r="E269" s="16" t="s">
        <v>1709</v>
      </c>
      <c r="F269" s="16" t="s">
        <v>1710</v>
      </c>
      <c r="G269" s="17">
        <v>35289</v>
      </c>
      <c r="H269" s="16" t="s">
        <v>1711</v>
      </c>
      <c r="I269" s="16">
        <v>176</v>
      </c>
      <c r="J269" s="16">
        <v>58</v>
      </c>
      <c r="K269" s="16">
        <v>0</v>
      </c>
      <c r="L269" s="16" t="s">
        <v>1710</v>
      </c>
    </row>
    <row r="270" spans="1:12" x14ac:dyDescent="0.4">
      <c r="A270" s="16" t="s">
        <v>324</v>
      </c>
      <c r="B270" s="16">
        <v>9</v>
      </c>
      <c r="C270" s="16" t="s">
        <v>691</v>
      </c>
      <c r="D270" s="16" t="s">
        <v>1712</v>
      </c>
      <c r="E270" s="16" t="s">
        <v>1713</v>
      </c>
      <c r="F270" s="16" t="s">
        <v>1714</v>
      </c>
      <c r="G270" s="17">
        <v>35865</v>
      </c>
      <c r="H270" s="16" t="s">
        <v>811</v>
      </c>
      <c r="I270" s="16">
        <v>172</v>
      </c>
      <c r="J270" s="16">
        <v>8</v>
      </c>
      <c r="K270" s="16">
        <v>0</v>
      </c>
      <c r="L270" s="16" t="s">
        <v>1714</v>
      </c>
    </row>
    <row r="271" spans="1:12" x14ac:dyDescent="0.4">
      <c r="A271" s="16" t="s">
        <v>324</v>
      </c>
      <c r="B271" s="16">
        <v>10</v>
      </c>
      <c r="C271" s="16" t="s">
        <v>686</v>
      </c>
      <c r="D271" s="16" t="s">
        <v>1715</v>
      </c>
      <c r="E271" s="16" t="s">
        <v>1716</v>
      </c>
      <c r="F271" s="16" t="s">
        <v>1717</v>
      </c>
      <c r="G271" s="17">
        <v>35023</v>
      </c>
      <c r="H271" s="16" t="s">
        <v>1718</v>
      </c>
      <c r="I271" s="16">
        <v>176</v>
      </c>
      <c r="J271" s="16">
        <v>38</v>
      </c>
      <c r="K271" s="16">
        <v>7</v>
      </c>
      <c r="L271" s="16" t="s">
        <v>1717</v>
      </c>
    </row>
    <row r="272" spans="1:12" x14ac:dyDescent="0.4">
      <c r="A272" s="16" t="s">
        <v>324</v>
      </c>
      <c r="B272" s="16">
        <v>11</v>
      </c>
      <c r="C272" s="16" t="s">
        <v>691</v>
      </c>
      <c r="D272" s="16" t="s">
        <v>1719</v>
      </c>
      <c r="E272" s="16" t="s">
        <v>1720</v>
      </c>
      <c r="F272" s="16" t="s">
        <v>1721</v>
      </c>
      <c r="G272" s="17">
        <v>33410</v>
      </c>
      <c r="H272" s="16" t="s">
        <v>1700</v>
      </c>
      <c r="I272" s="16">
        <v>174</v>
      </c>
      <c r="J272" s="16">
        <v>31</v>
      </c>
      <c r="K272" s="16">
        <v>5</v>
      </c>
      <c r="L272" s="16" t="s">
        <v>1721</v>
      </c>
    </row>
    <row r="273" spans="1:12" x14ac:dyDescent="0.4">
      <c r="A273" s="16" t="s">
        <v>324</v>
      </c>
      <c r="B273" s="16">
        <v>12</v>
      </c>
      <c r="C273" s="16" t="s">
        <v>669</v>
      </c>
      <c r="D273" s="16" t="s">
        <v>1722</v>
      </c>
      <c r="E273" s="16" t="s">
        <v>1723</v>
      </c>
      <c r="F273" s="16" t="s">
        <v>1724</v>
      </c>
      <c r="G273" s="17">
        <v>34554</v>
      </c>
      <c r="H273" s="16" t="s">
        <v>1725</v>
      </c>
      <c r="I273" s="16">
        <v>180</v>
      </c>
      <c r="J273" s="16">
        <v>26</v>
      </c>
      <c r="K273" s="16">
        <v>1</v>
      </c>
      <c r="L273" s="16" t="s">
        <v>1726</v>
      </c>
    </row>
    <row r="274" spans="1:12" x14ac:dyDescent="0.4">
      <c r="A274" s="16" t="s">
        <v>324</v>
      </c>
      <c r="B274" s="16">
        <v>13</v>
      </c>
      <c r="C274" s="16" t="s">
        <v>691</v>
      </c>
      <c r="D274" s="16" t="s">
        <v>1727</v>
      </c>
      <c r="E274" s="16" t="s">
        <v>1728</v>
      </c>
      <c r="F274" s="16" t="s">
        <v>1729</v>
      </c>
      <c r="G274" s="17">
        <v>35648</v>
      </c>
      <c r="H274" s="16" t="s">
        <v>1730</v>
      </c>
      <c r="I274" s="16">
        <v>173</v>
      </c>
      <c r="J274" s="16">
        <v>69</v>
      </c>
      <c r="K274" s="16">
        <v>12</v>
      </c>
      <c r="L274" s="16" t="s">
        <v>1731</v>
      </c>
    </row>
    <row r="275" spans="1:12" x14ac:dyDescent="0.4">
      <c r="A275" s="16" t="s">
        <v>324</v>
      </c>
      <c r="B275" s="16">
        <v>14</v>
      </c>
      <c r="C275" s="16" t="s">
        <v>686</v>
      </c>
      <c r="D275" s="16" t="s">
        <v>1732</v>
      </c>
      <c r="E275" s="16" t="s">
        <v>1733</v>
      </c>
      <c r="F275" s="16" t="s">
        <v>1734</v>
      </c>
      <c r="G275" s="17">
        <v>38338</v>
      </c>
      <c r="H275" s="16" t="s">
        <v>1735</v>
      </c>
      <c r="I275" s="16">
        <v>165</v>
      </c>
      <c r="J275" s="16">
        <v>20</v>
      </c>
      <c r="K275" s="16">
        <v>0</v>
      </c>
      <c r="L275" s="16" t="s">
        <v>1734</v>
      </c>
    </row>
    <row r="276" spans="1:12" x14ac:dyDescent="0.4">
      <c r="A276" s="16" t="s">
        <v>324</v>
      </c>
      <c r="B276" s="16">
        <v>15</v>
      </c>
      <c r="C276" s="16" t="s">
        <v>686</v>
      </c>
      <c r="D276" s="16" t="s">
        <v>1736</v>
      </c>
      <c r="E276" s="16" t="s">
        <v>1737</v>
      </c>
      <c r="F276" s="16" t="s">
        <v>1738</v>
      </c>
      <c r="G276" s="17">
        <v>34701</v>
      </c>
      <c r="H276" s="16" t="s">
        <v>1739</v>
      </c>
      <c r="I276" s="16">
        <v>184</v>
      </c>
      <c r="J276" s="16">
        <v>17</v>
      </c>
      <c r="K276" s="16">
        <v>1</v>
      </c>
      <c r="L276" s="16" t="s">
        <v>1740</v>
      </c>
    </row>
    <row r="277" spans="1:12" x14ac:dyDescent="0.4">
      <c r="A277" s="16" t="s">
        <v>324</v>
      </c>
      <c r="B277" s="16">
        <v>16</v>
      </c>
      <c r="C277" s="16" t="s">
        <v>664</v>
      </c>
      <c r="D277" s="16" t="s">
        <v>1741</v>
      </c>
      <c r="E277" s="16" t="s">
        <v>1742</v>
      </c>
      <c r="F277" s="16" t="s">
        <v>1743</v>
      </c>
      <c r="G277" s="17">
        <v>36365</v>
      </c>
      <c r="H277" s="16" t="s">
        <v>1744</v>
      </c>
      <c r="I277" s="16">
        <v>192</v>
      </c>
      <c r="J277" s="16">
        <v>3</v>
      </c>
      <c r="K277" s="16">
        <v>0</v>
      </c>
      <c r="L277" s="16" t="s">
        <v>1743</v>
      </c>
    </row>
    <row r="278" spans="1:12" x14ac:dyDescent="0.4">
      <c r="A278" s="16" t="s">
        <v>324</v>
      </c>
      <c r="B278" s="16">
        <v>17</v>
      </c>
      <c r="C278" s="16" t="s">
        <v>691</v>
      </c>
      <c r="D278" s="16" t="s">
        <v>1745</v>
      </c>
      <c r="E278" s="16" t="s">
        <v>1746</v>
      </c>
      <c r="F278" s="16" t="s">
        <v>1747</v>
      </c>
      <c r="G278" s="17">
        <v>33339</v>
      </c>
      <c r="H278" s="16" t="s">
        <v>1510</v>
      </c>
      <c r="I278" s="16">
        <v>182</v>
      </c>
      <c r="J278" s="16">
        <v>70</v>
      </c>
      <c r="K278" s="16">
        <v>21</v>
      </c>
      <c r="L278" s="16" t="s">
        <v>1747</v>
      </c>
    </row>
    <row r="279" spans="1:12" x14ac:dyDescent="0.4">
      <c r="A279" s="16" t="s">
        <v>324</v>
      </c>
      <c r="B279" s="16">
        <v>18</v>
      </c>
      <c r="C279" s="16" t="s">
        <v>686</v>
      </c>
      <c r="D279" s="16" t="s">
        <v>1748</v>
      </c>
      <c r="E279" s="16" t="s">
        <v>1749</v>
      </c>
      <c r="F279" s="16" t="s">
        <v>1750</v>
      </c>
      <c r="G279" s="17">
        <v>35565</v>
      </c>
      <c r="H279" s="16" t="s">
        <v>1751</v>
      </c>
      <c r="I279" s="16">
        <v>187</v>
      </c>
      <c r="J279" s="16">
        <v>34</v>
      </c>
      <c r="K279" s="16">
        <v>1</v>
      </c>
      <c r="L279" s="16" t="s">
        <v>1750</v>
      </c>
    </row>
    <row r="280" spans="1:12" x14ac:dyDescent="0.4">
      <c r="A280" s="16" t="s">
        <v>324</v>
      </c>
      <c r="B280" s="16">
        <v>19</v>
      </c>
      <c r="C280" s="16" t="s">
        <v>691</v>
      </c>
      <c r="D280" s="16" t="s">
        <v>1752</v>
      </c>
      <c r="E280" s="16" t="s">
        <v>1753</v>
      </c>
      <c r="F280" s="16" t="s">
        <v>1754</v>
      </c>
      <c r="G280" s="17">
        <v>34509</v>
      </c>
      <c r="H280" s="16" t="s">
        <v>1755</v>
      </c>
      <c r="I280" s="16">
        <v>185</v>
      </c>
      <c r="J280" s="16">
        <v>37</v>
      </c>
      <c r="K280" s="16">
        <v>6</v>
      </c>
      <c r="L280" s="16" t="s">
        <v>1756</v>
      </c>
    </row>
    <row r="281" spans="1:12" x14ac:dyDescent="0.4">
      <c r="A281" s="16" t="s">
        <v>324</v>
      </c>
      <c r="B281" s="16">
        <v>20</v>
      </c>
      <c r="C281" s="16" t="s">
        <v>691</v>
      </c>
      <c r="D281" s="16" t="s">
        <v>1757</v>
      </c>
      <c r="E281" s="16" t="s">
        <v>1758</v>
      </c>
      <c r="F281" s="16" t="s">
        <v>1759</v>
      </c>
      <c r="G281" s="17">
        <v>35311</v>
      </c>
      <c r="H281" s="16" t="s">
        <v>1181</v>
      </c>
      <c r="I281" s="16">
        <v>176</v>
      </c>
      <c r="J281" s="16">
        <v>38</v>
      </c>
      <c r="K281" s="16">
        <v>9</v>
      </c>
      <c r="L281" s="16" t="s">
        <v>1759</v>
      </c>
    </row>
    <row r="282" spans="1:12" x14ac:dyDescent="0.4">
      <c r="A282" s="16" t="s">
        <v>324</v>
      </c>
      <c r="B282" s="16">
        <v>21</v>
      </c>
      <c r="C282" s="16" t="s">
        <v>664</v>
      </c>
      <c r="D282" s="16" t="s">
        <v>1760</v>
      </c>
      <c r="E282" s="16" t="s">
        <v>1761</v>
      </c>
      <c r="F282" s="16" t="s">
        <v>1762</v>
      </c>
      <c r="G282" s="17">
        <v>38367</v>
      </c>
      <c r="H282" s="16" t="s">
        <v>1763</v>
      </c>
      <c r="I282" s="16">
        <v>183</v>
      </c>
      <c r="J282" s="16">
        <v>1</v>
      </c>
      <c r="K282" s="16">
        <v>0</v>
      </c>
      <c r="L282" s="16" t="s">
        <v>1762</v>
      </c>
    </row>
    <row r="283" spans="1:12" x14ac:dyDescent="0.4">
      <c r="A283" s="16" t="s">
        <v>324</v>
      </c>
      <c r="B283" s="16">
        <v>22</v>
      </c>
      <c r="C283" s="16" t="s">
        <v>669</v>
      </c>
      <c r="D283" s="16" t="s">
        <v>1764</v>
      </c>
      <c r="E283" s="16" t="s">
        <v>1765</v>
      </c>
      <c r="F283" s="16" t="s">
        <v>1766</v>
      </c>
      <c r="G283" s="17">
        <v>34554</v>
      </c>
      <c r="H283" s="16" t="s">
        <v>673</v>
      </c>
      <c r="I283" s="16">
        <v>182</v>
      </c>
      <c r="J283" s="16">
        <v>109</v>
      </c>
      <c r="K283" s="16">
        <v>7</v>
      </c>
      <c r="L283" s="16" t="s">
        <v>1766</v>
      </c>
    </row>
    <row r="284" spans="1:12" x14ac:dyDescent="0.4">
      <c r="A284" s="16" t="s">
        <v>324</v>
      </c>
      <c r="B284" s="16">
        <v>23</v>
      </c>
      <c r="C284" s="16" t="s">
        <v>691</v>
      </c>
      <c r="D284" s="16" t="s">
        <v>1767</v>
      </c>
      <c r="E284" s="16" t="s">
        <v>1768</v>
      </c>
      <c r="F284" s="16" t="s">
        <v>1769</v>
      </c>
      <c r="G284" s="17">
        <v>35290</v>
      </c>
      <c r="H284" s="16" t="s">
        <v>1770</v>
      </c>
      <c r="I284" s="16">
        <v>189</v>
      </c>
      <c r="J284" s="16">
        <v>15</v>
      </c>
      <c r="K284" s="16">
        <v>2</v>
      </c>
      <c r="L284" s="16" t="s">
        <v>1769</v>
      </c>
    </row>
    <row r="285" spans="1:12" x14ac:dyDescent="0.4">
      <c r="A285" s="16" t="s">
        <v>324</v>
      </c>
      <c r="B285" s="16">
        <v>24</v>
      </c>
      <c r="C285" s="16" t="s">
        <v>669</v>
      </c>
      <c r="D285" s="16" t="s">
        <v>1771</v>
      </c>
      <c r="E285" s="16" t="s">
        <v>1772</v>
      </c>
      <c r="F285" s="16" t="s">
        <v>1773</v>
      </c>
      <c r="G285" s="17">
        <v>35671</v>
      </c>
      <c r="H285" s="16" t="s">
        <v>1774</v>
      </c>
      <c r="I285" s="16">
        <v>178</v>
      </c>
      <c r="J285" s="16">
        <v>28</v>
      </c>
      <c r="K285" s="16">
        <v>0</v>
      </c>
      <c r="L285" s="16" t="s">
        <v>1773</v>
      </c>
    </row>
    <row r="286" spans="1:12" x14ac:dyDescent="0.4">
      <c r="A286" s="16" t="s">
        <v>324</v>
      </c>
      <c r="B286" s="16">
        <v>25</v>
      </c>
      <c r="C286" s="16" t="s">
        <v>686</v>
      </c>
      <c r="D286" s="16" t="s">
        <v>1775</v>
      </c>
      <c r="E286" s="16" t="s">
        <v>1776</v>
      </c>
      <c r="F286" s="16" t="s">
        <v>1777</v>
      </c>
      <c r="G286" s="17">
        <v>35949</v>
      </c>
      <c r="H286" s="16" t="s">
        <v>833</v>
      </c>
      <c r="I286" s="16">
        <v>183</v>
      </c>
      <c r="J286" s="16">
        <v>43</v>
      </c>
      <c r="K286" s="16">
        <v>2</v>
      </c>
      <c r="L286" s="16" t="s">
        <v>1778</v>
      </c>
    </row>
    <row r="287" spans="1:12" x14ac:dyDescent="0.4">
      <c r="A287" s="16" t="s">
        <v>324</v>
      </c>
      <c r="B287" s="16">
        <v>26</v>
      </c>
      <c r="C287" s="16" t="s">
        <v>669</v>
      </c>
      <c r="D287" s="16" t="s">
        <v>1779</v>
      </c>
      <c r="E287" s="16" t="s">
        <v>1780</v>
      </c>
      <c r="F287" s="16" t="s">
        <v>1781</v>
      </c>
      <c r="G287" s="17">
        <v>34280</v>
      </c>
      <c r="H287" s="16" t="s">
        <v>1782</v>
      </c>
      <c r="I287" s="16">
        <v>179</v>
      </c>
      <c r="J287" s="16">
        <v>45</v>
      </c>
      <c r="K287" s="16">
        <v>4</v>
      </c>
      <c r="L287" s="16" t="s">
        <v>1783</v>
      </c>
    </row>
    <row r="288" spans="1:12" x14ac:dyDescent="0.4">
      <c r="A288" s="16" t="s">
        <v>292</v>
      </c>
      <c r="B288" s="16">
        <v>1</v>
      </c>
      <c r="C288" s="16" t="s">
        <v>664</v>
      </c>
      <c r="D288" s="16" t="s">
        <v>1784</v>
      </c>
      <c r="E288" s="16" t="s">
        <v>1785</v>
      </c>
      <c r="F288" s="16" t="s">
        <v>1786</v>
      </c>
      <c r="G288" s="17">
        <v>36759</v>
      </c>
      <c r="H288" s="16" t="s">
        <v>1787</v>
      </c>
      <c r="I288" s="16">
        <v>194</v>
      </c>
      <c r="J288" s="16">
        <v>35</v>
      </c>
      <c r="K288" s="16">
        <v>0</v>
      </c>
      <c r="L288" s="16" t="s">
        <v>1788</v>
      </c>
    </row>
    <row r="289" spans="1:12" x14ac:dyDescent="0.4">
      <c r="A289" s="16" t="s">
        <v>292</v>
      </c>
      <c r="B289" s="16">
        <v>2</v>
      </c>
      <c r="C289" s="16" t="s">
        <v>669</v>
      </c>
      <c r="D289" s="16" t="s">
        <v>1789</v>
      </c>
      <c r="E289" s="16" t="s">
        <v>1790</v>
      </c>
      <c r="F289" s="16" t="s">
        <v>1791</v>
      </c>
      <c r="G289" s="17">
        <v>37959</v>
      </c>
      <c r="H289" s="16" t="s">
        <v>970</v>
      </c>
      <c r="I289" s="16">
        <v>190</v>
      </c>
      <c r="J289" s="16">
        <v>15</v>
      </c>
      <c r="K289" s="16">
        <v>1</v>
      </c>
      <c r="L289" s="16" t="s">
        <v>1792</v>
      </c>
    </row>
    <row r="290" spans="1:12" x14ac:dyDescent="0.4">
      <c r="A290" s="16" t="s">
        <v>292</v>
      </c>
      <c r="B290" s="16">
        <v>3</v>
      </c>
      <c r="C290" s="16" t="s">
        <v>669</v>
      </c>
      <c r="D290" s="16" t="s">
        <v>1793</v>
      </c>
      <c r="E290" s="16" t="s">
        <v>1794</v>
      </c>
      <c r="F290" s="16" t="s">
        <v>1795</v>
      </c>
      <c r="G290" s="17">
        <v>35060</v>
      </c>
      <c r="H290" s="16" t="s">
        <v>1796</v>
      </c>
      <c r="I290" s="16">
        <v>176</v>
      </c>
      <c r="J290" s="16">
        <v>54</v>
      </c>
      <c r="K290" s="16">
        <v>0</v>
      </c>
      <c r="L290" s="16" t="s">
        <v>1797</v>
      </c>
    </row>
    <row r="291" spans="1:12" x14ac:dyDescent="0.4">
      <c r="A291" s="16" t="s">
        <v>292</v>
      </c>
      <c r="B291" s="16">
        <v>4</v>
      </c>
      <c r="C291" s="16" t="s">
        <v>686</v>
      </c>
      <c r="D291" s="16" t="s">
        <v>1798</v>
      </c>
      <c r="E291" s="16" t="s">
        <v>1799</v>
      </c>
      <c r="F291" s="16" t="s">
        <v>1800</v>
      </c>
      <c r="G291" s="17">
        <v>33438</v>
      </c>
      <c r="H291" s="16" t="s">
        <v>1801</v>
      </c>
      <c r="I291" s="16">
        <v>168</v>
      </c>
      <c r="J291" s="16">
        <v>65</v>
      </c>
      <c r="K291" s="16">
        <v>4</v>
      </c>
      <c r="L291" s="16" t="s">
        <v>1800</v>
      </c>
    </row>
    <row r="292" spans="1:12" x14ac:dyDescent="0.4">
      <c r="A292" s="16" t="s">
        <v>292</v>
      </c>
      <c r="B292" s="16">
        <v>5</v>
      </c>
      <c r="C292" s="16" t="s">
        <v>669</v>
      </c>
      <c r="D292" s="16" t="s">
        <v>1802</v>
      </c>
      <c r="E292" s="16" t="s">
        <v>1803</v>
      </c>
      <c r="F292" s="16" t="s">
        <v>1804</v>
      </c>
      <c r="G292" s="17">
        <v>36885</v>
      </c>
      <c r="H292" s="16" t="s">
        <v>1664</v>
      </c>
      <c r="I292" s="16">
        <v>182</v>
      </c>
      <c r="J292" s="16">
        <v>34</v>
      </c>
      <c r="K292" s="16">
        <v>1</v>
      </c>
      <c r="L292" s="16" t="s">
        <v>1804</v>
      </c>
    </row>
    <row r="293" spans="1:12" x14ac:dyDescent="0.4">
      <c r="A293" s="16" t="s">
        <v>292</v>
      </c>
      <c r="B293" s="16">
        <v>6</v>
      </c>
      <c r="C293" s="16" t="s">
        <v>686</v>
      </c>
      <c r="D293" s="16" t="s">
        <v>1805</v>
      </c>
      <c r="E293" s="16" t="s">
        <v>1806</v>
      </c>
      <c r="F293" s="16" t="s">
        <v>1788</v>
      </c>
      <c r="G293" s="17">
        <v>34826</v>
      </c>
      <c r="H293" s="16" t="s">
        <v>1807</v>
      </c>
      <c r="I293" s="16">
        <v>185</v>
      </c>
      <c r="J293" s="16">
        <v>33</v>
      </c>
      <c r="K293" s="16">
        <v>7</v>
      </c>
      <c r="L293" s="16" t="s">
        <v>1788</v>
      </c>
    </row>
    <row r="294" spans="1:12" x14ac:dyDescent="0.4">
      <c r="A294" s="16" t="s">
        <v>292</v>
      </c>
      <c r="B294" s="16">
        <v>7</v>
      </c>
      <c r="C294" s="16" t="s">
        <v>669</v>
      </c>
      <c r="D294" s="16" t="s">
        <v>1808</v>
      </c>
      <c r="E294" s="16" t="s">
        <v>1809</v>
      </c>
      <c r="F294" s="16" t="s">
        <v>1810</v>
      </c>
      <c r="G294" s="17">
        <v>36895</v>
      </c>
      <c r="H294" s="16" t="s">
        <v>1027</v>
      </c>
      <c r="I294" s="16">
        <v>191</v>
      </c>
      <c r="J294" s="16">
        <v>36</v>
      </c>
      <c r="K294" s="16">
        <v>0</v>
      </c>
      <c r="L294" s="16" t="s">
        <v>1810</v>
      </c>
    </row>
    <row r="295" spans="1:12" x14ac:dyDescent="0.4">
      <c r="A295" s="16" t="s">
        <v>292</v>
      </c>
      <c r="B295" s="16">
        <v>8</v>
      </c>
      <c r="C295" s="16" t="s">
        <v>686</v>
      </c>
      <c r="D295" s="16" t="s">
        <v>1811</v>
      </c>
      <c r="E295" s="16" t="s">
        <v>1812</v>
      </c>
      <c r="F295" s="16" t="s">
        <v>1813</v>
      </c>
      <c r="G295" s="17">
        <v>35418</v>
      </c>
      <c r="H295" s="16" t="s">
        <v>695</v>
      </c>
      <c r="I295" s="16">
        <v>183</v>
      </c>
      <c r="J295" s="16">
        <v>102</v>
      </c>
      <c r="K295" s="16">
        <v>15</v>
      </c>
      <c r="L295" s="16" t="s">
        <v>1813</v>
      </c>
    </row>
    <row r="296" spans="1:12" x14ac:dyDescent="0.4">
      <c r="A296" s="16" t="s">
        <v>292</v>
      </c>
      <c r="B296" s="16">
        <v>9</v>
      </c>
      <c r="C296" s="16" t="s">
        <v>691</v>
      </c>
      <c r="D296" s="16" t="s">
        <v>1814</v>
      </c>
      <c r="E296" s="16" t="s">
        <v>1815</v>
      </c>
      <c r="F296" s="16" t="s">
        <v>1816</v>
      </c>
      <c r="G296" s="17">
        <v>37919</v>
      </c>
      <c r="H296" s="16" t="s">
        <v>1547</v>
      </c>
      <c r="I296" s="16">
        <v>189</v>
      </c>
      <c r="J296" s="16">
        <v>1</v>
      </c>
      <c r="K296" s="16">
        <v>0</v>
      </c>
      <c r="L296" s="16" t="s">
        <v>1816</v>
      </c>
    </row>
    <row r="297" spans="1:12" x14ac:dyDescent="0.4">
      <c r="A297" s="16" t="s">
        <v>292</v>
      </c>
      <c r="B297" s="16">
        <v>10</v>
      </c>
      <c r="C297" s="16" t="s">
        <v>691</v>
      </c>
      <c r="D297" s="16" t="s">
        <v>1817</v>
      </c>
      <c r="E297" s="16" t="s">
        <v>1818</v>
      </c>
      <c r="F297" s="16" t="s">
        <v>1819</v>
      </c>
      <c r="G297" s="17">
        <v>37257</v>
      </c>
      <c r="H297" s="16" t="s">
        <v>1820</v>
      </c>
      <c r="I297" s="16">
        <v>175</v>
      </c>
      <c r="J297" s="16">
        <v>29</v>
      </c>
      <c r="K297" s="16">
        <v>5</v>
      </c>
      <c r="L297" s="16" t="s">
        <v>1819</v>
      </c>
    </row>
    <row r="298" spans="1:12" x14ac:dyDescent="0.4">
      <c r="A298" s="16" t="s">
        <v>292</v>
      </c>
      <c r="B298" s="16">
        <v>11</v>
      </c>
      <c r="C298" s="16" t="s">
        <v>691</v>
      </c>
      <c r="D298" s="16" t="s">
        <v>1821</v>
      </c>
      <c r="E298" s="16" t="s">
        <v>1822</v>
      </c>
      <c r="F298" s="16" t="s">
        <v>1823</v>
      </c>
      <c r="G298" s="17">
        <v>39035</v>
      </c>
      <c r="H298" s="16" t="s">
        <v>883</v>
      </c>
      <c r="I298" s="16">
        <v>180</v>
      </c>
      <c r="J298" s="16">
        <v>10</v>
      </c>
      <c r="K298" s="16">
        <v>3</v>
      </c>
      <c r="L298" s="16" t="s">
        <v>1792</v>
      </c>
    </row>
    <row r="299" spans="1:12" x14ac:dyDescent="0.4">
      <c r="A299" s="16" t="s">
        <v>292</v>
      </c>
      <c r="B299" s="16">
        <v>12</v>
      </c>
      <c r="C299" s="16" t="s">
        <v>691</v>
      </c>
      <c r="D299" s="16" t="s">
        <v>1824</v>
      </c>
      <c r="E299" s="16" t="s">
        <v>1825</v>
      </c>
      <c r="F299" s="16" t="s">
        <v>1826</v>
      </c>
      <c r="G299" s="17">
        <v>37623</v>
      </c>
      <c r="H299" s="16" t="s">
        <v>723</v>
      </c>
      <c r="I299" s="16">
        <v>181</v>
      </c>
      <c r="J299" s="16">
        <v>2</v>
      </c>
      <c r="K299" s="16">
        <v>0</v>
      </c>
      <c r="L299" s="16" t="s">
        <v>1826</v>
      </c>
    </row>
    <row r="300" spans="1:12" x14ac:dyDescent="0.4">
      <c r="A300" s="16" t="s">
        <v>292</v>
      </c>
      <c r="B300" s="16">
        <v>13</v>
      </c>
      <c r="C300" s="16" t="s">
        <v>669</v>
      </c>
      <c r="D300" s="16" t="s">
        <v>1827</v>
      </c>
      <c r="E300" s="16" t="s">
        <v>1828</v>
      </c>
      <c r="F300" s="16" t="s">
        <v>1829</v>
      </c>
      <c r="G300" s="17">
        <v>35549</v>
      </c>
      <c r="H300" s="16" t="s">
        <v>1349</v>
      </c>
      <c r="I300" s="16">
        <v>183</v>
      </c>
      <c r="J300" s="16">
        <v>12</v>
      </c>
      <c r="K300" s="16">
        <v>0</v>
      </c>
      <c r="L300" s="16" t="s">
        <v>1829</v>
      </c>
    </row>
    <row r="301" spans="1:12" x14ac:dyDescent="0.4">
      <c r="A301" s="16" t="s">
        <v>292</v>
      </c>
      <c r="B301" s="16">
        <v>14</v>
      </c>
      <c r="C301" s="16" t="s">
        <v>691</v>
      </c>
      <c r="D301" s="16" t="s">
        <v>1830</v>
      </c>
      <c r="E301" s="16" t="s">
        <v>1831</v>
      </c>
      <c r="F301" s="16" t="s">
        <v>1832</v>
      </c>
      <c r="G301" s="17">
        <v>37975</v>
      </c>
      <c r="H301" s="16" t="s">
        <v>1833</v>
      </c>
      <c r="I301" s="16">
        <v>182</v>
      </c>
      <c r="J301" s="16">
        <v>30</v>
      </c>
      <c r="K301" s="16">
        <v>6</v>
      </c>
      <c r="L301" s="16" t="s">
        <v>1832</v>
      </c>
    </row>
    <row r="302" spans="1:12" x14ac:dyDescent="0.4">
      <c r="A302" s="16" t="s">
        <v>292</v>
      </c>
      <c r="B302" s="16">
        <v>15</v>
      </c>
      <c r="C302" s="16" t="s">
        <v>691</v>
      </c>
      <c r="D302" s="16" t="s">
        <v>1834</v>
      </c>
      <c r="E302" s="16" t="s">
        <v>1835</v>
      </c>
      <c r="F302" s="16" t="s">
        <v>1836</v>
      </c>
      <c r="G302" s="17">
        <v>37448</v>
      </c>
      <c r="H302" s="16" t="s">
        <v>1007</v>
      </c>
      <c r="I302" s="16">
        <v>173</v>
      </c>
      <c r="J302" s="16">
        <v>19</v>
      </c>
      <c r="K302" s="16">
        <v>6</v>
      </c>
      <c r="L302" s="16" t="s">
        <v>1837</v>
      </c>
    </row>
    <row r="303" spans="1:12" x14ac:dyDescent="0.4">
      <c r="A303" s="16" t="s">
        <v>292</v>
      </c>
      <c r="B303" s="16">
        <v>16</v>
      </c>
      <c r="C303" s="16" t="s">
        <v>664</v>
      </c>
      <c r="D303" s="16" t="s">
        <v>1838</v>
      </c>
      <c r="E303" s="16" t="s">
        <v>1839</v>
      </c>
      <c r="F303" s="16" t="s">
        <v>1407</v>
      </c>
      <c r="G303" s="17">
        <v>37322</v>
      </c>
      <c r="H303" s="16" t="s">
        <v>761</v>
      </c>
      <c r="I303" s="16">
        <v>186</v>
      </c>
      <c r="J303" s="16">
        <v>0</v>
      </c>
      <c r="K303" s="16">
        <v>0</v>
      </c>
      <c r="L303" s="16" t="s">
        <v>1407</v>
      </c>
    </row>
    <row r="304" spans="1:12" x14ac:dyDescent="0.4">
      <c r="A304" s="16" t="s">
        <v>292</v>
      </c>
      <c r="B304" s="16">
        <v>17</v>
      </c>
      <c r="C304" s="16" t="s">
        <v>669</v>
      </c>
      <c r="D304" s="16" t="s">
        <v>1840</v>
      </c>
      <c r="E304" s="16" t="s">
        <v>1841</v>
      </c>
      <c r="F304" s="16" t="s">
        <v>1842</v>
      </c>
      <c r="G304" s="17">
        <v>37546</v>
      </c>
      <c r="H304" s="16" t="s">
        <v>1011</v>
      </c>
      <c r="I304" s="16">
        <v>187</v>
      </c>
      <c r="J304" s="16">
        <v>20</v>
      </c>
      <c r="K304" s="16">
        <v>3</v>
      </c>
      <c r="L304" s="16" t="s">
        <v>1843</v>
      </c>
    </row>
    <row r="305" spans="1:12" x14ac:dyDescent="0.4">
      <c r="A305" s="16" t="s">
        <v>292</v>
      </c>
      <c r="B305" s="16">
        <v>18</v>
      </c>
      <c r="C305" s="16" t="s">
        <v>686</v>
      </c>
      <c r="D305" s="16" t="s">
        <v>1844</v>
      </c>
      <c r="E305" s="16" t="s">
        <v>751</v>
      </c>
      <c r="F305" s="16" t="s">
        <v>1845</v>
      </c>
      <c r="G305" s="17">
        <v>35766</v>
      </c>
      <c r="H305" s="16" t="s">
        <v>1846</v>
      </c>
      <c r="I305" s="16">
        <v>191</v>
      </c>
      <c r="J305" s="16">
        <v>57</v>
      </c>
      <c r="K305" s="16">
        <v>12</v>
      </c>
      <c r="L305" s="16" t="s">
        <v>1845</v>
      </c>
    </row>
    <row r="306" spans="1:12" x14ac:dyDescent="0.4">
      <c r="A306" s="16" t="s">
        <v>292</v>
      </c>
      <c r="B306" s="16">
        <v>19</v>
      </c>
      <c r="C306" s="16" t="s">
        <v>691</v>
      </c>
      <c r="D306" s="16" t="s">
        <v>1847</v>
      </c>
      <c r="E306" s="16" t="s">
        <v>889</v>
      </c>
      <c r="F306" s="16" t="s">
        <v>1848</v>
      </c>
      <c r="G306" s="17">
        <v>34848</v>
      </c>
      <c r="H306" s="16" t="s">
        <v>1274</v>
      </c>
      <c r="I306" s="16">
        <v>183</v>
      </c>
      <c r="J306" s="16">
        <v>56</v>
      </c>
      <c r="K306" s="16">
        <v>12</v>
      </c>
      <c r="L306" s="16" t="s">
        <v>1848</v>
      </c>
    </row>
    <row r="307" spans="1:12" x14ac:dyDescent="0.4">
      <c r="A307" s="16" t="s">
        <v>292</v>
      </c>
      <c r="B307" s="16">
        <v>20</v>
      </c>
      <c r="C307" s="16" t="s">
        <v>669</v>
      </c>
      <c r="D307" s="16" t="s">
        <v>1849</v>
      </c>
      <c r="E307" s="16" t="s">
        <v>1850</v>
      </c>
      <c r="F307" s="16" t="s">
        <v>1851</v>
      </c>
      <c r="G307" s="17">
        <v>35598</v>
      </c>
      <c r="H307" s="16" t="s">
        <v>1852</v>
      </c>
      <c r="I307" s="16">
        <v>185</v>
      </c>
      <c r="J307" s="16">
        <v>20</v>
      </c>
      <c r="K307" s="16">
        <v>2</v>
      </c>
      <c r="L307" s="16" t="s">
        <v>1851</v>
      </c>
    </row>
    <row r="308" spans="1:12" x14ac:dyDescent="0.4">
      <c r="A308" s="16" t="s">
        <v>292</v>
      </c>
      <c r="B308" s="16">
        <v>21</v>
      </c>
      <c r="C308" s="16" t="s">
        <v>669</v>
      </c>
      <c r="D308" s="16" t="s">
        <v>1853</v>
      </c>
      <c r="E308" s="16" t="s">
        <v>1854</v>
      </c>
      <c r="F308" s="16" t="s">
        <v>1855</v>
      </c>
      <c r="G308" s="17">
        <v>36392</v>
      </c>
      <c r="H308" s="16" t="s">
        <v>1856</v>
      </c>
      <c r="I308" s="16">
        <v>192</v>
      </c>
      <c r="J308" s="16">
        <v>28</v>
      </c>
      <c r="K308" s="16">
        <v>0</v>
      </c>
      <c r="L308" s="16" t="s">
        <v>1855</v>
      </c>
    </row>
    <row r="309" spans="1:12" x14ac:dyDescent="0.4">
      <c r="A309" s="16" t="s">
        <v>292</v>
      </c>
      <c r="B309" s="16">
        <v>22</v>
      </c>
      <c r="C309" s="16" t="s">
        <v>691</v>
      </c>
      <c r="D309" s="16" t="s">
        <v>1857</v>
      </c>
      <c r="E309" s="16" t="s">
        <v>1858</v>
      </c>
      <c r="F309" s="16" t="s">
        <v>1859</v>
      </c>
      <c r="G309" s="17">
        <v>37073</v>
      </c>
      <c r="H309" s="16" t="s">
        <v>1570</v>
      </c>
      <c r="I309" s="16">
        <v>188</v>
      </c>
      <c r="J309" s="16">
        <v>21</v>
      </c>
      <c r="K309" s="16">
        <v>4</v>
      </c>
      <c r="L309" s="16" t="s">
        <v>1859</v>
      </c>
    </row>
    <row r="310" spans="1:12" x14ac:dyDescent="0.4">
      <c r="A310" s="16" t="s">
        <v>292</v>
      </c>
      <c r="B310" s="16">
        <v>23</v>
      </c>
      <c r="C310" s="16" t="s">
        <v>664</v>
      </c>
      <c r="D310" s="16" t="s">
        <v>1860</v>
      </c>
      <c r="E310" s="16" t="s">
        <v>1861</v>
      </c>
      <c r="F310" s="16" t="s">
        <v>1862</v>
      </c>
      <c r="G310" s="17">
        <v>36183</v>
      </c>
      <c r="H310" s="16" t="s">
        <v>1863</v>
      </c>
      <c r="I310" s="16">
        <v>196</v>
      </c>
      <c r="J310" s="16">
        <v>4</v>
      </c>
      <c r="K310" s="16">
        <v>0</v>
      </c>
      <c r="L310" s="16" t="s">
        <v>1862</v>
      </c>
    </row>
    <row r="311" spans="1:12" x14ac:dyDescent="0.4">
      <c r="A311" s="16" t="s">
        <v>292</v>
      </c>
      <c r="B311" s="16">
        <v>24</v>
      </c>
      <c r="C311" s="16" t="s">
        <v>691</v>
      </c>
      <c r="D311" s="16" t="s">
        <v>1864</v>
      </c>
      <c r="E311" s="16" t="s">
        <v>1865</v>
      </c>
      <c r="F311" s="16" t="s">
        <v>802</v>
      </c>
      <c r="G311" s="17">
        <v>38778</v>
      </c>
      <c r="H311" s="16" t="s">
        <v>949</v>
      </c>
      <c r="I311" s="16">
        <v>178</v>
      </c>
      <c r="J311" s="16">
        <v>6</v>
      </c>
      <c r="K311" s="16">
        <v>2</v>
      </c>
      <c r="L311" s="16" t="s">
        <v>802</v>
      </c>
    </row>
    <row r="312" spans="1:12" x14ac:dyDescent="0.4">
      <c r="A312" s="16" t="s">
        <v>292</v>
      </c>
      <c r="B312" s="16">
        <v>25</v>
      </c>
      <c r="C312" s="16" t="s">
        <v>686</v>
      </c>
      <c r="D312" s="16" t="s">
        <v>1866</v>
      </c>
      <c r="E312" s="16" t="s">
        <v>1867</v>
      </c>
      <c r="F312" s="16" t="s">
        <v>1868</v>
      </c>
      <c r="G312" s="17">
        <v>36944</v>
      </c>
      <c r="H312" s="16" t="s">
        <v>761</v>
      </c>
      <c r="I312" s="16">
        <v>165</v>
      </c>
      <c r="J312" s="16">
        <v>5</v>
      </c>
      <c r="K312" s="16">
        <v>0</v>
      </c>
      <c r="L312" s="16" t="s">
        <v>1868</v>
      </c>
    </row>
    <row r="313" spans="1:12" x14ac:dyDescent="0.4">
      <c r="A313" s="16" t="s">
        <v>292</v>
      </c>
      <c r="B313" s="16">
        <v>26</v>
      </c>
      <c r="C313" s="16" t="s">
        <v>686</v>
      </c>
      <c r="D313" s="16" t="s">
        <v>1869</v>
      </c>
      <c r="E313" s="16" t="s">
        <v>1870</v>
      </c>
      <c r="F313" s="16" t="s">
        <v>1871</v>
      </c>
      <c r="G313" s="17">
        <v>38813</v>
      </c>
      <c r="H313" s="16" t="s">
        <v>1363</v>
      </c>
      <c r="I313" s="16">
        <v>173</v>
      </c>
      <c r="J313" s="16">
        <v>9</v>
      </c>
      <c r="K313" s="16">
        <v>0</v>
      </c>
      <c r="L313" s="16" t="s">
        <v>1872</v>
      </c>
    </row>
    <row r="314" spans="1:12" x14ac:dyDescent="0.4">
      <c r="A314" s="16" t="s">
        <v>323</v>
      </c>
      <c r="B314" s="16">
        <v>1</v>
      </c>
      <c r="C314" s="16" t="s">
        <v>664</v>
      </c>
      <c r="D314" s="16" t="s">
        <v>1873</v>
      </c>
      <c r="E314" s="16" t="s">
        <v>1874</v>
      </c>
      <c r="F314" s="16" t="s">
        <v>1875</v>
      </c>
      <c r="G314" s="17">
        <v>34708</v>
      </c>
      <c r="H314" s="16" t="s">
        <v>1876</v>
      </c>
      <c r="I314" s="16">
        <v>188</v>
      </c>
      <c r="J314" s="16">
        <v>75</v>
      </c>
      <c r="K314" s="16">
        <v>0</v>
      </c>
      <c r="L314" s="16" t="s">
        <v>1875</v>
      </c>
    </row>
    <row r="315" spans="1:12" x14ac:dyDescent="0.4">
      <c r="A315" s="16" t="s">
        <v>323</v>
      </c>
      <c r="B315" s="16">
        <v>2</v>
      </c>
      <c r="C315" s="16" t="s">
        <v>669</v>
      </c>
      <c r="D315" s="16" t="s">
        <v>1877</v>
      </c>
      <c r="E315" s="16" t="s">
        <v>1878</v>
      </c>
      <c r="F315" s="16" t="s">
        <v>1879</v>
      </c>
      <c r="G315" s="17">
        <v>36618</v>
      </c>
      <c r="H315" s="16" t="s">
        <v>944</v>
      </c>
      <c r="I315" s="16">
        <v>186</v>
      </c>
      <c r="J315" s="16">
        <v>31</v>
      </c>
      <c r="K315" s="16">
        <v>0</v>
      </c>
      <c r="L315" s="16" t="s">
        <v>1879</v>
      </c>
    </row>
    <row r="316" spans="1:12" x14ac:dyDescent="0.4">
      <c r="A316" s="16" t="s">
        <v>323</v>
      </c>
      <c r="B316" s="16">
        <v>3</v>
      </c>
      <c r="C316" s="16" t="s">
        <v>669</v>
      </c>
      <c r="D316" s="16" t="s">
        <v>1880</v>
      </c>
      <c r="E316" s="16" t="s">
        <v>1881</v>
      </c>
      <c r="F316" s="16" t="s">
        <v>1882</v>
      </c>
      <c r="G316" s="17">
        <v>35684</v>
      </c>
      <c r="H316" s="16" t="s">
        <v>1883</v>
      </c>
      <c r="I316" s="16">
        <v>193</v>
      </c>
      <c r="J316" s="16">
        <v>20</v>
      </c>
      <c r="K316" s="16">
        <v>0</v>
      </c>
      <c r="L316" s="16" t="s">
        <v>1882</v>
      </c>
    </row>
    <row r="317" spans="1:12" x14ac:dyDescent="0.4">
      <c r="A317" s="16" t="s">
        <v>323</v>
      </c>
      <c r="B317" s="16">
        <v>4</v>
      </c>
      <c r="C317" s="16" t="s">
        <v>669</v>
      </c>
      <c r="D317" s="16" t="s">
        <v>1884</v>
      </c>
      <c r="E317" s="16" t="s">
        <v>1885</v>
      </c>
      <c r="F317" s="16" t="s">
        <v>1886</v>
      </c>
      <c r="G317" s="17">
        <v>37279</v>
      </c>
      <c r="H317" s="16" t="s">
        <v>727</v>
      </c>
      <c r="I317" s="16">
        <v>185</v>
      </c>
      <c r="J317" s="16">
        <v>48</v>
      </c>
      <c r="K317" s="16">
        <v>4</v>
      </c>
      <c r="L317" s="16" t="s">
        <v>1886</v>
      </c>
    </row>
    <row r="318" spans="1:12" x14ac:dyDescent="0.4">
      <c r="A318" s="16" t="s">
        <v>323</v>
      </c>
      <c r="B318" s="16">
        <v>5</v>
      </c>
      <c r="C318" s="16" t="s">
        <v>669</v>
      </c>
      <c r="D318" s="16" t="s">
        <v>1887</v>
      </c>
      <c r="E318" s="16" t="s">
        <v>1888</v>
      </c>
      <c r="F318" s="16" t="s">
        <v>1889</v>
      </c>
      <c r="G318" s="17">
        <v>35325</v>
      </c>
      <c r="H318" s="16" t="s">
        <v>1890</v>
      </c>
      <c r="I318" s="16">
        <v>193</v>
      </c>
      <c r="J318" s="16">
        <v>38</v>
      </c>
      <c r="K318" s="16">
        <v>1</v>
      </c>
      <c r="L318" s="16" t="s">
        <v>1889</v>
      </c>
    </row>
    <row r="319" spans="1:12" x14ac:dyDescent="0.4">
      <c r="A319" s="16" t="s">
        <v>323</v>
      </c>
      <c r="B319" s="16">
        <v>6</v>
      </c>
      <c r="C319" s="16" t="s">
        <v>669</v>
      </c>
      <c r="D319" s="16" t="s">
        <v>1891</v>
      </c>
      <c r="E319" s="16" t="s">
        <v>1878</v>
      </c>
      <c r="F319" s="16" t="s">
        <v>1892</v>
      </c>
      <c r="G319" s="17">
        <v>36584</v>
      </c>
      <c r="H319" s="16" t="s">
        <v>1893</v>
      </c>
      <c r="I319" s="16">
        <v>185</v>
      </c>
      <c r="J319" s="16">
        <v>33</v>
      </c>
      <c r="K319" s="16">
        <v>0</v>
      </c>
      <c r="L319" s="16" t="s">
        <v>1892</v>
      </c>
    </row>
    <row r="320" spans="1:12" x14ac:dyDescent="0.4">
      <c r="A320" s="16" t="s">
        <v>323</v>
      </c>
      <c r="B320" s="16">
        <v>7</v>
      </c>
      <c r="C320" s="16" t="s">
        <v>686</v>
      </c>
      <c r="D320" s="16" t="s">
        <v>1894</v>
      </c>
      <c r="E320" s="16" t="s">
        <v>1060</v>
      </c>
      <c r="F320" s="16" t="s">
        <v>1895</v>
      </c>
      <c r="G320" s="17">
        <v>35866</v>
      </c>
      <c r="H320" s="16" t="s">
        <v>1575</v>
      </c>
      <c r="I320" s="16">
        <v>183</v>
      </c>
      <c r="J320" s="16">
        <v>10</v>
      </c>
      <c r="K320" s="16">
        <v>0</v>
      </c>
      <c r="L320" s="16" t="s">
        <v>1895</v>
      </c>
    </row>
    <row r="321" spans="1:12" x14ac:dyDescent="0.4">
      <c r="A321" s="16" t="s">
        <v>323</v>
      </c>
      <c r="B321" s="16">
        <v>8</v>
      </c>
      <c r="C321" s="16" t="s">
        <v>686</v>
      </c>
      <c r="D321" s="16" t="s">
        <v>1896</v>
      </c>
      <c r="E321" s="16" t="s">
        <v>1897</v>
      </c>
      <c r="F321" s="16" t="s">
        <v>1898</v>
      </c>
      <c r="G321" s="17">
        <v>34460</v>
      </c>
      <c r="H321" s="16" t="s">
        <v>727</v>
      </c>
      <c r="I321" s="16">
        <v>178</v>
      </c>
      <c r="J321" s="16">
        <v>113</v>
      </c>
      <c r="K321" s="16">
        <v>5</v>
      </c>
      <c r="L321" s="16" t="s">
        <v>1898</v>
      </c>
    </row>
    <row r="322" spans="1:12" x14ac:dyDescent="0.4">
      <c r="A322" s="16" t="s">
        <v>323</v>
      </c>
      <c r="B322" s="16">
        <v>9</v>
      </c>
      <c r="C322" s="16" t="s">
        <v>691</v>
      </c>
      <c r="D322" s="16" t="s">
        <v>1899</v>
      </c>
      <c r="E322" s="16" t="s">
        <v>1900</v>
      </c>
      <c r="F322" s="16" t="s">
        <v>1901</v>
      </c>
      <c r="G322" s="17">
        <v>33408</v>
      </c>
      <c r="H322" s="16" t="s">
        <v>949</v>
      </c>
      <c r="I322" s="16">
        <v>177</v>
      </c>
      <c r="J322" s="16">
        <v>116</v>
      </c>
      <c r="K322" s="16">
        <v>36</v>
      </c>
      <c r="L322" s="16" t="s">
        <v>1901</v>
      </c>
    </row>
    <row r="323" spans="1:12" x14ac:dyDescent="0.4">
      <c r="A323" s="16" t="s">
        <v>323</v>
      </c>
      <c r="B323" s="16">
        <v>10</v>
      </c>
      <c r="C323" s="16" t="s">
        <v>686</v>
      </c>
      <c r="D323" s="16" t="s">
        <v>1902</v>
      </c>
      <c r="E323" s="16" t="s">
        <v>1903</v>
      </c>
      <c r="F323" s="16" t="s">
        <v>1904</v>
      </c>
      <c r="G323" s="17">
        <v>31299</v>
      </c>
      <c r="H323" s="16" t="s">
        <v>1023</v>
      </c>
      <c r="I323" s="16">
        <v>172</v>
      </c>
      <c r="J323" s="16">
        <v>198</v>
      </c>
      <c r="K323" s="16">
        <v>29</v>
      </c>
      <c r="L323" s="16" t="s">
        <v>1904</v>
      </c>
    </row>
    <row r="324" spans="1:12" x14ac:dyDescent="0.4">
      <c r="A324" s="16" t="s">
        <v>323</v>
      </c>
      <c r="B324" s="16">
        <v>11</v>
      </c>
      <c r="C324" s="16" t="s">
        <v>691</v>
      </c>
      <c r="D324" s="16" t="s">
        <v>1905</v>
      </c>
      <c r="E324" s="16" t="s">
        <v>1906</v>
      </c>
      <c r="F324" s="16" t="s">
        <v>1907</v>
      </c>
      <c r="G324" s="17">
        <v>33441</v>
      </c>
      <c r="H324" s="16" t="s">
        <v>1908</v>
      </c>
      <c r="I324" s="16">
        <v>190</v>
      </c>
      <c r="J324" s="16">
        <v>38</v>
      </c>
      <c r="K324" s="16">
        <v>6</v>
      </c>
      <c r="L324" s="16" t="s">
        <v>1907</v>
      </c>
    </row>
    <row r="325" spans="1:12" x14ac:dyDescent="0.4">
      <c r="A325" s="16" t="s">
        <v>323</v>
      </c>
      <c r="B325" s="16">
        <v>12</v>
      </c>
      <c r="C325" s="16" t="s">
        <v>664</v>
      </c>
      <c r="D325" s="16" t="s">
        <v>1909</v>
      </c>
      <c r="E325" s="16" t="s">
        <v>1910</v>
      </c>
      <c r="F325" s="16" t="s">
        <v>1911</v>
      </c>
      <c r="G325" s="17">
        <v>36610</v>
      </c>
      <c r="H325" s="16" t="s">
        <v>1114</v>
      </c>
      <c r="I325" s="16">
        <v>187</v>
      </c>
      <c r="J325" s="16">
        <v>0</v>
      </c>
      <c r="K325" s="16">
        <v>0</v>
      </c>
      <c r="L325" s="16" t="s">
        <v>1911</v>
      </c>
    </row>
    <row r="326" spans="1:12" x14ac:dyDescent="0.4">
      <c r="A326" s="16" t="s">
        <v>323</v>
      </c>
      <c r="B326" s="16">
        <v>13</v>
      </c>
      <c r="C326" s="16" t="s">
        <v>686</v>
      </c>
      <c r="D326" s="16" t="s">
        <v>1912</v>
      </c>
      <c r="E326" s="16" t="s">
        <v>1060</v>
      </c>
      <c r="F326" s="16" t="s">
        <v>1913</v>
      </c>
      <c r="G326" s="17">
        <v>35707</v>
      </c>
      <c r="H326" s="16" t="s">
        <v>1914</v>
      </c>
      <c r="I326" s="16">
        <v>179</v>
      </c>
      <c r="J326" s="16">
        <v>63</v>
      </c>
      <c r="K326" s="16">
        <v>10</v>
      </c>
      <c r="L326" s="16" t="s">
        <v>1913</v>
      </c>
    </row>
    <row r="327" spans="1:12" x14ac:dyDescent="0.4">
      <c r="A327" s="16" t="s">
        <v>323</v>
      </c>
      <c r="B327" s="16">
        <v>14</v>
      </c>
      <c r="C327" s="16" t="s">
        <v>691</v>
      </c>
      <c r="D327" s="16" t="s">
        <v>1915</v>
      </c>
      <c r="E327" s="16" t="s">
        <v>1103</v>
      </c>
      <c r="F327" s="16" t="s">
        <v>1916</v>
      </c>
      <c r="G327" s="17">
        <v>32541</v>
      </c>
      <c r="H327" s="16" t="s">
        <v>956</v>
      </c>
      <c r="I327" s="16">
        <v>186</v>
      </c>
      <c r="J327" s="16">
        <v>154</v>
      </c>
      <c r="K327" s="16">
        <v>38</v>
      </c>
      <c r="L327" s="16" t="s">
        <v>1916</v>
      </c>
    </row>
    <row r="328" spans="1:12" x14ac:dyDescent="0.4">
      <c r="A328" s="16" t="s">
        <v>323</v>
      </c>
      <c r="B328" s="16">
        <v>15</v>
      </c>
      <c r="C328" s="16" t="s">
        <v>686</v>
      </c>
      <c r="D328" s="16" t="s">
        <v>1917</v>
      </c>
      <c r="E328" s="16" t="s">
        <v>1918</v>
      </c>
      <c r="F328" s="16" t="s">
        <v>1919</v>
      </c>
      <c r="G328" s="17">
        <v>34739</v>
      </c>
      <c r="H328" s="16" t="s">
        <v>1027</v>
      </c>
      <c r="I328" s="16">
        <v>188</v>
      </c>
      <c r="J328" s="16">
        <v>85</v>
      </c>
      <c r="K328" s="16">
        <v>12</v>
      </c>
      <c r="L328" s="16" t="s">
        <v>1919</v>
      </c>
    </row>
    <row r="329" spans="1:12" x14ac:dyDescent="0.4">
      <c r="A329" s="16" t="s">
        <v>323</v>
      </c>
      <c r="B329" s="16">
        <v>16</v>
      </c>
      <c r="C329" s="16" t="s">
        <v>686</v>
      </c>
      <c r="D329" s="16" t="s">
        <v>1920</v>
      </c>
      <c r="E329" s="16" t="s">
        <v>1132</v>
      </c>
      <c r="F329" s="16" t="s">
        <v>1921</v>
      </c>
      <c r="G329" s="17">
        <v>37668</v>
      </c>
      <c r="H329" s="16" t="s">
        <v>1532</v>
      </c>
      <c r="I329" s="16">
        <v>172</v>
      </c>
      <c r="J329" s="16">
        <v>19</v>
      </c>
      <c r="K329" s="16">
        <v>1</v>
      </c>
      <c r="L329" s="16" t="s">
        <v>1921</v>
      </c>
    </row>
    <row r="330" spans="1:12" x14ac:dyDescent="0.4">
      <c r="A330" s="16" t="s">
        <v>323</v>
      </c>
      <c r="B330" s="16">
        <v>17</v>
      </c>
      <c r="C330" s="16" t="s">
        <v>686</v>
      </c>
      <c r="D330" s="16" t="s">
        <v>1922</v>
      </c>
      <c r="E330" s="16" t="s">
        <v>1923</v>
      </c>
      <c r="F330" s="16" t="s">
        <v>1924</v>
      </c>
      <c r="G330" s="17">
        <v>37919</v>
      </c>
      <c r="H330" s="16" t="s">
        <v>1547</v>
      </c>
      <c r="I330" s="16">
        <v>183</v>
      </c>
      <c r="J330" s="16">
        <v>17</v>
      </c>
      <c r="K330" s="16">
        <v>1</v>
      </c>
      <c r="L330" s="16" t="s">
        <v>1925</v>
      </c>
    </row>
    <row r="331" spans="1:12" x14ac:dyDescent="0.4">
      <c r="A331" s="16" t="s">
        <v>323</v>
      </c>
      <c r="B331" s="16">
        <v>18</v>
      </c>
      <c r="C331" s="16" t="s">
        <v>669</v>
      </c>
      <c r="D331" s="16" t="s">
        <v>1926</v>
      </c>
      <c r="E331" s="16" t="s">
        <v>1927</v>
      </c>
      <c r="F331" s="16" t="s">
        <v>1928</v>
      </c>
      <c r="G331" s="17">
        <v>35564</v>
      </c>
      <c r="H331" s="16" t="s">
        <v>909</v>
      </c>
      <c r="I331" s="16">
        <v>181</v>
      </c>
      <c r="J331" s="16">
        <v>17</v>
      </c>
      <c r="K331" s="16">
        <v>2</v>
      </c>
      <c r="L331" s="16" t="s">
        <v>1928</v>
      </c>
    </row>
    <row r="332" spans="1:12" x14ac:dyDescent="0.4">
      <c r="A332" s="16" t="s">
        <v>323</v>
      </c>
      <c r="B332" s="16">
        <v>19</v>
      </c>
      <c r="C332" s="16" t="s">
        <v>686</v>
      </c>
      <c r="D332" s="16" t="s">
        <v>1929</v>
      </c>
      <c r="E332" s="16" t="s">
        <v>1930</v>
      </c>
      <c r="F332" s="16" t="s">
        <v>1931</v>
      </c>
      <c r="G332" s="17">
        <v>36959</v>
      </c>
      <c r="H332" s="16" t="s">
        <v>1130</v>
      </c>
      <c r="I332" s="16">
        <v>177</v>
      </c>
      <c r="J332" s="16">
        <v>7</v>
      </c>
      <c r="K332" s="16">
        <v>1</v>
      </c>
      <c r="L332" s="16" t="s">
        <v>1931</v>
      </c>
    </row>
    <row r="333" spans="1:12" x14ac:dyDescent="0.4">
      <c r="A333" s="16" t="s">
        <v>323</v>
      </c>
      <c r="B333" s="16">
        <v>20</v>
      </c>
      <c r="C333" s="16" t="s">
        <v>691</v>
      </c>
      <c r="D333" s="16" t="s">
        <v>1932</v>
      </c>
      <c r="E333" s="16" t="s">
        <v>1933</v>
      </c>
      <c r="F333" s="16" t="s">
        <v>1934</v>
      </c>
      <c r="G333" s="17">
        <v>37711</v>
      </c>
      <c r="H333" s="16" t="s">
        <v>925</v>
      </c>
      <c r="I333" s="16">
        <v>194</v>
      </c>
      <c r="J333" s="16">
        <v>9</v>
      </c>
      <c r="K333" s="16">
        <v>2</v>
      </c>
      <c r="L333" s="16" t="s">
        <v>1934</v>
      </c>
    </row>
    <row r="334" spans="1:12" x14ac:dyDescent="0.4">
      <c r="A334" s="16" t="s">
        <v>323</v>
      </c>
      <c r="B334" s="16">
        <v>21</v>
      </c>
      <c r="C334" s="16" t="s">
        <v>686</v>
      </c>
      <c r="D334" s="16" t="s">
        <v>1935</v>
      </c>
      <c r="E334" s="16" t="s">
        <v>1903</v>
      </c>
      <c r="F334" s="16" t="s">
        <v>1925</v>
      </c>
      <c r="G334" s="17">
        <v>37507</v>
      </c>
      <c r="H334" s="16" t="s">
        <v>1890</v>
      </c>
      <c r="I334" s="16">
        <v>185</v>
      </c>
      <c r="J334" s="16">
        <v>21</v>
      </c>
      <c r="K334" s="16">
        <v>1</v>
      </c>
      <c r="L334" s="16" t="s">
        <v>1925</v>
      </c>
    </row>
    <row r="335" spans="1:12" x14ac:dyDescent="0.4">
      <c r="A335" s="16" t="s">
        <v>323</v>
      </c>
      <c r="B335" s="16">
        <v>22</v>
      </c>
      <c r="C335" s="16" t="s">
        <v>669</v>
      </c>
      <c r="D335" s="16" t="s">
        <v>1936</v>
      </c>
      <c r="E335" s="16" t="s">
        <v>1903</v>
      </c>
      <c r="F335" s="16" t="s">
        <v>1937</v>
      </c>
      <c r="G335" s="17">
        <v>39137</v>
      </c>
      <c r="H335" s="16" t="s">
        <v>1938</v>
      </c>
      <c r="I335" s="16">
        <v>193</v>
      </c>
      <c r="J335" s="16">
        <v>5</v>
      </c>
      <c r="K335" s="16">
        <v>1</v>
      </c>
      <c r="L335" s="16" t="s">
        <v>1937</v>
      </c>
    </row>
    <row r="336" spans="1:12" x14ac:dyDescent="0.4">
      <c r="A336" s="16" t="s">
        <v>323</v>
      </c>
      <c r="B336" s="16">
        <v>23</v>
      </c>
      <c r="C336" s="16" t="s">
        <v>664</v>
      </c>
      <c r="D336" s="16" t="s">
        <v>1939</v>
      </c>
      <c r="E336" s="16" t="s">
        <v>1874</v>
      </c>
      <c r="F336" s="16" t="s">
        <v>1940</v>
      </c>
      <c r="G336" s="17">
        <v>36566</v>
      </c>
      <c r="H336" s="16" t="s">
        <v>1941</v>
      </c>
      <c r="I336" s="16">
        <v>190</v>
      </c>
      <c r="J336" s="16">
        <v>4</v>
      </c>
      <c r="K336" s="16">
        <v>0</v>
      </c>
      <c r="L336" s="16" t="s">
        <v>1940</v>
      </c>
    </row>
    <row r="337" spans="1:12" x14ac:dyDescent="0.4">
      <c r="A337" s="16" t="s">
        <v>323</v>
      </c>
      <c r="B337" s="16">
        <v>24</v>
      </c>
      <c r="C337" s="16" t="s">
        <v>691</v>
      </c>
      <c r="D337" s="16" t="s">
        <v>1942</v>
      </c>
      <c r="E337" s="16" t="s">
        <v>951</v>
      </c>
      <c r="F337" s="16" t="s">
        <v>1943</v>
      </c>
      <c r="G337" s="17">
        <v>36783</v>
      </c>
      <c r="H337" s="16" t="s">
        <v>1435</v>
      </c>
      <c r="I337" s="16">
        <v>177</v>
      </c>
      <c r="J337" s="16">
        <v>15</v>
      </c>
      <c r="K337" s="16">
        <v>1</v>
      </c>
      <c r="L337" s="16" t="s">
        <v>1919</v>
      </c>
    </row>
    <row r="338" spans="1:12" x14ac:dyDescent="0.4">
      <c r="A338" s="16" t="s">
        <v>323</v>
      </c>
      <c r="B338" s="16">
        <v>25</v>
      </c>
      <c r="C338" s="16" t="s">
        <v>669</v>
      </c>
      <c r="D338" s="16" t="s">
        <v>1944</v>
      </c>
      <c r="E338" s="16" t="s">
        <v>1132</v>
      </c>
      <c r="F338" s="16" t="s">
        <v>1945</v>
      </c>
      <c r="G338" s="17">
        <v>35819</v>
      </c>
      <c r="H338" s="16" t="s">
        <v>1946</v>
      </c>
      <c r="I338" s="16">
        <v>192</v>
      </c>
      <c r="J338" s="16">
        <v>13</v>
      </c>
      <c r="K338" s="16">
        <v>1</v>
      </c>
      <c r="L338" s="16" t="s">
        <v>1945</v>
      </c>
    </row>
    <row r="339" spans="1:12" x14ac:dyDescent="0.4">
      <c r="A339" s="16" t="s">
        <v>323</v>
      </c>
      <c r="B339" s="16">
        <v>26</v>
      </c>
      <c r="C339" s="16" t="s">
        <v>691</v>
      </c>
      <c r="D339" s="16" t="s">
        <v>1947</v>
      </c>
      <c r="E339" s="16" t="s">
        <v>1923</v>
      </c>
      <c r="F339" s="16" t="s">
        <v>1948</v>
      </c>
      <c r="G339" s="17">
        <v>35858</v>
      </c>
      <c r="H339" s="16" t="s">
        <v>1949</v>
      </c>
      <c r="I339" s="16">
        <v>190</v>
      </c>
      <c r="J339" s="16">
        <v>11</v>
      </c>
      <c r="K339" s="16">
        <v>1</v>
      </c>
      <c r="L339" s="16" t="s">
        <v>1948</v>
      </c>
    </row>
    <row r="340" spans="1:12" x14ac:dyDescent="0.4">
      <c r="A340" s="16" t="s">
        <v>317</v>
      </c>
      <c r="B340" s="16">
        <v>1</v>
      </c>
      <c r="C340" s="16" t="s">
        <v>664</v>
      </c>
      <c r="D340" s="16" t="s">
        <v>1950</v>
      </c>
      <c r="E340" s="16" t="s">
        <v>1951</v>
      </c>
      <c r="F340" s="16" t="s">
        <v>1952</v>
      </c>
      <c r="G340" s="17">
        <v>32545</v>
      </c>
      <c r="H340" s="16" t="s">
        <v>1953</v>
      </c>
      <c r="I340" s="16">
        <v>190</v>
      </c>
      <c r="J340" s="16">
        <v>71</v>
      </c>
      <c r="K340" s="16">
        <v>0</v>
      </c>
      <c r="L340" s="16" t="s">
        <v>1952</v>
      </c>
    </row>
    <row r="341" spans="1:12" x14ac:dyDescent="0.4">
      <c r="A341" s="16" t="s">
        <v>317</v>
      </c>
      <c r="B341" s="16">
        <v>2</v>
      </c>
      <c r="C341" s="16" t="s">
        <v>669</v>
      </c>
      <c r="D341" s="16" t="s">
        <v>1954</v>
      </c>
      <c r="E341" s="16" t="s">
        <v>1955</v>
      </c>
      <c r="F341" s="16" t="s">
        <v>1956</v>
      </c>
      <c r="G341" s="17">
        <v>37122</v>
      </c>
      <c r="H341" s="16" t="s">
        <v>1957</v>
      </c>
      <c r="I341" s="16">
        <v>174</v>
      </c>
      <c r="J341" s="16">
        <v>8</v>
      </c>
      <c r="K341" s="16">
        <v>0</v>
      </c>
      <c r="L341" s="16" t="s">
        <v>1956</v>
      </c>
    </row>
    <row r="342" spans="1:12" x14ac:dyDescent="0.4">
      <c r="A342" s="16" t="s">
        <v>317</v>
      </c>
      <c r="B342" s="16">
        <v>3</v>
      </c>
      <c r="C342" s="16" t="s">
        <v>669</v>
      </c>
      <c r="D342" s="16" t="s">
        <v>1958</v>
      </c>
      <c r="E342" s="16" t="s">
        <v>1959</v>
      </c>
      <c r="F342" s="16" t="s">
        <v>1960</v>
      </c>
      <c r="G342" s="17">
        <v>34326</v>
      </c>
      <c r="H342" s="16" t="s">
        <v>1961</v>
      </c>
      <c r="I342" s="16">
        <v>183</v>
      </c>
      <c r="J342" s="16">
        <v>60</v>
      </c>
      <c r="K342" s="16">
        <v>1</v>
      </c>
      <c r="L342" s="16" t="s">
        <v>1960</v>
      </c>
    </row>
    <row r="343" spans="1:12" x14ac:dyDescent="0.4">
      <c r="A343" s="16" t="s">
        <v>317</v>
      </c>
      <c r="B343" s="16">
        <v>4</v>
      </c>
      <c r="C343" s="16" t="s">
        <v>669</v>
      </c>
      <c r="D343" s="16" t="s">
        <v>1962</v>
      </c>
      <c r="E343" s="16" t="s">
        <v>1963</v>
      </c>
      <c r="F343" s="16" t="s">
        <v>1964</v>
      </c>
      <c r="G343" s="17">
        <v>35955</v>
      </c>
      <c r="H343" s="16" t="s">
        <v>1965</v>
      </c>
      <c r="I343" s="16">
        <v>186</v>
      </c>
      <c r="J343" s="16">
        <v>28</v>
      </c>
      <c r="K343" s="16">
        <v>1</v>
      </c>
      <c r="L343" s="16" t="s">
        <v>1964</v>
      </c>
    </row>
    <row r="344" spans="1:12" x14ac:dyDescent="0.4">
      <c r="A344" s="16" t="s">
        <v>317</v>
      </c>
      <c r="B344" s="16">
        <v>5</v>
      </c>
      <c r="C344" s="16" t="s">
        <v>669</v>
      </c>
      <c r="D344" s="16" t="s">
        <v>1966</v>
      </c>
      <c r="E344" s="16" t="s">
        <v>1967</v>
      </c>
      <c r="F344" s="16" t="s">
        <v>1968</v>
      </c>
      <c r="G344" s="17">
        <v>36030</v>
      </c>
      <c r="H344" s="16" t="s">
        <v>1298</v>
      </c>
      <c r="I344" s="16">
        <v>181</v>
      </c>
      <c r="J344" s="16">
        <v>28</v>
      </c>
      <c r="K344" s="16">
        <v>0</v>
      </c>
      <c r="L344" s="16" t="s">
        <v>1968</v>
      </c>
    </row>
    <row r="345" spans="1:12" x14ac:dyDescent="0.4">
      <c r="A345" s="16" t="s">
        <v>317</v>
      </c>
      <c r="B345" s="16">
        <v>6</v>
      </c>
      <c r="C345" s="16" t="s">
        <v>686</v>
      </c>
      <c r="D345" s="16" t="s">
        <v>1969</v>
      </c>
      <c r="E345" s="16" t="s">
        <v>1970</v>
      </c>
      <c r="F345" s="16" t="s">
        <v>1971</v>
      </c>
      <c r="G345" s="17">
        <v>36391</v>
      </c>
      <c r="H345" s="16" t="s">
        <v>1965</v>
      </c>
      <c r="I345" s="16">
        <v>178</v>
      </c>
      <c r="J345" s="16">
        <v>28</v>
      </c>
      <c r="K345" s="16">
        <v>1</v>
      </c>
      <c r="L345" s="16" t="s">
        <v>1971</v>
      </c>
    </row>
    <row r="346" spans="1:12" x14ac:dyDescent="0.4">
      <c r="A346" s="16" t="s">
        <v>317</v>
      </c>
      <c r="B346" s="16">
        <v>7</v>
      </c>
      <c r="C346" s="16" t="s">
        <v>686</v>
      </c>
      <c r="D346" s="16" t="s">
        <v>1972</v>
      </c>
      <c r="E346" s="16" t="s">
        <v>1973</v>
      </c>
      <c r="F346" s="16" t="s">
        <v>1974</v>
      </c>
      <c r="G346" s="17">
        <v>35649</v>
      </c>
      <c r="H346" s="16" t="s">
        <v>1975</v>
      </c>
      <c r="I346" s="16">
        <v>178</v>
      </c>
      <c r="J346" s="16">
        <v>49</v>
      </c>
      <c r="K346" s="16">
        <v>15</v>
      </c>
      <c r="L346" s="16" t="s">
        <v>1976</v>
      </c>
    </row>
    <row r="347" spans="1:12" x14ac:dyDescent="0.4">
      <c r="A347" s="16" t="s">
        <v>317</v>
      </c>
      <c r="B347" s="16">
        <v>8</v>
      </c>
      <c r="C347" s="16" t="s">
        <v>686</v>
      </c>
      <c r="D347" s="16" t="s">
        <v>1977</v>
      </c>
      <c r="E347" s="16" t="s">
        <v>1978</v>
      </c>
      <c r="F347" s="16" t="s">
        <v>1979</v>
      </c>
      <c r="G347" s="17">
        <v>38020</v>
      </c>
      <c r="H347" s="16" t="s">
        <v>1980</v>
      </c>
      <c r="I347" s="16">
        <v>185</v>
      </c>
      <c r="J347" s="16">
        <v>20</v>
      </c>
      <c r="K347" s="16">
        <v>2</v>
      </c>
      <c r="L347" s="16" t="s">
        <v>1979</v>
      </c>
    </row>
    <row r="348" spans="1:12" x14ac:dyDescent="0.4">
      <c r="A348" s="16" t="s">
        <v>317</v>
      </c>
      <c r="B348" s="16">
        <v>9</v>
      </c>
      <c r="C348" s="16" t="s">
        <v>691</v>
      </c>
      <c r="D348" s="16" t="s">
        <v>1981</v>
      </c>
      <c r="E348" s="16" t="s">
        <v>1982</v>
      </c>
      <c r="F348" s="16" t="s">
        <v>1983</v>
      </c>
      <c r="G348" s="17">
        <v>34280</v>
      </c>
      <c r="H348" s="16" t="s">
        <v>1953</v>
      </c>
      <c r="I348" s="16">
        <v>193</v>
      </c>
      <c r="J348" s="16">
        <v>13</v>
      </c>
      <c r="K348" s="16">
        <v>1</v>
      </c>
      <c r="L348" s="16" t="s">
        <v>1983</v>
      </c>
    </row>
    <row r="349" spans="1:12" x14ac:dyDescent="0.4">
      <c r="A349" s="16" t="s">
        <v>317</v>
      </c>
      <c r="B349" s="16">
        <v>10</v>
      </c>
      <c r="C349" s="16" t="s">
        <v>686</v>
      </c>
      <c r="D349" s="16" t="s">
        <v>1984</v>
      </c>
      <c r="E349" s="16" t="s">
        <v>1985</v>
      </c>
      <c r="F349" s="16" t="s">
        <v>1986</v>
      </c>
      <c r="G349" s="17">
        <v>33471</v>
      </c>
      <c r="H349" s="16" t="s">
        <v>1344</v>
      </c>
      <c r="I349" s="16">
        <v>180</v>
      </c>
      <c r="J349" s="16">
        <v>72</v>
      </c>
      <c r="K349" s="16">
        <v>16</v>
      </c>
      <c r="L349" s="16" t="s">
        <v>1976</v>
      </c>
    </row>
    <row r="350" spans="1:12" x14ac:dyDescent="0.4">
      <c r="A350" s="16" t="s">
        <v>317</v>
      </c>
      <c r="B350" s="16">
        <v>11</v>
      </c>
      <c r="C350" s="16" t="s">
        <v>691</v>
      </c>
      <c r="D350" s="16" t="s">
        <v>1987</v>
      </c>
      <c r="E350" s="16" t="s">
        <v>1988</v>
      </c>
      <c r="F350" s="16" t="s">
        <v>1989</v>
      </c>
      <c r="G350" s="17">
        <v>37344</v>
      </c>
      <c r="H350" s="16" t="s">
        <v>1990</v>
      </c>
      <c r="I350" s="16">
        <v>164</v>
      </c>
      <c r="J350" s="16">
        <v>27</v>
      </c>
      <c r="K350" s="16">
        <v>4</v>
      </c>
      <c r="L350" s="16" t="s">
        <v>1989</v>
      </c>
    </row>
    <row r="351" spans="1:12" x14ac:dyDescent="0.4">
      <c r="A351" s="16" t="s">
        <v>317</v>
      </c>
      <c r="B351" s="16">
        <v>12</v>
      </c>
      <c r="C351" s="16" t="s">
        <v>691</v>
      </c>
      <c r="D351" s="16" t="s">
        <v>1991</v>
      </c>
      <c r="E351" s="16" t="s">
        <v>1992</v>
      </c>
      <c r="F351" s="16" t="s">
        <v>1993</v>
      </c>
      <c r="G351" s="17">
        <v>37394</v>
      </c>
      <c r="H351" s="16" t="s">
        <v>1386</v>
      </c>
      <c r="I351" s="16">
        <v>176</v>
      </c>
      <c r="J351" s="16">
        <v>6</v>
      </c>
      <c r="K351" s="16">
        <v>1</v>
      </c>
      <c r="L351" s="16" t="s">
        <v>1993</v>
      </c>
    </row>
    <row r="352" spans="1:12" x14ac:dyDescent="0.4">
      <c r="A352" s="16" t="s">
        <v>317</v>
      </c>
      <c r="B352" s="16">
        <v>13</v>
      </c>
      <c r="C352" s="16" t="s">
        <v>691</v>
      </c>
      <c r="D352" s="16" t="s">
        <v>1994</v>
      </c>
      <c r="E352" s="16" t="s">
        <v>1995</v>
      </c>
      <c r="F352" s="16" t="s">
        <v>1996</v>
      </c>
      <c r="G352" s="17">
        <v>37510</v>
      </c>
      <c r="H352" s="16" t="s">
        <v>1997</v>
      </c>
      <c r="I352" s="16">
        <v>182</v>
      </c>
      <c r="J352" s="16">
        <v>7</v>
      </c>
      <c r="K352" s="16">
        <v>1</v>
      </c>
      <c r="L352" s="16" t="s">
        <v>1996</v>
      </c>
    </row>
    <row r="353" spans="1:12" x14ac:dyDescent="0.4">
      <c r="A353" s="16" t="s">
        <v>317</v>
      </c>
      <c r="B353" s="16">
        <v>14</v>
      </c>
      <c r="C353" s="16" t="s">
        <v>691</v>
      </c>
      <c r="D353" s="16" t="s">
        <v>1998</v>
      </c>
      <c r="E353" s="16" t="s">
        <v>1999</v>
      </c>
      <c r="F353" s="16" t="s">
        <v>2000</v>
      </c>
      <c r="G353" s="17">
        <v>34606</v>
      </c>
      <c r="H353" s="16" t="s">
        <v>2001</v>
      </c>
      <c r="I353" s="16">
        <v>174</v>
      </c>
      <c r="J353" s="16">
        <v>38</v>
      </c>
      <c r="K353" s="16">
        <v>6</v>
      </c>
      <c r="L353" s="16" t="s">
        <v>2000</v>
      </c>
    </row>
    <row r="354" spans="1:12" x14ac:dyDescent="0.4">
      <c r="A354" s="16" t="s">
        <v>317</v>
      </c>
      <c r="B354" s="16">
        <v>15</v>
      </c>
      <c r="C354" s="16" t="s">
        <v>686</v>
      </c>
      <c r="D354" s="16" t="s">
        <v>2002</v>
      </c>
      <c r="E354" s="16" t="s">
        <v>2003</v>
      </c>
      <c r="F354" s="16" t="s">
        <v>2004</v>
      </c>
      <c r="G354" s="17">
        <v>37868</v>
      </c>
      <c r="H354" s="16" t="s">
        <v>2005</v>
      </c>
      <c r="I354" s="16">
        <v>180</v>
      </c>
      <c r="J354" s="16">
        <v>9</v>
      </c>
      <c r="K354" s="16">
        <v>2</v>
      </c>
      <c r="L354" s="16" t="s">
        <v>2004</v>
      </c>
    </row>
    <row r="355" spans="1:12" x14ac:dyDescent="0.4">
      <c r="A355" s="16" t="s">
        <v>317</v>
      </c>
      <c r="B355" s="16">
        <v>16</v>
      </c>
      <c r="C355" s="16" t="s">
        <v>691</v>
      </c>
      <c r="D355" s="16" t="s">
        <v>2006</v>
      </c>
      <c r="E355" s="16" t="s">
        <v>2007</v>
      </c>
      <c r="F355" s="16" t="s">
        <v>2008</v>
      </c>
      <c r="G355" s="17">
        <v>36626</v>
      </c>
      <c r="H355" s="16" t="s">
        <v>2009</v>
      </c>
      <c r="I355" s="16">
        <v>181</v>
      </c>
      <c r="J355" s="16">
        <v>22</v>
      </c>
      <c r="K355" s="16">
        <v>5</v>
      </c>
      <c r="L355" s="16" t="s">
        <v>2008</v>
      </c>
    </row>
    <row r="356" spans="1:12" x14ac:dyDescent="0.4">
      <c r="A356" s="16" t="s">
        <v>317</v>
      </c>
      <c r="B356" s="16">
        <v>17</v>
      </c>
      <c r="C356" s="16" t="s">
        <v>691</v>
      </c>
      <c r="D356" s="16" t="s">
        <v>2010</v>
      </c>
      <c r="E356" s="16" t="s">
        <v>2011</v>
      </c>
      <c r="F356" s="16" t="s">
        <v>2012</v>
      </c>
      <c r="G356" s="17">
        <v>33866</v>
      </c>
      <c r="H356" s="16" t="s">
        <v>1975</v>
      </c>
      <c r="I356" s="16">
        <v>181</v>
      </c>
      <c r="J356" s="16">
        <v>35</v>
      </c>
      <c r="K356" s="16">
        <v>2</v>
      </c>
      <c r="L356" s="16" t="s">
        <v>2012</v>
      </c>
    </row>
    <row r="357" spans="1:12" x14ac:dyDescent="0.4">
      <c r="A357" s="16" t="s">
        <v>317</v>
      </c>
      <c r="B357" s="16">
        <v>18</v>
      </c>
      <c r="C357" s="16" t="s">
        <v>669</v>
      </c>
      <c r="D357" s="16" t="s">
        <v>2013</v>
      </c>
      <c r="E357" s="16" t="s">
        <v>2014</v>
      </c>
      <c r="F357" s="16" t="s">
        <v>2015</v>
      </c>
      <c r="G357" s="17">
        <v>36224</v>
      </c>
      <c r="H357" s="16" t="s">
        <v>956</v>
      </c>
      <c r="I357" s="16">
        <v>185</v>
      </c>
      <c r="J357" s="16">
        <v>6</v>
      </c>
      <c r="K357" s="16">
        <v>0</v>
      </c>
      <c r="L357" s="16" t="s">
        <v>2015</v>
      </c>
    </row>
    <row r="358" spans="1:12" x14ac:dyDescent="0.4">
      <c r="A358" s="16" t="s">
        <v>317</v>
      </c>
      <c r="B358" s="16">
        <v>19</v>
      </c>
      <c r="C358" s="16" t="s">
        <v>691</v>
      </c>
      <c r="D358" s="16" t="s">
        <v>2016</v>
      </c>
      <c r="E358" s="16" t="s">
        <v>2017</v>
      </c>
      <c r="F358" s="16" t="s">
        <v>2018</v>
      </c>
      <c r="G358" s="17">
        <v>35225</v>
      </c>
      <c r="H358" s="16" t="s">
        <v>2019</v>
      </c>
      <c r="I358" s="16">
        <v>189</v>
      </c>
      <c r="J358" s="16">
        <v>29</v>
      </c>
      <c r="K358" s="16">
        <v>9</v>
      </c>
      <c r="L358" s="16" t="s">
        <v>2018</v>
      </c>
    </row>
    <row r="359" spans="1:12" x14ac:dyDescent="0.4">
      <c r="A359" s="16" t="s">
        <v>317</v>
      </c>
      <c r="B359" s="16">
        <v>20</v>
      </c>
      <c r="C359" s="16" t="s">
        <v>669</v>
      </c>
      <c r="D359" s="16" t="s">
        <v>2020</v>
      </c>
      <c r="E359" s="16" t="s">
        <v>2021</v>
      </c>
      <c r="F359" s="16" t="s">
        <v>2022</v>
      </c>
      <c r="G359" s="17">
        <v>34413</v>
      </c>
      <c r="H359" s="16" t="s">
        <v>2023</v>
      </c>
      <c r="I359" s="16">
        <v>181</v>
      </c>
      <c r="J359" s="16">
        <v>18</v>
      </c>
      <c r="K359" s="16">
        <v>2</v>
      </c>
      <c r="L359" s="16" t="s">
        <v>2022</v>
      </c>
    </row>
    <row r="360" spans="1:12" x14ac:dyDescent="0.4">
      <c r="A360" s="16" t="s">
        <v>317</v>
      </c>
      <c r="B360" s="16">
        <v>21</v>
      </c>
      <c r="C360" s="16" t="s">
        <v>686</v>
      </c>
      <c r="D360" s="16" t="s">
        <v>2024</v>
      </c>
      <c r="E360" s="16" t="s">
        <v>2025</v>
      </c>
      <c r="F360" s="16" t="s">
        <v>2026</v>
      </c>
      <c r="G360" s="17">
        <v>36498</v>
      </c>
      <c r="H360" s="16" t="s">
        <v>2027</v>
      </c>
      <c r="I360" s="16">
        <v>185</v>
      </c>
      <c r="J360" s="16">
        <v>6</v>
      </c>
      <c r="K360" s="16">
        <v>3</v>
      </c>
      <c r="L360" s="16" t="s">
        <v>2026</v>
      </c>
    </row>
    <row r="361" spans="1:12" x14ac:dyDescent="0.4">
      <c r="A361" s="16" t="s">
        <v>317</v>
      </c>
      <c r="B361" s="16">
        <v>22</v>
      </c>
      <c r="C361" s="16" t="s">
        <v>686</v>
      </c>
      <c r="D361" s="16" t="s">
        <v>2028</v>
      </c>
      <c r="E361" s="16" t="s">
        <v>2029</v>
      </c>
      <c r="F361" s="16" t="s">
        <v>2030</v>
      </c>
      <c r="G361" s="17">
        <v>36475</v>
      </c>
      <c r="H361" s="16" t="s">
        <v>2031</v>
      </c>
      <c r="I361" s="16">
        <v>174</v>
      </c>
      <c r="J361" s="16">
        <v>19</v>
      </c>
      <c r="K361" s="16">
        <v>1</v>
      </c>
      <c r="L361" s="16" t="s">
        <v>2030</v>
      </c>
    </row>
    <row r="362" spans="1:12" x14ac:dyDescent="0.4">
      <c r="A362" s="16" t="s">
        <v>317</v>
      </c>
      <c r="B362" s="16">
        <v>23</v>
      </c>
      <c r="C362" s="16" t="s">
        <v>669</v>
      </c>
      <c r="D362" s="16" t="s">
        <v>2032</v>
      </c>
      <c r="E362" s="16" t="s">
        <v>2033</v>
      </c>
      <c r="F362" s="16" t="s">
        <v>2034</v>
      </c>
      <c r="G362" s="17">
        <v>35350</v>
      </c>
      <c r="H362" s="16" t="s">
        <v>2035</v>
      </c>
      <c r="I362" s="16">
        <v>184</v>
      </c>
      <c r="J362" s="16">
        <v>5</v>
      </c>
      <c r="K362" s="16">
        <v>0</v>
      </c>
      <c r="L362" s="16" t="s">
        <v>2034</v>
      </c>
    </row>
    <row r="363" spans="1:12" x14ac:dyDescent="0.4">
      <c r="A363" s="16" t="s">
        <v>317</v>
      </c>
      <c r="B363" s="16">
        <v>24</v>
      </c>
      <c r="C363" s="16" t="s">
        <v>669</v>
      </c>
      <c r="D363" s="16" t="s">
        <v>2036</v>
      </c>
      <c r="E363" s="16" t="s">
        <v>2037</v>
      </c>
      <c r="F363" s="16" t="s">
        <v>2038</v>
      </c>
      <c r="G363" s="17">
        <v>37757</v>
      </c>
      <c r="H363" s="16" t="s">
        <v>2039</v>
      </c>
      <c r="I363" s="16">
        <v>188</v>
      </c>
      <c r="J363" s="16">
        <v>2</v>
      </c>
      <c r="K363" s="16">
        <v>0</v>
      </c>
      <c r="L363" s="16" t="s">
        <v>2038</v>
      </c>
    </row>
    <row r="364" spans="1:12" x14ac:dyDescent="0.4">
      <c r="A364" s="16" t="s">
        <v>317</v>
      </c>
      <c r="B364" s="16">
        <v>25</v>
      </c>
      <c r="C364" s="16" t="s">
        <v>664</v>
      </c>
      <c r="D364" s="16" t="s">
        <v>2040</v>
      </c>
      <c r="E364" s="16" t="s">
        <v>2041</v>
      </c>
      <c r="F364" s="16" t="s">
        <v>2042</v>
      </c>
      <c r="G364" s="17">
        <v>37391</v>
      </c>
      <c r="H364" s="16" t="s">
        <v>1997</v>
      </c>
      <c r="I364" s="16">
        <v>190</v>
      </c>
      <c r="J364" s="16">
        <v>4</v>
      </c>
      <c r="K364" s="16">
        <v>0</v>
      </c>
      <c r="L364" s="16" t="s">
        <v>2042</v>
      </c>
    </row>
    <row r="365" spans="1:12" x14ac:dyDescent="0.4">
      <c r="A365" s="16" t="s">
        <v>317</v>
      </c>
      <c r="B365" s="16">
        <v>26</v>
      </c>
      <c r="C365" s="16" t="s">
        <v>664</v>
      </c>
      <c r="D365" s="16" t="s">
        <v>2043</v>
      </c>
      <c r="E365" s="16" t="s">
        <v>2044</v>
      </c>
      <c r="F365" s="16" t="s">
        <v>2045</v>
      </c>
      <c r="G365" s="17">
        <v>36347</v>
      </c>
      <c r="H365" s="16" t="s">
        <v>2046</v>
      </c>
      <c r="I365" s="16">
        <v>188</v>
      </c>
      <c r="J365" s="16">
        <v>8</v>
      </c>
      <c r="K365" s="16">
        <v>0</v>
      </c>
      <c r="L365" s="16" t="s">
        <v>2045</v>
      </c>
    </row>
    <row r="366" spans="1:12" x14ac:dyDescent="0.4">
      <c r="A366" s="16" t="s">
        <v>304</v>
      </c>
      <c r="B366" s="16">
        <v>1</v>
      </c>
      <c r="C366" s="16" t="s">
        <v>664</v>
      </c>
      <c r="D366" s="16" t="s">
        <v>2047</v>
      </c>
      <c r="E366" s="16" t="s">
        <v>2048</v>
      </c>
      <c r="F366" s="16" t="s">
        <v>2049</v>
      </c>
      <c r="G366" s="17">
        <v>36663</v>
      </c>
      <c r="H366" s="16" t="s">
        <v>956</v>
      </c>
      <c r="I366" s="16">
        <v>196</v>
      </c>
      <c r="J366" s="16">
        <v>20</v>
      </c>
      <c r="K366" s="16">
        <v>0</v>
      </c>
      <c r="L366" s="16" t="s">
        <v>2049</v>
      </c>
    </row>
    <row r="367" spans="1:12" x14ac:dyDescent="0.4">
      <c r="A367" s="16" t="s">
        <v>304</v>
      </c>
      <c r="B367" s="16">
        <v>2</v>
      </c>
      <c r="C367" s="16" t="s">
        <v>669</v>
      </c>
      <c r="D367" s="16" t="s">
        <v>2050</v>
      </c>
      <c r="E367" s="16" t="s">
        <v>896</v>
      </c>
      <c r="F367" s="16" t="s">
        <v>2051</v>
      </c>
      <c r="G367" s="17">
        <v>36838</v>
      </c>
      <c r="H367" s="16" t="s">
        <v>2052</v>
      </c>
      <c r="I367" s="16">
        <v>190</v>
      </c>
      <c r="J367" s="16">
        <v>25</v>
      </c>
      <c r="K367" s="16">
        <v>1</v>
      </c>
      <c r="L367" s="16" t="s">
        <v>2051</v>
      </c>
    </row>
    <row r="368" spans="1:12" x14ac:dyDescent="0.4">
      <c r="A368" s="16" t="s">
        <v>304</v>
      </c>
      <c r="B368" s="16">
        <v>3</v>
      </c>
      <c r="C368" s="16" t="s">
        <v>669</v>
      </c>
      <c r="D368" s="16" t="s">
        <v>2053</v>
      </c>
      <c r="E368" s="16" t="s">
        <v>2054</v>
      </c>
      <c r="F368" s="16" t="s">
        <v>2055</v>
      </c>
      <c r="G368" s="17">
        <v>34059</v>
      </c>
      <c r="H368" s="16" t="s">
        <v>2052</v>
      </c>
      <c r="I368" s="16">
        <v>180</v>
      </c>
      <c r="J368" s="16">
        <v>41</v>
      </c>
      <c r="K368" s="16">
        <v>2</v>
      </c>
      <c r="L368" s="16" t="s">
        <v>2055</v>
      </c>
    </row>
    <row r="369" spans="1:12" x14ac:dyDescent="0.4">
      <c r="A369" s="16" t="s">
        <v>304</v>
      </c>
      <c r="B369" s="16">
        <v>4</v>
      </c>
      <c r="C369" s="16" t="s">
        <v>669</v>
      </c>
      <c r="D369" s="16" t="s">
        <v>2056</v>
      </c>
      <c r="E369" s="16" t="s">
        <v>2057</v>
      </c>
      <c r="F369" s="16" t="s">
        <v>2058</v>
      </c>
      <c r="G369" s="17">
        <v>36554</v>
      </c>
      <c r="H369" s="16" t="s">
        <v>949</v>
      </c>
      <c r="I369" s="16">
        <v>189</v>
      </c>
      <c r="J369" s="16">
        <v>14</v>
      </c>
      <c r="K369" s="16">
        <v>1</v>
      </c>
      <c r="L369" s="16" t="s">
        <v>2058</v>
      </c>
    </row>
    <row r="370" spans="1:12" x14ac:dyDescent="0.4">
      <c r="A370" s="16" t="s">
        <v>304</v>
      </c>
      <c r="B370" s="16">
        <v>5</v>
      </c>
      <c r="C370" s="16" t="s">
        <v>669</v>
      </c>
      <c r="D370" s="16" t="s">
        <v>2059</v>
      </c>
      <c r="E370" s="16" t="s">
        <v>2060</v>
      </c>
      <c r="F370" s="16" t="s">
        <v>2061</v>
      </c>
      <c r="G370" s="17">
        <v>33838</v>
      </c>
      <c r="H370" s="16" t="s">
        <v>949</v>
      </c>
      <c r="I370" s="16">
        <v>175</v>
      </c>
      <c r="J370" s="16">
        <v>62</v>
      </c>
      <c r="K370" s="16">
        <v>2</v>
      </c>
      <c r="L370" s="16" t="s">
        <v>2061</v>
      </c>
    </row>
    <row r="371" spans="1:12" x14ac:dyDescent="0.4">
      <c r="A371" s="16" t="s">
        <v>304</v>
      </c>
      <c r="B371" s="16">
        <v>6</v>
      </c>
      <c r="C371" s="16" t="s">
        <v>669</v>
      </c>
      <c r="D371" s="16" t="s">
        <v>2062</v>
      </c>
      <c r="E371" s="16" t="s">
        <v>2063</v>
      </c>
      <c r="F371" s="16" t="s">
        <v>2064</v>
      </c>
      <c r="G371" s="17">
        <v>37688</v>
      </c>
      <c r="H371" s="16" t="s">
        <v>2052</v>
      </c>
      <c r="I371" s="16">
        <v>188</v>
      </c>
      <c r="J371" s="16">
        <v>5</v>
      </c>
      <c r="K371" s="16">
        <v>0</v>
      </c>
      <c r="L371" s="16" t="s">
        <v>2064</v>
      </c>
    </row>
    <row r="372" spans="1:12" x14ac:dyDescent="0.4">
      <c r="A372" s="16" t="s">
        <v>304</v>
      </c>
      <c r="B372" s="16">
        <v>7</v>
      </c>
      <c r="C372" s="16" t="s">
        <v>669</v>
      </c>
      <c r="D372" s="16" t="s">
        <v>2065</v>
      </c>
      <c r="E372" s="16" t="s">
        <v>2066</v>
      </c>
      <c r="F372" s="16" t="s">
        <v>2067</v>
      </c>
      <c r="G372" s="17">
        <v>36270</v>
      </c>
      <c r="H372" s="16" t="s">
        <v>2068</v>
      </c>
      <c r="I372" s="16">
        <v>191</v>
      </c>
      <c r="J372" s="16">
        <v>27</v>
      </c>
      <c r="K372" s="16">
        <v>5</v>
      </c>
      <c r="L372" s="16" t="s">
        <v>2067</v>
      </c>
    </row>
    <row r="373" spans="1:12" x14ac:dyDescent="0.4">
      <c r="A373" s="16" t="s">
        <v>304</v>
      </c>
      <c r="B373" s="16">
        <v>8</v>
      </c>
      <c r="C373" s="16" t="s">
        <v>686</v>
      </c>
      <c r="D373" s="16" t="s">
        <v>2069</v>
      </c>
      <c r="E373" s="16" t="s">
        <v>2060</v>
      </c>
      <c r="F373" s="16" t="s">
        <v>2070</v>
      </c>
      <c r="G373" s="17">
        <v>33093</v>
      </c>
      <c r="H373" s="16" t="s">
        <v>2071</v>
      </c>
      <c r="I373" s="16">
        <v>172</v>
      </c>
      <c r="J373" s="16">
        <v>79</v>
      </c>
      <c r="K373" s="16">
        <v>8</v>
      </c>
      <c r="L373" s="16" t="s">
        <v>2070</v>
      </c>
    </row>
    <row r="374" spans="1:12" x14ac:dyDescent="0.4">
      <c r="A374" s="16" t="s">
        <v>304</v>
      </c>
      <c r="B374" s="16">
        <v>9</v>
      </c>
      <c r="C374" s="16" t="s">
        <v>691</v>
      </c>
      <c r="D374" s="16" t="s">
        <v>2072</v>
      </c>
      <c r="E374" s="16" t="s">
        <v>2073</v>
      </c>
      <c r="F374" s="16" t="s">
        <v>2074</v>
      </c>
      <c r="G374" s="17">
        <v>37462</v>
      </c>
      <c r="H374" s="16" t="s">
        <v>949</v>
      </c>
      <c r="I374" s="16">
        <v>188</v>
      </c>
      <c r="J374" s="16">
        <v>43</v>
      </c>
      <c r="K374" s="16">
        <v>5</v>
      </c>
      <c r="L374" s="16" t="s">
        <v>2074</v>
      </c>
    </row>
    <row r="375" spans="1:12" x14ac:dyDescent="0.4">
      <c r="A375" s="16" t="s">
        <v>304</v>
      </c>
      <c r="B375" s="16">
        <v>10</v>
      </c>
      <c r="C375" s="16" t="s">
        <v>691</v>
      </c>
      <c r="D375" s="16" t="s">
        <v>2075</v>
      </c>
      <c r="E375" s="16" t="s">
        <v>2076</v>
      </c>
      <c r="F375" s="16" t="s">
        <v>2077</v>
      </c>
      <c r="G375" s="17">
        <v>35088</v>
      </c>
      <c r="H375" s="16" t="s">
        <v>753</v>
      </c>
      <c r="I375" s="16">
        <v>191</v>
      </c>
      <c r="J375" s="16">
        <v>53</v>
      </c>
      <c r="K375" s="16">
        <v>26</v>
      </c>
      <c r="L375" s="16" t="s">
        <v>2077</v>
      </c>
    </row>
    <row r="376" spans="1:12" x14ac:dyDescent="0.4">
      <c r="A376" s="16" t="s">
        <v>304</v>
      </c>
      <c r="B376" s="16">
        <v>11</v>
      </c>
      <c r="C376" s="16" t="s">
        <v>691</v>
      </c>
      <c r="D376" s="16" t="s">
        <v>2078</v>
      </c>
      <c r="E376" s="16" t="s">
        <v>2079</v>
      </c>
      <c r="F376" s="16" t="s">
        <v>2080</v>
      </c>
      <c r="G376" s="17">
        <v>35438</v>
      </c>
      <c r="H376" s="16" t="s">
        <v>2081</v>
      </c>
      <c r="I376" s="16">
        <v>185</v>
      </c>
      <c r="J376" s="16">
        <v>31</v>
      </c>
      <c r="K376" s="16">
        <v>3</v>
      </c>
      <c r="L376" s="16" t="s">
        <v>2080</v>
      </c>
    </row>
    <row r="377" spans="1:12" x14ac:dyDescent="0.4">
      <c r="A377" s="16" t="s">
        <v>304</v>
      </c>
      <c r="B377" s="16">
        <v>12</v>
      </c>
      <c r="C377" s="16" t="s">
        <v>686</v>
      </c>
      <c r="D377" s="16" t="s">
        <v>2082</v>
      </c>
      <c r="E377" s="16" t="s">
        <v>2083</v>
      </c>
      <c r="F377" s="16" t="s">
        <v>2084</v>
      </c>
      <c r="G377" s="17">
        <v>36991</v>
      </c>
      <c r="H377" s="16" t="s">
        <v>912</v>
      </c>
      <c r="I377" s="16">
        <v>182</v>
      </c>
      <c r="J377" s="16">
        <v>17</v>
      </c>
      <c r="K377" s="16">
        <v>2</v>
      </c>
      <c r="L377" s="16" t="s">
        <v>2084</v>
      </c>
    </row>
    <row r="378" spans="1:12" x14ac:dyDescent="0.4">
      <c r="A378" s="16" t="s">
        <v>304</v>
      </c>
      <c r="B378" s="16">
        <v>13</v>
      </c>
      <c r="C378" s="16" t="s">
        <v>691</v>
      </c>
      <c r="D378" s="16" t="s">
        <v>2085</v>
      </c>
      <c r="E378" s="16" t="s">
        <v>2086</v>
      </c>
      <c r="F378" s="16" t="s">
        <v>2087</v>
      </c>
      <c r="G378" s="17">
        <v>36279</v>
      </c>
      <c r="H378" s="16" t="s">
        <v>2052</v>
      </c>
      <c r="I378" s="16">
        <v>187</v>
      </c>
      <c r="J378" s="16">
        <v>22</v>
      </c>
      <c r="K378" s="16">
        <v>6</v>
      </c>
      <c r="L378" s="16" t="s">
        <v>2087</v>
      </c>
    </row>
    <row r="379" spans="1:12" x14ac:dyDescent="0.4">
      <c r="A379" s="16" t="s">
        <v>304</v>
      </c>
      <c r="B379" s="16">
        <v>14</v>
      </c>
      <c r="C379" s="16" t="s">
        <v>669</v>
      </c>
      <c r="D379" s="16" t="s">
        <v>2088</v>
      </c>
      <c r="E379" s="16" t="s">
        <v>896</v>
      </c>
      <c r="F379" s="16" t="s">
        <v>2089</v>
      </c>
      <c r="G379" s="17">
        <v>36745</v>
      </c>
      <c r="H379" s="16" t="s">
        <v>2052</v>
      </c>
      <c r="I379" s="16">
        <v>183</v>
      </c>
      <c r="J379" s="16">
        <v>18</v>
      </c>
      <c r="K379" s="16">
        <v>1</v>
      </c>
      <c r="L379" s="16" t="s">
        <v>2089</v>
      </c>
    </row>
    <row r="380" spans="1:12" x14ac:dyDescent="0.4">
      <c r="A380" s="16" t="s">
        <v>304</v>
      </c>
      <c r="B380" s="16">
        <v>15</v>
      </c>
      <c r="C380" s="16" t="s">
        <v>691</v>
      </c>
      <c r="D380" s="16" t="s">
        <v>2090</v>
      </c>
      <c r="E380" s="16" t="s">
        <v>2091</v>
      </c>
      <c r="F380" s="16" t="s">
        <v>2092</v>
      </c>
      <c r="G380" s="17">
        <v>36889</v>
      </c>
      <c r="H380" s="16" t="s">
        <v>1225</v>
      </c>
      <c r="I380" s="16">
        <v>177</v>
      </c>
      <c r="J380" s="16">
        <v>21</v>
      </c>
      <c r="K380" s="16">
        <v>5</v>
      </c>
      <c r="L380" s="16" t="s">
        <v>2092</v>
      </c>
    </row>
    <row r="381" spans="1:12" x14ac:dyDescent="0.4">
      <c r="A381" s="16" t="s">
        <v>304</v>
      </c>
      <c r="B381" s="16">
        <v>16</v>
      </c>
      <c r="C381" s="16" t="s">
        <v>664</v>
      </c>
      <c r="D381" s="16" t="s">
        <v>2093</v>
      </c>
      <c r="E381" s="16" t="s">
        <v>2094</v>
      </c>
      <c r="F381" s="16" t="s">
        <v>2095</v>
      </c>
      <c r="G381" s="17">
        <v>35182</v>
      </c>
      <c r="H381" s="16" t="s">
        <v>2052</v>
      </c>
      <c r="I381" s="16">
        <v>192</v>
      </c>
      <c r="J381" s="16">
        <v>14</v>
      </c>
      <c r="K381" s="16">
        <v>0</v>
      </c>
      <c r="L381" s="16" t="s">
        <v>2095</v>
      </c>
    </row>
    <row r="382" spans="1:12" x14ac:dyDescent="0.4">
      <c r="A382" s="16" t="s">
        <v>304</v>
      </c>
      <c r="B382" s="16">
        <v>17</v>
      </c>
      <c r="C382" s="16" t="s">
        <v>686</v>
      </c>
      <c r="D382" s="16" t="s">
        <v>2096</v>
      </c>
      <c r="E382" s="16" t="s">
        <v>2083</v>
      </c>
      <c r="F382" s="16" t="s">
        <v>2097</v>
      </c>
      <c r="G382" s="17">
        <v>35361</v>
      </c>
      <c r="H382" s="16" t="s">
        <v>2052</v>
      </c>
      <c r="I382" s="16">
        <v>191</v>
      </c>
      <c r="J382" s="16">
        <v>38</v>
      </c>
      <c r="K382" s="16">
        <v>3</v>
      </c>
      <c r="L382" s="16" t="s">
        <v>2097</v>
      </c>
    </row>
    <row r="383" spans="1:12" x14ac:dyDescent="0.4">
      <c r="A383" s="16" t="s">
        <v>304</v>
      </c>
      <c r="B383" s="16">
        <v>18</v>
      </c>
      <c r="C383" s="16" t="s">
        <v>686</v>
      </c>
      <c r="D383" s="16" t="s">
        <v>2098</v>
      </c>
      <c r="E383" s="16" t="s">
        <v>2099</v>
      </c>
      <c r="F383" s="16" t="s">
        <v>2100</v>
      </c>
      <c r="G383" s="17">
        <v>36311</v>
      </c>
      <c r="H383" s="16" t="s">
        <v>2052</v>
      </c>
      <c r="I383" s="16">
        <v>169</v>
      </c>
      <c r="J383" s="16">
        <v>35</v>
      </c>
      <c r="K383" s="16">
        <v>1</v>
      </c>
      <c r="L383" s="16" t="s">
        <v>2100</v>
      </c>
    </row>
    <row r="384" spans="1:12" x14ac:dyDescent="0.4">
      <c r="A384" s="16" t="s">
        <v>304</v>
      </c>
      <c r="B384" s="16">
        <v>19</v>
      </c>
      <c r="C384" s="16" t="s">
        <v>691</v>
      </c>
      <c r="D384" s="16" t="s">
        <v>2101</v>
      </c>
      <c r="E384" s="16" t="s">
        <v>2054</v>
      </c>
      <c r="F384" s="16" t="s">
        <v>2102</v>
      </c>
      <c r="G384" s="17">
        <v>34725</v>
      </c>
      <c r="H384" s="16" t="s">
        <v>2052</v>
      </c>
      <c r="I384" s="16">
        <v>199</v>
      </c>
      <c r="J384" s="16">
        <v>22</v>
      </c>
      <c r="K384" s="16">
        <v>7</v>
      </c>
      <c r="L384" s="16" t="s">
        <v>2102</v>
      </c>
    </row>
    <row r="385" spans="1:12" x14ac:dyDescent="0.4">
      <c r="A385" s="16" t="s">
        <v>304</v>
      </c>
      <c r="B385" s="16">
        <v>20</v>
      </c>
      <c r="C385" s="16" t="s">
        <v>669</v>
      </c>
      <c r="D385" s="16" t="s">
        <v>2103</v>
      </c>
      <c r="E385" s="16" t="s">
        <v>2104</v>
      </c>
      <c r="F385" s="16" t="s">
        <v>2105</v>
      </c>
      <c r="G385" s="17">
        <v>33836</v>
      </c>
      <c r="H385" s="16" t="s">
        <v>2081</v>
      </c>
      <c r="I385" s="16">
        <v>190</v>
      </c>
      <c r="J385" s="16">
        <v>23</v>
      </c>
      <c r="K385" s="16">
        <v>0</v>
      </c>
      <c r="L385" s="16" t="s">
        <v>2105</v>
      </c>
    </row>
    <row r="386" spans="1:12" x14ac:dyDescent="0.4">
      <c r="A386" s="16" t="s">
        <v>304</v>
      </c>
      <c r="B386" s="16">
        <v>21</v>
      </c>
      <c r="C386" s="16" t="s">
        <v>669</v>
      </c>
      <c r="D386" s="16" t="s">
        <v>2106</v>
      </c>
      <c r="E386" s="16" t="s">
        <v>896</v>
      </c>
      <c r="F386" s="16" t="s">
        <v>2107</v>
      </c>
      <c r="G386" s="17">
        <v>35946</v>
      </c>
      <c r="H386" s="16" t="s">
        <v>2052</v>
      </c>
      <c r="I386" s="16">
        <v>175</v>
      </c>
      <c r="J386" s="16">
        <v>17</v>
      </c>
      <c r="K386" s="16">
        <v>2</v>
      </c>
      <c r="L386" s="16" t="s">
        <v>2107</v>
      </c>
    </row>
    <row r="387" spans="1:12" x14ac:dyDescent="0.4">
      <c r="A387" s="16" t="s">
        <v>304</v>
      </c>
      <c r="B387" s="16">
        <v>22</v>
      </c>
      <c r="C387" s="16" t="s">
        <v>686</v>
      </c>
      <c r="D387" s="16" t="s">
        <v>2108</v>
      </c>
      <c r="E387" s="16" t="s">
        <v>2054</v>
      </c>
      <c r="F387" s="16" t="s">
        <v>2109</v>
      </c>
      <c r="G387" s="17">
        <v>34757</v>
      </c>
      <c r="H387" s="16" t="s">
        <v>1687</v>
      </c>
      <c r="I387" s="16">
        <v>192</v>
      </c>
      <c r="J387" s="16">
        <v>90</v>
      </c>
      <c r="K387" s="16">
        <v>17</v>
      </c>
      <c r="L387" s="16" t="s">
        <v>2109</v>
      </c>
    </row>
    <row r="388" spans="1:12" x14ac:dyDescent="0.4">
      <c r="A388" s="16" t="s">
        <v>304</v>
      </c>
      <c r="B388" s="16">
        <v>23</v>
      </c>
      <c r="C388" s="16" t="s">
        <v>664</v>
      </c>
      <c r="D388" s="16" t="s">
        <v>2110</v>
      </c>
      <c r="E388" s="16" t="s">
        <v>2083</v>
      </c>
      <c r="F388" s="16" t="s">
        <v>2111</v>
      </c>
      <c r="G388" s="17">
        <v>37450</v>
      </c>
      <c r="H388" s="16" t="s">
        <v>905</v>
      </c>
      <c r="I388" s="16">
        <v>198</v>
      </c>
      <c r="J388" s="16">
        <v>1</v>
      </c>
      <c r="K388" s="16">
        <v>0</v>
      </c>
      <c r="L388" s="16" t="s">
        <v>2111</v>
      </c>
    </row>
    <row r="389" spans="1:12" x14ac:dyDescent="0.4">
      <c r="A389" s="16" t="s">
        <v>304</v>
      </c>
      <c r="B389" s="16">
        <v>24</v>
      </c>
      <c r="C389" s="16" t="s">
        <v>686</v>
      </c>
      <c r="D389" s="16" t="s">
        <v>2112</v>
      </c>
      <c r="E389" s="16" t="s">
        <v>2113</v>
      </c>
      <c r="F389" s="16" t="s">
        <v>2114</v>
      </c>
      <c r="G389" s="17">
        <v>37713</v>
      </c>
      <c r="H389" s="16" t="s">
        <v>912</v>
      </c>
      <c r="I389" s="16">
        <v>188</v>
      </c>
      <c r="J389" s="16">
        <v>2</v>
      </c>
      <c r="K389" s="16">
        <v>0</v>
      </c>
      <c r="L389" s="16" t="s">
        <v>2114</v>
      </c>
    </row>
    <row r="390" spans="1:12" x14ac:dyDescent="0.4">
      <c r="A390" s="16" t="s">
        <v>304</v>
      </c>
      <c r="B390" s="16">
        <v>25</v>
      </c>
      <c r="C390" s="16" t="s">
        <v>686</v>
      </c>
      <c r="D390" s="16" t="s">
        <v>2115</v>
      </c>
      <c r="E390" s="16" t="s">
        <v>2116</v>
      </c>
      <c r="F390" s="16" t="s">
        <v>2117</v>
      </c>
      <c r="G390" s="17">
        <v>39606</v>
      </c>
      <c r="H390" s="16" t="s">
        <v>2081</v>
      </c>
      <c r="I390" s="16">
        <v>183</v>
      </c>
      <c r="J390" s="16">
        <v>1</v>
      </c>
      <c r="K390" s="16">
        <v>0</v>
      </c>
      <c r="L390" s="16" t="s">
        <v>2117</v>
      </c>
    </row>
    <row r="391" spans="1:12" x14ac:dyDescent="0.4">
      <c r="A391" s="16" t="s">
        <v>304</v>
      </c>
      <c r="B391" s="16">
        <v>26</v>
      </c>
      <c r="C391" s="16" t="s">
        <v>691</v>
      </c>
      <c r="D391" s="16" t="s">
        <v>2118</v>
      </c>
      <c r="E391" s="16" t="s">
        <v>2119</v>
      </c>
      <c r="F391" s="16" t="s">
        <v>2120</v>
      </c>
      <c r="G391" s="17">
        <v>37701</v>
      </c>
      <c r="H391" s="16" t="s">
        <v>912</v>
      </c>
      <c r="I391" s="16">
        <v>178</v>
      </c>
      <c r="J391" s="16">
        <v>2</v>
      </c>
      <c r="K391" s="16">
        <v>1</v>
      </c>
      <c r="L391" s="16" t="s">
        <v>2120</v>
      </c>
    </row>
    <row r="392" spans="1:12" x14ac:dyDescent="0.4">
      <c r="A392" s="16" t="s">
        <v>309</v>
      </c>
      <c r="B392" s="16">
        <v>1</v>
      </c>
      <c r="C392" s="16" t="s">
        <v>664</v>
      </c>
      <c r="D392" s="16" t="s">
        <v>2121</v>
      </c>
      <c r="E392" s="16" t="s">
        <v>2122</v>
      </c>
      <c r="F392" s="16" t="s">
        <v>2123</v>
      </c>
      <c r="G392" s="17">
        <v>31866</v>
      </c>
      <c r="H392" s="16" t="s">
        <v>2124</v>
      </c>
      <c r="I392" s="16">
        <v>189</v>
      </c>
      <c r="J392" s="16">
        <v>35</v>
      </c>
      <c r="K392" s="16">
        <v>0</v>
      </c>
      <c r="L392" s="16" t="s">
        <v>2125</v>
      </c>
    </row>
    <row r="393" spans="1:12" x14ac:dyDescent="0.4">
      <c r="A393" s="16" t="s">
        <v>309</v>
      </c>
      <c r="B393" s="16">
        <v>2</v>
      </c>
      <c r="C393" s="16" t="s">
        <v>669</v>
      </c>
      <c r="D393" s="16" t="s">
        <v>2126</v>
      </c>
      <c r="E393" s="16" t="s">
        <v>2127</v>
      </c>
      <c r="F393" s="16" t="s">
        <v>2128</v>
      </c>
      <c r="G393" s="17">
        <v>35441</v>
      </c>
      <c r="H393" s="16" t="s">
        <v>2129</v>
      </c>
      <c r="I393" s="16">
        <v>187</v>
      </c>
      <c r="J393" s="16">
        <v>49</v>
      </c>
      <c r="K393" s="16">
        <v>5</v>
      </c>
      <c r="L393" s="16" t="s">
        <v>2130</v>
      </c>
    </row>
    <row r="394" spans="1:12" x14ac:dyDescent="0.4">
      <c r="A394" s="16" t="s">
        <v>309</v>
      </c>
      <c r="B394" s="16">
        <v>3</v>
      </c>
      <c r="C394" s="16" t="s">
        <v>669</v>
      </c>
      <c r="D394" s="16" t="s">
        <v>2131</v>
      </c>
      <c r="E394" s="16" t="s">
        <v>2132</v>
      </c>
      <c r="F394" s="16" t="s">
        <v>2133</v>
      </c>
      <c r="G394" s="17">
        <v>37265</v>
      </c>
      <c r="H394" s="16" t="s">
        <v>1000</v>
      </c>
      <c r="I394" s="16">
        <v>183</v>
      </c>
      <c r="J394" s="16">
        <v>52</v>
      </c>
      <c r="K394" s="16">
        <v>3</v>
      </c>
      <c r="L394" s="16" t="s">
        <v>2134</v>
      </c>
    </row>
    <row r="395" spans="1:12" x14ac:dyDescent="0.4">
      <c r="A395" s="16" t="s">
        <v>309</v>
      </c>
      <c r="B395" s="16">
        <v>4</v>
      </c>
      <c r="C395" s="16" t="s">
        <v>669</v>
      </c>
      <c r="D395" s="16" t="s">
        <v>2135</v>
      </c>
      <c r="E395" s="16" t="s">
        <v>2136</v>
      </c>
      <c r="F395" s="16" t="s">
        <v>2137</v>
      </c>
      <c r="G395" s="17">
        <v>38098</v>
      </c>
      <c r="H395" s="16" t="s">
        <v>977</v>
      </c>
      <c r="I395" s="16">
        <v>188</v>
      </c>
      <c r="J395" s="16">
        <v>17</v>
      </c>
      <c r="K395" s="16">
        <v>0</v>
      </c>
      <c r="L395" s="16" t="s">
        <v>2138</v>
      </c>
    </row>
    <row r="396" spans="1:12" x14ac:dyDescent="0.4">
      <c r="A396" s="16" t="s">
        <v>309</v>
      </c>
      <c r="B396" s="16">
        <v>5</v>
      </c>
      <c r="C396" s="16" t="s">
        <v>686</v>
      </c>
      <c r="D396" s="16" t="s">
        <v>2139</v>
      </c>
      <c r="E396" s="16" t="s">
        <v>2140</v>
      </c>
      <c r="F396" s="16" t="s">
        <v>2141</v>
      </c>
      <c r="G396" s="17">
        <v>36377</v>
      </c>
      <c r="H396" s="16" t="s">
        <v>2142</v>
      </c>
      <c r="I396" s="16">
        <v>168</v>
      </c>
      <c r="J396" s="16">
        <v>11</v>
      </c>
      <c r="K396" s="16">
        <v>1</v>
      </c>
      <c r="L396" s="16" t="s">
        <v>2143</v>
      </c>
    </row>
    <row r="397" spans="1:12" x14ac:dyDescent="0.4">
      <c r="A397" s="16" t="s">
        <v>309</v>
      </c>
      <c r="B397" s="16">
        <v>6</v>
      </c>
      <c r="C397" s="16" t="s">
        <v>669</v>
      </c>
      <c r="D397" s="16" t="s">
        <v>2144</v>
      </c>
      <c r="E397" s="16" t="s">
        <v>2145</v>
      </c>
      <c r="F397" s="16" t="s">
        <v>2146</v>
      </c>
      <c r="G397" s="17">
        <v>37180</v>
      </c>
      <c r="H397" s="16" t="s">
        <v>1165</v>
      </c>
      <c r="I397" s="16">
        <v>188</v>
      </c>
      <c r="J397" s="16">
        <v>34</v>
      </c>
      <c r="K397" s="16">
        <v>2</v>
      </c>
      <c r="L397" s="16" t="s">
        <v>2147</v>
      </c>
    </row>
    <row r="398" spans="1:12" x14ac:dyDescent="0.4">
      <c r="A398" s="16" t="s">
        <v>309</v>
      </c>
      <c r="B398" s="16">
        <v>7</v>
      </c>
      <c r="C398" s="16" t="s">
        <v>669</v>
      </c>
      <c r="D398" s="16" t="s">
        <v>2148</v>
      </c>
      <c r="E398" s="16" t="s">
        <v>2149</v>
      </c>
      <c r="F398" s="16" t="s">
        <v>2150</v>
      </c>
      <c r="G398" s="17">
        <v>35816</v>
      </c>
      <c r="H398" s="16" t="s">
        <v>1023</v>
      </c>
      <c r="I398" s="16">
        <v>175</v>
      </c>
      <c r="J398" s="16">
        <v>54</v>
      </c>
      <c r="K398" s="16">
        <v>5</v>
      </c>
      <c r="L398" s="16" t="s">
        <v>2151</v>
      </c>
    </row>
    <row r="399" spans="1:12" x14ac:dyDescent="0.4">
      <c r="A399" s="16" t="s">
        <v>309</v>
      </c>
      <c r="B399" s="16">
        <v>8</v>
      </c>
      <c r="C399" s="16" t="s">
        <v>686</v>
      </c>
      <c r="D399" s="16" t="s">
        <v>2152</v>
      </c>
      <c r="E399" s="16" t="s">
        <v>2153</v>
      </c>
      <c r="F399" s="16" t="s">
        <v>2154</v>
      </c>
      <c r="G399" s="17">
        <v>37823</v>
      </c>
      <c r="H399" s="16" t="s">
        <v>2155</v>
      </c>
      <c r="I399" s="16">
        <v>173</v>
      </c>
      <c r="J399" s="16">
        <v>3</v>
      </c>
      <c r="K399" s="16">
        <v>1</v>
      </c>
      <c r="L399" s="16" t="s">
        <v>2156</v>
      </c>
    </row>
    <row r="400" spans="1:12" x14ac:dyDescent="0.4">
      <c r="A400" s="16" t="s">
        <v>309</v>
      </c>
      <c r="B400" s="16">
        <v>9</v>
      </c>
      <c r="C400" s="16" t="s">
        <v>691</v>
      </c>
      <c r="D400" s="16" t="s">
        <v>2157</v>
      </c>
      <c r="E400" s="16" t="s">
        <v>2158</v>
      </c>
      <c r="F400" s="16" t="s">
        <v>2159</v>
      </c>
      <c r="G400" s="17">
        <v>36700</v>
      </c>
      <c r="H400" s="16" t="s">
        <v>959</v>
      </c>
      <c r="I400" s="16">
        <v>170</v>
      </c>
      <c r="J400" s="16">
        <v>23</v>
      </c>
      <c r="K400" s="16">
        <v>3</v>
      </c>
      <c r="L400" s="16" t="s">
        <v>2159</v>
      </c>
    </row>
    <row r="401" spans="1:12" x14ac:dyDescent="0.4">
      <c r="A401" s="16" t="s">
        <v>309</v>
      </c>
      <c r="B401" s="16">
        <v>10</v>
      </c>
      <c r="C401" s="16" t="s">
        <v>686</v>
      </c>
      <c r="D401" s="16" t="s">
        <v>2160</v>
      </c>
      <c r="E401" s="16" t="s">
        <v>2161</v>
      </c>
      <c r="F401" s="16" t="s">
        <v>2162</v>
      </c>
      <c r="G401" s="17">
        <v>39206</v>
      </c>
      <c r="H401" s="16" t="s">
        <v>1486</v>
      </c>
      <c r="I401" s="16">
        <v>178</v>
      </c>
      <c r="J401" s="16">
        <v>26</v>
      </c>
      <c r="K401" s="16">
        <v>2</v>
      </c>
      <c r="L401" s="16" t="s">
        <v>2163</v>
      </c>
    </row>
    <row r="402" spans="1:12" x14ac:dyDescent="0.4">
      <c r="A402" s="16" t="s">
        <v>309</v>
      </c>
      <c r="B402" s="16">
        <v>11</v>
      </c>
      <c r="C402" s="16" t="s">
        <v>691</v>
      </c>
      <c r="D402" s="16" t="s">
        <v>2164</v>
      </c>
      <c r="E402" s="16" t="s">
        <v>2165</v>
      </c>
      <c r="F402" s="16" t="s">
        <v>2166</v>
      </c>
      <c r="G402" s="17">
        <v>36589</v>
      </c>
      <c r="H402" s="16" t="s">
        <v>1463</v>
      </c>
      <c r="I402" s="16">
        <v>190</v>
      </c>
      <c r="J402" s="16">
        <v>31</v>
      </c>
      <c r="K402" s="16">
        <v>2</v>
      </c>
      <c r="L402" s="16" t="s">
        <v>2167</v>
      </c>
    </row>
    <row r="403" spans="1:12" x14ac:dyDescent="0.4">
      <c r="A403" s="16" t="s">
        <v>309</v>
      </c>
      <c r="B403" s="16">
        <v>12</v>
      </c>
      <c r="C403" s="16" t="s">
        <v>664</v>
      </c>
      <c r="D403" s="16" t="s">
        <v>2168</v>
      </c>
      <c r="E403" s="16" t="s">
        <v>2169</v>
      </c>
      <c r="F403" s="16" t="s">
        <v>2170</v>
      </c>
      <c r="G403" s="17">
        <v>36778</v>
      </c>
      <c r="H403" s="16" t="s">
        <v>1990</v>
      </c>
      <c r="I403" s="16">
        <v>185</v>
      </c>
      <c r="J403" s="16">
        <v>7</v>
      </c>
      <c r="K403" s="16">
        <v>0</v>
      </c>
      <c r="L403" s="16" t="s">
        <v>2171</v>
      </c>
    </row>
    <row r="404" spans="1:12" x14ac:dyDescent="0.4">
      <c r="A404" s="16" t="s">
        <v>309</v>
      </c>
      <c r="B404" s="16">
        <v>13</v>
      </c>
      <c r="C404" s="16" t="s">
        <v>691</v>
      </c>
      <c r="D404" s="16" t="s">
        <v>2172</v>
      </c>
      <c r="E404" s="16" t="s">
        <v>2173</v>
      </c>
      <c r="F404" s="16" t="s">
        <v>2174</v>
      </c>
      <c r="G404" s="17">
        <v>32816</v>
      </c>
      <c r="H404" s="16" t="s">
        <v>2175</v>
      </c>
      <c r="I404" s="16">
        <v>177</v>
      </c>
      <c r="J404" s="16">
        <v>105</v>
      </c>
      <c r="K404" s="16">
        <v>49</v>
      </c>
      <c r="L404" s="16" t="s">
        <v>2176</v>
      </c>
    </row>
    <row r="405" spans="1:12" x14ac:dyDescent="0.4">
      <c r="A405" s="16" t="s">
        <v>309</v>
      </c>
      <c r="B405" s="16">
        <v>14</v>
      </c>
      <c r="C405" s="16" t="s">
        <v>686</v>
      </c>
      <c r="D405" s="16" t="s">
        <v>2177</v>
      </c>
      <c r="E405" s="16" t="s">
        <v>2178</v>
      </c>
      <c r="F405" s="16" t="s">
        <v>2179</v>
      </c>
      <c r="G405" s="17">
        <v>37755</v>
      </c>
      <c r="H405" s="16" t="s">
        <v>2180</v>
      </c>
      <c r="I405" s="16">
        <v>174</v>
      </c>
      <c r="J405" s="16">
        <v>20</v>
      </c>
      <c r="K405" s="16">
        <v>2</v>
      </c>
      <c r="L405" s="16" t="s">
        <v>2181</v>
      </c>
    </row>
    <row r="406" spans="1:12" x14ac:dyDescent="0.4">
      <c r="A406" s="16" t="s">
        <v>309</v>
      </c>
      <c r="B406" s="16">
        <v>15</v>
      </c>
      <c r="C406" s="16" t="s">
        <v>686</v>
      </c>
      <c r="D406" s="16" t="s">
        <v>2182</v>
      </c>
      <c r="E406" s="16" t="s">
        <v>2183</v>
      </c>
      <c r="F406" s="16" t="s">
        <v>2184</v>
      </c>
      <c r="G406" s="17">
        <v>37324</v>
      </c>
      <c r="H406" s="16" t="s">
        <v>2185</v>
      </c>
      <c r="I406" s="16">
        <v>172</v>
      </c>
      <c r="J406" s="16">
        <v>17</v>
      </c>
      <c r="K406" s="16">
        <v>1</v>
      </c>
      <c r="L406" s="16" t="s">
        <v>2186</v>
      </c>
    </row>
    <row r="407" spans="1:12" x14ac:dyDescent="0.4">
      <c r="A407" s="16" t="s">
        <v>309</v>
      </c>
      <c r="B407" s="16">
        <v>16</v>
      </c>
      <c r="C407" s="16" t="s">
        <v>691</v>
      </c>
      <c r="D407" s="16" t="s">
        <v>2187</v>
      </c>
      <c r="E407" s="16" t="s">
        <v>2188</v>
      </c>
      <c r="F407" s="16" t="s">
        <v>2189</v>
      </c>
      <c r="G407" s="17">
        <v>35752</v>
      </c>
      <c r="H407" s="16" t="s">
        <v>2124</v>
      </c>
      <c r="I407" s="16">
        <v>186</v>
      </c>
      <c r="J407" s="16">
        <v>20</v>
      </c>
      <c r="K407" s="16">
        <v>4</v>
      </c>
      <c r="L407" s="16" t="s">
        <v>2190</v>
      </c>
    </row>
    <row r="408" spans="1:12" x14ac:dyDescent="0.4">
      <c r="A408" s="16" t="s">
        <v>309</v>
      </c>
      <c r="B408" s="16">
        <v>17</v>
      </c>
      <c r="C408" s="16" t="s">
        <v>669</v>
      </c>
      <c r="D408" s="16" t="s">
        <v>2191</v>
      </c>
      <c r="E408" s="16" t="s">
        <v>2192</v>
      </c>
      <c r="F408" s="16" t="s">
        <v>2193</v>
      </c>
      <c r="G408" s="17">
        <v>35844</v>
      </c>
      <c r="H408" s="16" t="s">
        <v>2180</v>
      </c>
      <c r="I408" s="16">
        <v>174</v>
      </c>
      <c r="J408" s="16">
        <v>55</v>
      </c>
      <c r="K408" s="16">
        <v>0</v>
      </c>
      <c r="L408" s="16" t="s">
        <v>2194</v>
      </c>
    </row>
    <row r="409" spans="1:12" x14ac:dyDescent="0.4">
      <c r="A409" s="16" t="s">
        <v>309</v>
      </c>
      <c r="B409" s="16">
        <v>18</v>
      </c>
      <c r="C409" s="16" t="s">
        <v>686</v>
      </c>
      <c r="D409" s="16" t="s">
        <v>2195</v>
      </c>
      <c r="E409" s="16" t="s">
        <v>2196</v>
      </c>
      <c r="F409" s="16" t="s">
        <v>2197</v>
      </c>
      <c r="G409" s="17">
        <v>38070</v>
      </c>
      <c r="H409" s="16" t="s">
        <v>1946</v>
      </c>
      <c r="I409" s="16">
        <v>189</v>
      </c>
      <c r="J409" s="16">
        <v>5</v>
      </c>
      <c r="K409" s="16">
        <v>0</v>
      </c>
      <c r="L409" s="16" t="s">
        <v>2198</v>
      </c>
    </row>
    <row r="410" spans="1:12" x14ac:dyDescent="0.4">
      <c r="A410" s="16" t="s">
        <v>309</v>
      </c>
      <c r="B410" s="16">
        <v>19</v>
      </c>
      <c r="C410" s="16" t="s">
        <v>691</v>
      </c>
      <c r="D410" s="16" t="s">
        <v>2199</v>
      </c>
      <c r="E410" s="16" t="s">
        <v>2200</v>
      </c>
      <c r="F410" s="16" t="s">
        <v>2201</v>
      </c>
      <c r="G410" s="17">
        <v>36831</v>
      </c>
      <c r="H410" s="16" t="s">
        <v>1172</v>
      </c>
      <c r="I410" s="16">
        <v>178</v>
      </c>
      <c r="J410" s="16">
        <v>50</v>
      </c>
      <c r="K410" s="16">
        <v>8</v>
      </c>
      <c r="L410" s="16" t="s">
        <v>2202</v>
      </c>
    </row>
    <row r="411" spans="1:12" x14ac:dyDescent="0.4">
      <c r="A411" s="16" t="s">
        <v>309</v>
      </c>
      <c r="B411" s="16">
        <v>20</v>
      </c>
      <c r="C411" s="16" t="s">
        <v>691</v>
      </c>
      <c r="D411" s="16" t="s">
        <v>2203</v>
      </c>
      <c r="E411" s="16" t="s">
        <v>2204</v>
      </c>
      <c r="F411" s="16" t="s">
        <v>2205</v>
      </c>
      <c r="G411" s="17">
        <v>37791</v>
      </c>
      <c r="H411" s="16" t="s">
        <v>1735</v>
      </c>
      <c r="I411" s="16">
        <v>184</v>
      </c>
      <c r="J411" s="16">
        <v>14</v>
      </c>
      <c r="K411" s="16">
        <v>2</v>
      </c>
      <c r="L411" s="16" t="s">
        <v>2206</v>
      </c>
    </row>
    <row r="412" spans="1:12" x14ac:dyDescent="0.4">
      <c r="A412" s="16" t="s">
        <v>309</v>
      </c>
      <c r="B412" s="16">
        <v>21</v>
      </c>
      <c r="C412" s="16" t="s">
        <v>686</v>
      </c>
      <c r="D412" s="16" t="s">
        <v>2207</v>
      </c>
      <c r="E412" s="16" t="s">
        <v>2208</v>
      </c>
      <c r="F412" s="16" t="s">
        <v>2209</v>
      </c>
      <c r="G412" s="17">
        <v>36028</v>
      </c>
      <c r="H412" s="16" t="s">
        <v>2180</v>
      </c>
      <c r="I412" s="16">
        <v>175</v>
      </c>
      <c r="J412" s="16">
        <v>58</v>
      </c>
      <c r="K412" s="16">
        <v>1</v>
      </c>
      <c r="L412" s="16" t="s">
        <v>2210</v>
      </c>
    </row>
    <row r="413" spans="1:12" x14ac:dyDescent="0.4">
      <c r="A413" s="16" t="s">
        <v>309</v>
      </c>
      <c r="B413" s="16">
        <v>22</v>
      </c>
      <c r="C413" s="16" t="s">
        <v>664</v>
      </c>
      <c r="D413" s="16" t="s">
        <v>2211</v>
      </c>
      <c r="E413" s="16" t="s">
        <v>2212</v>
      </c>
      <c r="F413" s="16" t="s">
        <v>2213</v>
      </c>
      <c r="G413" s="17">
        <v>35123</v>
      </c>
      <c r="H413" s="16" t="s">
        <v>2214</v>
      </c>
      <c r="I413" s="16">
        <v>186</v>
      </c>
      <c r="J413" s="16">
        <v>4</v>
      </c>
      <c r="K413" s="16">
        <v>0</v>
      </c>
      <c r="L413" s="16" t="s">
        <v>2215</v>
      </c>
    </row>
    <row r="414" spans="1:12" x14ac:dyDescent="0.4">
      <c r="A414" s="16" t="s">
        <v>309</v>
      </c>
      <c r="B414" s="16">
        <v>23</v>
      </c>
      <c r="C414" s="16" t="s">
        <v>686</v>
      </c>
      <c r="D414" s="16" t="s">
        <v>2216</v>
      </c>
      <c r="E414" s="16" t="s">
        <v>2217</v>
      </c>
      <c r="F414" s="16" t="s">
        <v>2218</v>
      </c>
      <c r="G414" s="17">
        <v>37197</v>
      </c>
      <c r="H414" s="16" t="s">
        <v>1554</v>
      </c>
      <c r="I414" s="16">
        <v>178</v>
      </c>
      <c r="J414" s="16">
        <v>61</v>
      </c>
      <c r="K414" s="16">
        <v>3</v>
      </c>
      <c r="L414" s="16" t="s">
        <v>2219</v>
      </c>
    </row>
    <row r="415" spans="1:12" x14ac:dyDescent="0.4">
      <c r="A415" s="16" t="s">
        <v>309</v>
      </c>
      <c r="B415" s="16">
        <v>24</v>
      </c>
      <c r="C415" s="16" t="s">
        <v>691</v>
      </c>
      <c r="D415" s="16" t="s">
        <v>2220</v>
      </c>
      <c r="E415" s="16" t="s">
        <v>2221</v>
      </c>
      <c r="F415" s="16" t="s">
        <v>2222</v>
      </c>
      <c r="G415" s="17">
        <v>38430</v>
      </c>
      <c r="H415" s="16" t="s">
        <v>1094</v>
      </c>
      <c r="I415" s="16">
        <v>182</v>
      </c>
      <c r="J415" s="16">
        <v>4</v>
      </c>
      <c r="K415" s="16">
        <v>0</v>
      </c>
      <c r="L415" s="16" t="s">
        <v>2223</v>
      </c>
    </row>
    <row r="416" spans="1:12" x14ac:dyDescent="0.4">
      <c r="A416" s="16" t="s">
        <v>309</v>
      </c>
      <c r="B416" s="16">
        <v>25</v>
      </c>
      <c r="C416" s="16" t="s">
        <v>669</v>
      </c>
      <c r="D416" s="16" t="s">
        <v>2224</v>
      </c>
      <c r="E416" s="16" t="s">
        <v>2225</v>
      </c>
      <c r="F416" s="16" t="s">
        <v>2226</v>
      </c>
      <c r="G416" s="17">
        <v>36742</v>
      </c>
      <c r="H416" s="16" t="s">
        <v>2227</v>
      </c>
      <c r="I416" s="16">
        <v>192</v>
      </c>
      <c r="J416" s="16">
        <v>10</v>
      </c>
      <c r="K416" s="16">
        <v>1</v>
      </c>
      <c r="L416" s="16" t="s">
        <v>2228</v>
      </c>
    </row>
    <row r="417" spans="1:12" x14ac:dyDescent="0.4">
      <c r="A417" s="16" t="s">
        <v>309</v>
      </c>
      <c r="B417" s="16">
        <v>26</v>
      </c>
      <c r="C417" s="16" t="s">
        <v>669</v>
      </c>
      <c r="D417" s="16" t="s">
        <v>2229</v>
      </c>
      <c r="E417" s="16" t="s">
        <v>2230</v>
      </c>
      <c r="F417" s="16" t="s">
        <v>1558</v>
      </c>
      <c r="G417" s="17">
        <v>38296</v>
      </c>
      <c r="H417" s="16" t="s">
        <v>1725</v>
      </c>
      <c r="I417" s="16">
        <v>173</v>
      </c>
      <c r="J417" s="16">
        <v>6</v>
      </c>
      <c r="K417" s="16">
        <v>0</v>
      </c>
      <c r="L417" s="16" t="s">
        <v>2231</v>
      </c>
    </row>
    <row r="418" spans="1:12" x14ac:dyDescent="0.4">
      <c r="A418" s="16" t="s">
        <v>322</v>
      </c>
      <c r="B418" s="16">
        <v>1</v>
      </c>
      <c r="C418" s="16" t="s">
        <v>664</v>
      </c>
      <c r="D418" s="16" t="s">
        <v>2232</v>
      </c>
      <c r="E418" s="16" t="s">
        <v>2233</v>
      </c>
      <c r="F418" s="16" t="s">
        <v>2234</v>
      </c>
      <c r="G418" s="17">
        <v>32495</v>
      </c>
      <c r="H418" s="16" t="s">
        <v>2235</v>
      </c>
      <c r="I418" s="16">
        <v>191</v>
      </c>
      <c r="J418" s="16">
        <v>76</v>
      </c>
      <c r="K418" s="16">
        <v>0</v>
      </c>
      <c r="L418" s="16" t="s">
        <v>2236</v>
      </c>
    </row>
    <row r="419" spans="1:12" x14ac:dyDescent="0.4">
      <c r="A419" s="16" t="s">
        <v>322</v>
      </c>
      <c r="B419" s="16">
        <v>2</v>
      </c>
      <c r="C419" s="16" t="s">
        <v>669</v>
      </c>
      <c r="D419" s="16" t="s">
        <v>2237</v>
      </c>
      <c r="E419" s="16" t="s">
        <v>2238</v>
      </c>
      <c r="F419" s="16" t="s">
        <v>2239</v>
      </c>
      <c r="G419" s="17">
        <v>34010</v>
      </c>
      <c r="H419" s="16" t="s">
        <v>2235</v>
      </c>
      <c r="I419" s="16">
        <v>185</v>
      </c>
      <c r="J419" s="16">
        <v>17</v>
      </c>
      <c r="K419" s="16">
        <v>1</v>
      </c>
      <c r="L419" s="16" t="s">
        <v>2240</v>
      </c>
    </row>
    <row r="420" spans="1:12" x14ac:dyDescent="0.4">
      <c r="A420" s="16" t="s">
        <v>322</v>
      </c>
      <c r="B420" s="16">
        <v>3</v>
      </c>
      <c r="C420" s="16" t="s">
        <v>669</v>
      </c>
      <c r="D420" s="16" t="s">
        <v>2241</v>
      </c>
      <c r="E420" s="16" t="s">
        <v>2242</v>
      </c>
      <c r="F420" s="16" t="s">
        <v>2243</v>
      </c>
      <c r="G420" s="17">
        <v>35097</v>
      </c>
      <c r="H420" s="16" t="s">
        <v>2235</v>
      </c>
      <c r="I420" s="16">
        <v>175</v>
      </c>
      <c r="J420" s="16">
        <v>42</v>
      </c>
      <c r="K420" s="16">
        <v>0</v>
      </c>
      <c r="L420" s="16" t="s">
        <v>2244</v>
      </c>
    </row>
    <row r="421" spans="1:12" x14ac:dyDescent="0.4">
      <c r="A421" s="16" t="s">
        <v>322</v>
      </c>
      <c r="B421" s="16">
        <v>4</v>
      </c>
      <c r="C421" s="16" t="s">
        <v>669</v>
      </c>
      <c r="D421" s="16" t="s">
        <v>2245</v>
      </c>
      <c r="E421" s="16" t="s">
        <v>2246</v>
      </c>
      <c r="F421" s="16" t="s">
        <v>2247</v>
      </c>
      <c r="G421" s="17">
        <v>37011</v>
      </c>
      <c r="H421" s="16" t="s">
        <v>2248</v>
      </c>
      <c r="I421" s="16">
        <v>193</v>
      </c>
      <c r="J421" s="16">
        <v>13</v>
      </c>
      <c r="K421" s="16">
        <v>0</v>
      </c>
      <c r="L421" s="16" t="s">
        <v>2249</v>
      </c>
    </row>
    <row r="422" spans="1:12" x14ac:dyDescent="0.4">
      <c r="A422" s="16" t="s">
        <v>322</v>
      </c>
      <c r="B422" s="16">
        <v>5</v>
      </c>
      <c r="C422" s="16" t="s">
        <v>669</v>
      </c>
      <c r="D422" s="16" t="s">
        <v>2250</v>
      </c>
      <c r="E422" s="16" t="s">
        <v>2251</v>
      </c>
      <c r="F422" s="16" t="s">
        <v>2252</v>
      </c>
      <c r="G422" s="17">
        <v>34109</v>
      </c>
      <c r="H422" s="16" t="s">
        <v>2253</v>
      </c>
      <c r="I422" s="16">
        <v>183</v>
      </c>
      <c r="J422" s="16">
        <v>44</v>
      </c>
      <c r="K422" s="16">
        <v>5</v>
      </c>
      <c r="L422" s="16" t="s">
        <v>2254</v>
      </c>
    </row>
    <row r="423" spans="1:12" x14ac:dyDescent="0.4">
      <c r="A423" s="16" t="s">
        <v>322</v>
      </c>
      <c r="B423" s="16">
        <v>6</v>
      </c>
      <c r="C423" s="16" t="s">
        <v>669</v>
      </c>
      <c r="D423" s="16" t="s">
        <v>2255</v>
      </c>
      <c r="E423" s="16" t="s">
        <v>2256</v>
      </c>
      <c r="F423" s="16" t="s">
        <v>2257</v>
      </c>
      <c r="G423" s="17">
        <v>36192</v>
      </c>
      <c r="H423" s="16" t="s">
        <v>723</v>
      </c>
      <c r="I423" s="16">
        <v>184</v>
      </c>
      <c r="J423" s="16">
        <v>36</v>
      </c>
      <c r="K423" s="16">
        <v>3</v>
      </c>
      <c r="L423" s="16" t="s">
        <v>1448</v>
      </c>
    </row>
    <row r="424" spans="1:12" x14ac:dyDescent="0.4">
      <c r="A424" s="16" t="s">
        <v>322</v>
      </c>
      <c r="B424" s="16">
        <v>7</v>
      </c>
      <c r="C424" s="16" t="s">
        <v>691</v>
      </c>
      <c r="D424" s="16" t="s">
        <v>2258</v>
      </c>
      <c r="E424" s="16" t="s">
        <v>2259</v>
      </c>
      <c r="F424" s="16" t="s">
        <v>2260</v>
      </c>
      <c r="G424" s="17">
        <v>34608</v>
      </c>
      <c r="H424" s="16" t="s">
        <v>2235</v>
      </c>
      <c r="I424" s="16">
        <v>181</v>
      </c>
      <c r="J424" s="16">
        <v>96</v>
      </c>
      <c r="K424" s="16">
        <v>23</v>
      </c>
      <c r="L424" s="16" t="s">
        <v>2261</v>
      </c>
    </row>
    <row r="425" spans="1:12" x14ac:dyDescent="0.4">
      <c r="A425" s="16" t="s">
        <v>322</v>
      </c>
      <c r="B425" s="16">
        <v>8</v>
      </c>
      <c r="C425" s="16" t="s">
        <v>686</v>
      </c>
      <c r="D425" s="16" t="s">
        <v>2262</v>
      </c>
      <c r="E425" s="16" t="s">
        <v>2263</v>
      </c>
      <c r="F425" s="16" t="s">
        <v>2264</v>
      </c>
      <c r="G425" s="17">
        <v>35846</v>
      </c>
      <c r="H425" s="16" t="s">
        <v>2235</v>
      </c>
      <c r="I425" s="16">
        <v>180</v>
      </c>
      <c r="J425" s="16">
        <v>29</v>
      </c>
      <c r="K425" s="16">
        <v>0</v>
      </c>
      <c r="L425" s="16" t="s">
        <v>2265</v>
      </c>
    </row>
    <row r="426" spans="1:12" x14ac:dyDescent="0.4">
      <c r="A426" s="16" t="s">
        <v>322</v>
      </c>
      <c r="B426" s="16">
        <v>9</v>
      </c>
      <c r="C426" s="16" t="s">
        <v>691</v>
      </c>
      <c r="D426" s="16" t="s">
        <v>2266</v>
      </c>
      <c r="E426" s="16" t="s">
        <v>2267</v>
      </c>
      <c r="F426" s="16" t="s">
        <v>2268</v>
      </c>
      <c r="G426" s="17">
        <v>39448</v>
      </c>
      <c r="H426" s="16" t="s">
        <v>1193</v>
      </c>
      <c r="I426" s="16">
        <v>182</v>
      </c>
      <c r="J426" s="16">
        <v>2</v>
      </c>
      <c r="K426" s="16">
        <v>0</v>
      </c>
      <c r="L426" s="16" t="s">
        <v>2269</v>
      </c>
    </row>
    <row r="427" spans="1:12" x14ac:dyDescent="0.4">
      <c r="A427" s="16" t="s">
        <v>322</v>
      </c>
      <c r="B427" s="16">
        <v>10</v>
      </c>
      <c r="C427" s="16" t="s">
        <v>691</v>
      </c>
      <c r="D427" s="16" t="s">
        <v>2270</v>
      </c>
      <c r="E427" s="16" t="s">
        <v>2271</v>
      </c>
      <c r="F427" s="16" t="s">
        <v>2272</v>
      </c>
      <c r="G427" s="17">
        <v>33770</v>
      </c>
      <c r="H427" s="16" t="s">
        <v>1153</v>
      </c>
      <c r="I427" s="16">
        <v>175</v>
      </c>
      <c r="J427" s="16">
        <v>116</v>
      </c>
      <c r="K427" s="16">
        <v>67</v>
      </c>
      <c r="L427" s="16" t="s">
        <v>2273</v>
      </c>
    </row>
    <row r="428" spans="1:12" x14ac:dyDescent="0.4">
      <c r="A428" s="16" t="s">
        <v>322</v>
      </c>
      <c r="B428" s="16">
        <v>11</v>
      </c>
      <c r="C428" s="16" t="s">
        <v>686</v>
      </c>
      <c r="D428" s="16" t="s">
        <v>2274</v>
      </c>
      <c r="E428" s="16" t="s">
        <v>2275</v>
      </c>
      <c r="F428" s="16" t="s">
        <v>2276</v>
      </c>
      <c r="G428" s="17">
        <v>35547</v>
      </c>
      <c r="H428" s="16" t="s">
        <v>1755</v>
      </c>
      <c r="I428" s="16">
        <v>179</v>
      </c>
      <c r="J428" s="16">
        <v>2</v>
      </c>
      <c r="K428" s="16">
        <v>2</v>
      </c>
      <c r="L428" s="16" t="s">
        <v>2277</v>
      </c>
    </row>
    <row r="429" spans="1:12" x14ac:dyDescent="0.4">
      <c r="A429" s="16" t="s">
        <v>322</v>
      </c>
      <c r="B429" s="16">
        <v>12</v>
      </c>
      <c r="C429" s="16" t="s">
        <v>691</v>
      </c>
      <c r="D429" s="16" t="s">
        <v>2278</v>
      </c>
      <c r="E429" s="16" t="s">
        <v>2279</v>
      </c>
      <c r="F429" s="16" t="s">
        <v>2280</v>
      </c>
      <c r="G429" s="17">
        <v>37295</v>
      </c>
      <c r="H429" s="16" t="s">
        <v>2281</v>
      </c>
      <c r="I429" s="16">
        <v>175</v>
      </c>
      <c r="J429" s="16">
        <v>4</v>
      </c>
      <c r="K429" s="16">
        <v>0</v>
      </c>
      <c r="L429" s="16" t="s">
        <v>2261</v>
      </c>
    </row>
    <row r="430" spans="1:12" x14ac:dyDescent="0.4">
      <c r="A430" s="16" t="s">
        <v>322</v>
      </c>
      <c r="B430" s="16">
        <v>13</v>
      </c>
      <c r="C430" s="16" t="s">
        <v>669</v>
      </c>
      <c r="D430" s="16" t="s">
        <v>2282</v>
      </c>
      <c r="E430" s="16" t="s">
        <v>2283</v>
      </c>
      <c r="F430" s="16" t="s">
        <v>2284</v>
      </c>
      <c r="G430" s="17">
        <v>35876</v>
      </c>
      <c r="H430" s="16" t="s">
        <v>2248</v>
      </c>
      <c r="I430" s="16">
        <v>177</v>
      </c>
      <c r="J430" s="16">
        <v>39</v>
      </c>
      <c r="K430" s="16">
        <v>1</v>
      </c>
      <c r="L430" s="16" t="s">
        <v>2285</v>
      </c>
    </row>
    <row r="431" spans="1:12" x14ac:dyDescent="0.4">
      <c r="A431" s="16" t="s">
        <v>322</v>
      </c>
      <c r="B431" s="16">
        <v>14</v>
      </c>
      <c r="C431" s="16" t="s">
        <v>686</v>
      </c>
      <c r="D431" s="16" t="s">
        <v>2286</v>
      </c>
      <c r="E431" s="16" t="s">
        <v>2287</v>
      </c>
      <c r="F431" s="16" t="s">
        <v>2288</v>
      </c>
      <c r="G431" s="17">
        <v>34606</v>
      </c>
      <c r="H431" s="16" t="s">
        <v>2289</v>
      </c>
      <c r="I431" s="16">
        <v>183</v>
      </c>
      <c r="J431" s="16">
        <v>63</v>
      </c>
      <c r="K431" s="16">
        <v>3</v>
      </c>
      <c r="L431" s="16" t="s">
        <v>2290</v>
      </c>
    </row>
    <row r="432" spans="1:12" x14ac:dyDescent="0.4">
      <c r="A432" s="16" t="s">
        <v>322</v>
      </c>
      <c r="B432" s="16">
        <v>15</v>
      </c>
      <c r="C432" s="16" t="s">
        <v>669</v>
      </c>
      <c r="D432" s="16" t="s">
        <v>2291</v>
      </c>
      <c r="E432" s="16" t="s">
        <v>2292</v>
      </c>
      <c r="F432" s="16" t="s">
        <v>2293</v>
      </c>
      <c r="G432" s="17">
        <v>35136</v>
      </c>
      <c r="H432" s="16" t="s">
        <v>1755</v>
      </c>
      <c r="I432" s="16">
        <v>174</v>
      </c>
      <c r="J432" s="16">
        <v>9</v>
      </c>
      <c r="K432" s="16">
        <v>0</v>
      </c>
      <c r="L432" s="16" t="s">
        <v>2294</v>
      </c>
    </row>
    <row r="433" spans="1:12" x14ac:dyDescent="0.4">
      <c r="A433" s="16" t="s">
        <v>322</v>
      </c>
      <c r="B433" s="16">
        <v>16</v>
      </c>
      <c r="C433" s="16" t="s">
        <v>664</v>
      </c>
      <c r="D433" s="16" t="s">
        <v>2295</v>
      </c>
      <c r="E433" s="16" t="s">
        <v>2296</v>
      </c>
      <c r="F433" s="16" t="s">
        <v>2297</v>
      </c>
      <c r="G433" s="17">
        <v>31936</v>
      </c>
      <c r="H433" s="16" t="s">
        <v>2248</v>
      </c>
      <c r="I433" s="16">
        <v>189</v>
      </c>
      <c r="J433" s="16">
        <v>0</v>
      </c>
      <c r="K433" s="16">
        <v>0</v>
      </c>
      <c r="L433" s="16" t="s">
        <v>2298</v>
      </c>
    </row>
    <row r="434" spans="1:12" x14ac:dyDescent="0.4">
      <c r="A434" s="16" t="s">
        <v>322</v>
      </c>
      <c r="B434" s="16">
        <v>17</v>
      </c>
      <c r="C434" s="16" t="s">
        <v>686</v>
      </c>
      <c r="D434" s="16" t="s">
        <v>2299</v>
      </c>
      <c r="E434" s="16" t="s">
        <v>2300</v>
      </c>
      <c r="F434" s="16" t="s">
        <v>2301</v>
      </c>
      <c r="G434" s="17">
        <v>35214</v>
      </c>
      <c r="H434" s="16" t="s">
        <v>1755</v>
      </c>
      <c r="I434" s="16">
        <v>186</v>
      </c>
      <c r="J434" s="16">
        <v>23</v>
      </c>
      <c r="K434" s="16">
        <v>0</v>
      </c>
      <c r="L434" s="16" t="s">
        <v>2302</v>
      </c>
    </row>
    <row r="435" spans="1:12" x14ac:dyDescent="0.4">
      <c r="A435" s="16" t="s">
        <v>322</v>
      </c>
      <c r="B435" s="16">
        <v>18</v>
      </c>
      <c r="C435" s="16" t="s">
        <v>686</v>
      </c>
      <c r="D435" s="16" t="s">
        <v>2303</v>
      </c>
      <c r="E435" s="16" t="s">
        <v>2304</v>
      </c>
      <c r="F435" s="16" t="s">
        <v>2305</v>
      </c>
      <c r="G435" s="17">
        <v>35161</v>
      </c>
      <c r="H435" s="16" t="s">
        <v>2306</v>
      </c>
      <c r="I435" s="16">
        <v>179</v>
      </c>
      <c r="J435" s="16">
        <v>12</v>
      </c>
      <c r="K435" s="16">
        <v>0</v>
      </c>
      <c r="L435" s="16" t="s">
        <v>2307</v>
      </c>
    </row>
    <row r="436" spans="1:12" x14ac:dyDescent="0.4">
      <c r="A436" s="16" t="s">
        <v>322</v>
      </c>
      <c r="B436" s="16">
        <v>19</v>
      </c>
      <c r="C436" s="16" t="s">
        <v>686</v>
      </c>
      <c r="D436" s="16" t="s">
        <v>2308</v>
      </c>
      <c r="E436" s="16" t="s">
        <v>2309</v>
      </c>
      <c r="F436" s="16" t="s">
        <v>2310</v>
      </c>
      <c r="G436" s="17">
        <v>36008</v>
      </c>
      <c r="H436" s="16" t="s">
        <v>2235</v>
      </c>
      <c r="I436" s="16">
        <v>176</v>
      </c>
      <c r="J436" s="16">
        <v>34</v>
      </c>
      <c r="K436" s="16">
        <v>1</v>
      </c>
      <c r="L436" s="16" t="s">
        <v>2311</v>
      </c>
    </row>
    <row r="437" spans="1:12" x14ac:dyDescent="0.4">
      <c r="A437" s="16" t="s">
        <v>322</v>
      </c>
      <c r="B437" s="16">
        <v>20</v>
      </c>
      <c r="C437" s="16" t="s">
        <v>691</v>
      </c>
      <c r="D437" s="16" t="s">
        <v>2312</v>
      </c>
      <c r="E437" s="16" t="s">
        <v>2313</v>
      </c>
      <c r="F437" s="16" t="s">
        <v>2314</v>
      </c>
      <c r="G437" s="17">
        <v>37004</v>
      </c>
      <c r="H437" s="16" t="s">
        <v>2315</v>
      </c>
      <c r="I437" s="16">
        <v>178</v>
      </c>
      <c r="J437" s="16">
        <v>24</v>
      </c>
      <c r="K437" s="16">
        <v>3</v>
      </c>
      <c r="L437" s="16" t="s">
        <v>2261</v>
      </c>
    </row>
    <row r="438" spans="1:12" x14ac:dyDescent="0.4">
      <c r="A438" s="16" t="s">
        <v>322</v>
      </c>
      <c r="B438" s="16">
        <v>21</v>
      </c>
      <c r="C438" s="16" t="s">
        <v>686</v>
      </c>
      <c r="D438" s="16" t="s">
        <v>2316</v>
      </c>
      <c r="E438" s="16" t="s">
        <v>2317</v>
      </c>
      <c r="F438" s="16" t="s">
        <v>2318</v>
      </c>
      <c r="G438" s="17">
        <v>37102</v>
      </c>
      <c r="H438" s="16" t="s">
        <v>2319</v>
      </c>
      <c r="I438" s="16">
        <v>170</v>
      </c>
      <c r="J438" s="16">
        <v>15</v>
      </c>
      <c r="K438" s="16">
        <v>1</v>
      </c>
      <c r="L438" s="16" t="s">
        <v>2320</v>
      </c>
    </row>
    <row r="439" spans="1:12" x14ac:dyDescent="0.4">
      <c r="A439" s="16" t="s">
        <v>322</v>
      </c>
      <c r="B439" s="16">
        <v>22</v>
      </c>
      <c r="C439" s="16" t="s">
        <v>691</v>
      </c>
      <c r="D439" s="16" t="s">
        <v>2321</v>
      </c>
      <c r="E439" s="16" t="s">
        <v>2322</v>
      </c>
      <c r="F439" s="16" t="s">
        <v>2323</v>
      </c>
      <c r="G439" s="17">
        <v>36198</v>
      </c>
      <c r="H439" s="16" t="s">
        <v>727</v>
      </c>
      <c r="I439" s="16">
        <v>180</v>
      </c>
      <c r="J439" s="16">
        <v>50</v>
      </c>
      <c r="K439" s="16">
        <v>11</v>
      </c>
      <c r="L439" s="16" t="s">
        <v>2323</v>
      </c>
    </row>
    <row r="440" spans="1:12" x14ac:dyDescent="0.4">
      <c r="A440" s="16" t="s">
        <v>322</v>
      </c>
      <c r="B440" s="16">
        <v>23</v>
      </c>
      <c r="C440" s="16" t="s">
        <v>664</v>
      </c>
      <c r="D440" s="16" t="s">
        <v>2324</v>
      </c>
      <c r="E440" s="16" t="s">
        <v>2325</v>
      </c>
      <c r="F440" s="16" t="s">
        <v>2326</v>
      </c>
      <c r="G440" s="17">
        <v>36661</v>
      </c>
      <c r="H440" s="16" t="s">
        <v>2235</v>
      </c>
      <c r="I440" s="16">
        <v>195</v>
      </c>
      <c r="J440" s="16">
        <v>9</v>
      </c>
      <c r="K440" s="16">
        <v>0</v>
      </c>
      <c r="L440" s="16" t="s">
        <v>2326</v>
      </c>
    </row>
    <row r="441" spans="1:12" x14ac:dyDescent="0.4">
      <c r="A441" s="16" t="s">
        <v>322</v>
      </c>
      <c r="B441" s="16">
        <v>24</v>
      </c>
      <c r="C441" s="16" t="s">
        <v>669</v>
      </c>
      <c r="D441" s="16" t="s">
        <v>2327</v>
      </c>
      <c r="E441" s="16" t="s">
        <v>2328</v>
      </c>
      <c r="F441" s="16" t="s">
        <v>2329</v>
      </c>
      <c r="G441" s="17">
        <v>37261</v>
      </c>
      <c r="H441" s="16" t="s">
        <v>2319</v>
      </c>
      <c r="I441" s="16">
        <v>178</v>
      </c>
      <c r="J441" s="16">
        <v>3</v>
      </c>
      <c r="K441" s="16">
        <v>0</v>
      </c>
      <c r="L441" s="16" t="s">
        <v>2330</v>
      </c>
    </row>
    <row r="442" spans="1:12" x14ac:dyDescent="0.4">
      <c r="A442" s="16" t="s">
        <v>322</v>
      </c>
      <c r="B442" s="16">
        <v>25</v>
      </c>
      <c r="C442" s="16" t="s">
        <v>691</v>
      </c>
      <c r="D442" s="16" t="s">
        <v>2331</v>
      </c>
      <c r="E442" s="16" t="s">
        <v>2332</v>
      </c>
      <c r="F442" s="16" t="s">
        <v>2331</v>
      </c>
      <c r="G442" s="17">
        <v>35074</v>
      </c>
      <c r="H442" s="16" t="s">
        <v>2235</v>
      </c>
      <c r="I442" s="16">
        <v>175</v>
      </c>
      <c r="J442" s="16">
        <v>63</v>
      </c>
      <c r="K442" s="16">
        <v>5</v>
      </c>
      <c r="L442" s="16" t="s">
        <v>2333</v>
      </c>
    </row>
    <row r="443" spans="1:12" x14ac:dyDescent="0.4">
      <c r="A443" s="16" t="s">
        <v>322</v>
      </c>
      <c r="B443" s="16">
        <v>26</v>
      </c>
      <c r="C443" s="16" t="s">
        <v>664</v>
      </c>
      <c r="D443" s="16" t="s">
        <v>2334</v>
      </c>
      <c r="E443" s="16" t="s">
        <v>2335</v>
      </c>
      <c r="F443" s="16" t="s">
        <v>2336</v>
      </c>
      <c r="G443" s="17">
        <v>36161</v>
      </c>
      <c r="H443" s="16" t="s">
        <v>2337</v>
      </c>
      <c r="I443" s="16">
        <v>188</v>
      </c>
      <c r="J443" s="16">
        <v>0</v>
      </c>
      <c r="K443" s="16">
        <v>0</v>
      </c>
      <c r="L443" s="16" t="s">
        <v>1448</v>
      </c>
    </row>
    <row r="444" spans="1:12" x14ac:dyDescent="0.4">
      <c r="A444" s="16" t="s">
        <v>300</v>
      </c>
      <c r="B444" s="16">
        <v>1</v>
      </c>
      <c r="C444" s="16" t="s">
        <v>664</v>
      </c>
      <c r="D444" s="16" t="s">
        <v>2338</v>
      </c>
      <c r="E444" s="16" t="s">
        <v>2339</v>
      </c>
      <c r="F444" s="16" t="s">
        <v>2340</v>
      </c>
      <c r="G444" s="17">
        <v>34400</v>
      </c>
      <c r="H444" s="16" t="s">
        <v>2341</v>
      </c>
      <c r="I444" s="16">
        <v>185</v>
      </c>
      <c r="J444" s="16">
        <v>84</v>
      </c>
      <c r="K444" s="16">
        <v>0</v>
      </c>
      <c r="L444" s="16" t="s">
        <v>2340</v>
      </c>
    </row>
    <row r="445" spans="1:12" x14ac:dyDescent="0.4">
      <c r="A445" s="16" t="s">
        <v>300</v>
      </c>
      <c r="B445" s="16">
        <v>2</v>
      </c>
      <c r="C445" s="16" t="s">
        <v>669</v>
      </c>
      <c r="D445" s="16" t="s">
        <v>2342</v>
      </c>
      <c r="E445" s="16" t="s">
        <v>2343</v>
      </c>
      <c r="F445" s="16" t="s">
        <v>2344</v>
      </c>
      <c r="G445" s="17">
        <v>35726</v>
      </c>
      <c r="H445" s="16" t="s">
        <v>992</v>
      </c>
      <c r="I445" s="16">
        <v>180</v>
      </c>
      <c r="J445" s="16">
        <v>20</v>
      </c>
      <c r="K445" s="16">
        <v>1</v>
      </c>
      <c r="L445" s="16" t="s">
        <v>2344</v>
      </c>
    </row>
    <row r="446" spans="1:12" x14ac:dyDescent="0.4">
      <c r="A446" s="16" t="s">
        <v>300</v>
      </c>
      <c r="B446" s="16">
        <v>3</v>
      </c>
      <c r="C446" s="16" t="s">
        <v>669</v>
      </c>
      <c r="D446" s="16" t="s">
        <v>2345</v>
      </c>
      <c r="E446" s="16" t="s">
        <v>2346</v>
      </c>
      <c r="F446" s="16" t="s">
        <v>2347</v>
      </c>
      <c r="G446" s="17">
        <v>38432</v>
      </c>
      <c r="H446" s="16" t="s">
        <v>727</v>
      </c>
      <c r="I446" s="16">
        <v>177</v>
      </c>
      <c r="J446" s="16">
        <v>5</v>
      </c>
      <c r="K446" s="16">
        <v>0</v>
      </c>
      <c r="L446" s="16" t="s">
        <v>2347</v>
      </c>
    </row>
    <row r="447" spans="1:12" x14ac:dyDescent="0.4">
      <c r="A447" s="16" t="s">
        <v>300</v>
      </c>
      <c r="B447" s="16">
        <v>4</v>
      </c>
      <c r="C447" s="16" t="s">
        <v>686</v>
      </c>
      <c r="D447" s="16" t="s">
        <v>2348</v>
      </c>
      <c r="E447" s="16" t="s">
        <v>2349</v>
      </c>
      <c r="F447" s="16" t="s">
        <v>2350</v>
      </c>
      <c r="G447" s="17">
        <v>36174</v>
      </c>
      <c r="H447" s="16" t="s">
        <v>1000</v>
      </c>
      <c r="I447" s="16">
        <v>185</v>
      </c>
      <c r="J447" s="16">
        <v>73</v>
      </c>
      <c r="K447" s="16">
        <v>7</v>
      </c>
      <c r="L447" s="16" t="s">
        <v>2350</v>
      </c>
    </row>
    <row r="448" spans="1:12" x14ac:dyDescent="0.4">
      <c r="A448" s="16" t="s">
        <v>300</v>
      </c>
      <c r="B448" s="16">
        <v>5</v>
      </c>
      <c r="C448" s="16" t="s">
        <v>669</v>
      </c>
      <c r="D448" s="16" t="s">
        <v>2351</v>
      </c>
      <c r="E448" s="16" t="s">
        <v>2158</v>
      </c>
      <c r="F448" s="16" t="s">
        <v>2352</v>
      </c>
      <c r="G448" s="17">
        <v>34482</v>
      </c>
      <c r="H448" s="16" t="s">
        <v>727</v>
      </c>
      <c r="I448" s="16">
        <v>188</v>
      </c>
      <c r="J448" s="16">
        <v>89</v>
      </c>
      <c r="K448" s="16">
        <v>3</v>
      </c>
      <c r="L448" s="16" t="s">
        <v>2352</v>
      </c>
    </row>
    <row r="449" spans="1:12" x14ac:dyDescent="0.4">
      <c r="A449" s="16" t="s">
        <v>300</v>
      </c>
      <c r="B449" s="16">
        <v>6</v>
      </c>
      <c r="C449" s="16" t="s">
        <v>669</v>
      </c>
      <c r="D449" s="16" t="s">
        <v>2353</v>
      </c>
      <c r="E449" s="16" t="s">
        <v>2354</v>
      </c>
      <c r="F449" s="16" t="s">
        <v>2355</v>
      </c>
      <c r="G449" s="17">
        <v>36720</v>
      </c>
      <c r="H449" s="16" t="s">
        <v>727</v>
      </c>
      <c r="I449" s="16">
        <v>183</v>
      </c>
      <c r="J449" s="16">
        <v>29</v>
      </c>
      <c r="K449" s="16">
        <v>1</v>
      </c>
      <c r="L449" s="16" t="s">
        <v>2356</v>
      </c>
    </row>
    <row r="450" spans="1:12" x14ac:dyDescent="0.4">
      <c r="A450" s="16" t="s">
        <v>300</v>
      </c>
      <c r="B450" s="16">
        <v>7</v>
      </c>
      <c r="C450" s="16" t="s">
        <v>691</v>
      </c>
      <c r="D450" s="16" t="s">
        <v>2357</v>
      </c>
      <c r="E450" s="16" t="s">
        <v>2358</v>
      </c>
      <c r="F450" s="16" t="s">
        <v>2359</v>
      </c>
      <c r="G450" s="17">
        <v>37139</v>
      </c>
      <c r="H450" s="16" t="s">
        <v>1000</v>
      </c>
      <c r="I450" s="16">
        <v>178</v>
      </c>
      <c r="J450" s="16">
        <v>49</v>
      </c>
      <c r="K450" s="16">
        <v>14</v>
      </c>
      <c r="L450" s="16" t="s">
        <v>2359</v>
      </c>
    </row>
    <row r="451" spans="1:12" x14ac:dyDescent="0.4">
      <c r="A451" s="16" t="s">
        <v>300</v>
      </c>
      <c r="B451" s="16">
        <v>8</v>
      </c>
      <c r="C451" s="16" t="s">
        <v>686</v>
      </c>
      <c r="D451" s="16" t="s">
        <v>2360</v>
      </c>
      <c r="E451" s="16" t="s">
        <v>2361</v>
      </c>
      <c r="F451" s="16" t="s">
        <v>2362</v>
      </c>
      <c r="G451" s="17">
        <v>37566</v>
      </c>
      <c r="H451" s="16" t="s">
        <v>1846</v>
      </c>
      <c r="I451" s="16">
        <v>179</v>
      </c>
      <c r="J451" s="16">
        <v>9</v>
      </c>
      <c r="K451" s="16">
        <v>0</v>
      </c>
      <c r="L451" s="16" t="s">
        <v>2362</v>
      </c>
    </row>
    <row r="452" spans="1:12" x14ac:dyDescent="0.4">
      <c r="A452" s="16" t="s">
        <v>300</v>
      </c>
      <c r="B452" s="16">
        <v>9</v>
      </c>
      <c r="C452" s="16" t="s">
        <v>691</v>
      </c>
      <c r="D452" s="16" t="s">
        <v>2363</v>
      </c>
      <c r="E452" s="16" t="s">
        <v>2364</v>
      </c>
      <c r="F452" s="16" t="s">
        <v>2365</v>
      </c>
      <c r="G452" s="17">
        <v>34178</v>
      </c>
      <c r="H452" s="16" t="s">
        <v>944</v>
      </c>
      <c r="I452" s="16">
        <v>190</v>
      </c>
      <c r="J452" s="16">
        <v>114</v>
      </c>
      <c r="K452" s="16">
        <v>79</v>
      </c>
      <c r="L452" s="16" t="s">
        <v>2365</v>
      </c>
    </row>
    <row r="453" spans="1:12" x14ac:dyDescent="0.4">
      <c r="A453" s="16" t="s">
        <v>300</v>
      </c>
      <c r="B453" s="16">
        <v>10</v>
      </c>
      <c r="C453" s="16" t="s">
        <v>686</v>
      </c>
      <c r="D453" s="16" t="s">
        <v>2366</v>
      </c>
      <c r="E453" s="16" t="s">
        <v>2367</v>
      </c>
      <c r="F453" s="16" t="s">
        <v>2368</v>
      </c>
      <c r="G453" s="17">
        <v>37801</v>
      </c>
      <c r="H453" s="16" t="s">
        <v>898</v>
      </c>
      <c r="I453" s="16">
        <v>183</v>
      </c>
      <c r="J453" s="16">
        <v>48</v>
      </c>
      <c r="K453" s="16">
        <v>6</v>
      </c>
      <c r="L453" s="16" t="s">
        <v>2368</v>
      </c>
    </row>
    <row r="454" spans="1:12" x14ac:dyDescent="0.4">
      <c r="A454" s="16" t="s">
        <v>300</v>
      </c>
      <c r="B454" s="16">
        <v>11</v>
      </c>
      <c r="C454" s="16" t="s">
        <v>691</v>
      </c>
      <c r="D454" s="16" t="s">
        <v>2369</v>
      </c>
      <c r="E454" s="16" t="s">
        <v>2370</v>
      </c>
      <c r="F454" s="16" t="s">
        <v>2371</v>
      </c>
      <c r="G454" s="17">
        <v>35734</v>
      </c>
      <c r="H454" s="16" t="s">
        <v>1193</v>
      </c>
      <c r="I454" s="16">
        <v>180</v>
      </c>
      <c r="J454" s="16">
        <v>72</v>
      </c>
      <c r="K454" s="16">
        <v>18</v>
      </c>
      <c r="L454" s="16" t="s">
        <v>2371</v>
      </c>
    </row>
    <row r="455" spans="1:12" x14ac:dyDescent="0.4">
      <c r="A455" s="16" t="s">
        <v>300</v>
      </c>
      <c r="B455" s="16">
        <v>12</v>
      </c>
      <c r="C455" s="16" t="s">
        <v>669</v>
      </c>
      <c r="D455" s="16" t="s">
        <v>2372</v>
      </c>
      <c r="E455" s="16" t="s">
        <v>2373</v>
      </c>
      <c r="F455" s="16" t="s">
        <v>2374</v>
      </c>
      <c r="G455" s="17">
        <v>36346</v>
      </c>
      <c r="H455" s="16" t="s">
        <v>1554</v>
      </c>
      <c r="I455" s="16">
        <v>192</v>
      </c>
      <c r="J455" s="16">
        <v>1</v>
      </c>
      <c r="K455" s="16">
        <v>0</v>
      </c>
      <c r="L455" s="16" t="s">
        <v>2374</v>
      </c>
    </row>
    <row r="456" spans="1:12" x14ac:dyDescent="0.4">
      <c r="A456" s="16" t="s">
        <v>300</v>
      </c>
      <c r="B456" s="16">
        <v>13</v>
      </c>
      <c r="C456" s="16" t="s">
        <v>664</v>
      </c>
      <c r="D456" s="16" t="s">
        <v>2375</v>
      </c>
      <c r="E456" s="16" t="s">
        <v>2376</v>
      </c>
      <c r="F456" s="16" t="s">
        <v>2377</v>
      </c>
      <c r="G456" s="17">
        <v>35501</v>
      </c>
      <c r="H456" s="16" t="s">
        <v>1570</v>
      </c>
      <c r="I456" s="16">
        <v>188</v>
      </c>
      <c r="J456" s="16">
        <v>5</v>
      </c>
      <c r="K456" s="16">
        <v>0</v>
      </c>
      <c r="L456" s="16" t="s">
        <v>2378</v>
      </c>
    </row>
    <row r="457" spans="1:12" x14ac:dyDescent="0.4">
      <c r="A457" s="16" t="s">
        <v>300</v>
      </c>
      <c r="B457" s="16">
        <v>14</v>
      </c>
      <c r="C457" s="16" t="s">
        <v>686</v>
      </c>
      <c r="D457" s="16" t="s">
        <v>2379</v>
      </c>
      <c r="E457" s="16" t="s">
        <v>2380</v>
      </c>
      <c r="F457" s="16" t="s">
        <v>2378</v>
      </c>
      <c r="G457" s="17">
        <v>33041</v>
      </c>
      <c r="H457" s="16" t="s">
        <v>1248</v>
      </c>
      <c r="I457" s="16">
        <v>183</v>
      </c>
      <c r="J457" s="16">
        <v>90</v>
      </c>
      <c r="K457" s="16">
        <v>3</v>
      </c>
      <c r="L457" s="16" t="s">
        <v>2378</v>
      </c>
    </row>
    <row r="458" spans="1:12" x14ac:dyDescent="0.4">
      <c r="A458" s="16" t="s">
        <v>300</v>
      </c>
      <c r="B458" s="16">
        <v>15</v>
      </c>
      <c r="C458" s="16" t="s">
        <v>669</v>
      </c>
      <c r="D458" s="16" t="s">
        <v>2381</v>
      </c>
      <c r="E458" s="16" t="s">
        <v>2382</v>
      </c>
      <c r="F458" s="16" t="s">
        <v>2383</v>
      </c>
      <c r="G458" s="17">
        <v>33733</v>
      </c>
      <c r="H458" s="16" t="s">
        <v>1181</v>
      </c>
      <c r="I458" s="16">
        <v>201</v>
      </c>
      <c r="J458" s="16">
        <v>8</v>
      </c>
      <c r="K458" s="16">
        <v>0</v>
      </c>
      <c r="L458" s="16" t="s">
        <v>2383</v>
      </c>
    </row>
    <row r="459" spans="1:12" x14ac:dyDescent="0.4">
      <c r="A459" s="16" t="s">
        <v>300</v>
      </c>
      <c r="B459" s="16">
        <v>16</v>
      </c>
      <c r="C459" s="16" t="s">
        <v>686</v>
      </c>
      <c r="D459" s="16" t="s">
        <v>2384</v>
      </c>
      <c r="E459" s="16" t="s">
        <v>2385</v>
      </c>
      <c r="F459" s="16" t="s">
        <v>2386</v>
      </c>
      <c r="G459" s="17">
        <v>38461</v>
      </c>
      <c r="H459" s="16" t="s">
        <v>1007</v>
      </c>
      <c r="I459" s="16">
        <v>183</v>
      </c>
      <c r="J459" s="16">
        <v>14</v>
      </c>
      <c r="K459" s="16">
        <v>0</v>
      </c>
      <c r="L459" s="16" t="s">
        <v>2386</v>
      </c>
    </row>
    <row r="460" spans="1:12" x14ac:dyDescent="0.4">
      <c r="A460" s="16" t="s">
        <v>300</v>
      </c>
      <c r="B460" s="16">
        <v>17</v>
      </c>
      <c r="C460" s="16" t="s">
        <v>686</v>
      </c>
      <c r="D460" s="16" t="s">
        <v>2387</v>
      </c>
      <c r="E460" s="16" t="s">
        <v>2388</v>
      </c>
      <c r="F460" s="16" t="s">
        <v>2389</v>
      </c>
      <c r="G460" s="17">
        <v>37463</v>
      </c>
      <c r="H460" s="16" t="s">
        <v>992</v>
      </c>
      <c r="I460" s="16">
        <v>187</v>
      </c>
      <c r="J460" s="16">
        <v>15</v>
      </c>
      <c r="K460" s="16">
        <v>1</v>
      </c>
      <c r="L460" s="16" t="s">
        <v>2389</v>
      </c>
    </row>
    <row r="461" spans="1:12" x14ac:dyDescent="0.4">
      <c r="A461" s="16" t="s">
        <v>300</v>
      </c>
      <c r="B461" s="16">
        <v>18</v>
      </c>
      <c r="C461" s="16" t="s">
        <v>691</v>
      </c>
      <c r="D461" s="16" t="s">
        <v>2390</v>
      </c>
      <c r="E461" s="16" t="s">
        <v>2391</v>
      </c>
      <c r="F461" s="16" t="s">
        <v>2392</v>
      </c>
      <c r="G461" s="17">
        <v>36946</v>
      </c>
      <c r="H461" s="16" t="s">
        <v>1181</v>
      </c>
      <c r="I461" s="16">
        <v>182</v>
      </c>
      <c r="J461" s="16">
        <v>19</v>
      </c>
      <c r="K461" s="16">
        <v>3</v>
      </c>
      <c r="L461" s="16" t="s">
        <v>2392</v>
      </c>
    </row>
    <row r="462" spans="1:12" x14ac:dyDescent="0.4">
      <c r="A462" s="16" t="s">
        <v>300</v>
      </c>
      <c r="B462" s="16">
        <v>19</v>
      </c>
      <c r="C462" s="16" t="s">
        <v>691</v>
      </c>
      <c r="D462" s="16" t="s">
        <v>2393</v>
      </c>
      <c r="E462" s="16" t="s">
        <v>2394</v>
      </c>
      <c r="F462" s="16" t="s">
        <v>2395</v>
      </c>
      <c r="G462" s="17">
        <v>35063</v>
      </c>
      <c r="H462" s="16" t="s">
        <v>992</v>
      </c>
      <c r="I462" s="16">
        <v>180</v>
      </c>
      <c r="J462" s="16">
        <v>22</v>
      </c>
      <c r="K462" s="16">
        <v>7</v>
      </c>
      <c r="L462" s="16" t="s">
        <v>2395</v>
      </c>
    </row>
    <row r="463" spans="1:12" x14ac:dyDescent="0.4">
      <c r="A463" s="16" t="s">
        <v>300</v>
      </c>
      <c r="B463" s="16">
        <v>20</v>
      </c>
      <c r="C463" s="16" t="s">
        <v>691</v>
      </c>
      <c r="D463" s="16" t="s">
        <v>2396</v>
      </c>
      <c r="E463" s="16" t="s">
        <v>2397</v>
      </c>
      <c r="F463" s="16" t="s">
        <v>2398</v>
      </c>
      <c r="G463" s="17">
        <v>37325</v>
      </c>
      <c r="H463" s="16" t="s">
        <v>1000</v>
      </c>
      <c r="I463" s="16">
        <v>182</v>
      </c>
      <c r="J463" s="16">
        <v>11</v>
      </c>
      <c r="K463" s="16">
        <v>1</v>
      </c>
      <c r="L463" s="16" t="s">
        <v>2398</v>
      </c>
    </row>
    <row r="464" spans="1:12" x14ac:dyDescent="0.4">
      <c r="A464" s="16" t="s">
        <v>300</v>
      </c>
      <c r="B464" s="16">
        <v>21</v>
      </c>
      <c r="C464" s="16" t="s">
        <v>686</v>
      </c>
      <c r="D464" s="16" t="s">
        <v>2399</v>
      </c>
      <c r="E464" s="16" t="s">
        <v>2400</v>
      </c>
      <c r="F464" s="16" t="s">
        <v>2401</v>
      </c>
      <c r="G464" s="17">
        <v>35975</v>
      </c>
      <c r="H464" s="16" t="s">
        <v>1000</v>
      </c>
      <c r="I464" s="16">
        <v>178</v>
      </c>
      <c r="J464" s="16">
        <v>17</v>
      </c>
      <c r="K464" s="16">
        <v>3</v>
      </c>
      <c r="L464" s="16" t="s">
        <v>2401</v>
      </c>
    </row>
    <row r="465" spans="1:12" x14ac:dyDescent="0.4">
      <c r="A465" s="16" t="s">
        <v>300</v>
      </c>
      <c r="B465" s="16">
        <v>22</v>
      </c>
      <c r="C465" s="16" t="s">
        <v>691</v>
      </c>
      <c r="D465" s="16" t="s">
        <v>2402</v>
      </c>
      <c r="E465" s="16" t="s">
        <v>2403</v>
      </c>
      <c r="F465" s="16" t="s">
        <v>2404</v>
      </c>
      <c r="G465" s="17">
        <v>35140</v>
      </c>
      <c r="H465" s="16" t="s">
        <v>695</v>
      </c>
      <c r="I465" s="16">
        <v>185</v>
      </c>
      <c r="J465" s="16">
        <v>8</v>
      </c>
      <c r="K465" s="16">
        <v>1</v>
      </c>
      <c r="L465" s="16" t="s">
        <v>2404</v>
      </c>
    </row>
    <row r="466" spans="1:12" x14ac:dyDescent="0.4">
      <c r="A466" s="16" t="s">
        <v>300</v>
      </c>
      <c r="B466" s="16">
        <v>23</v>
      </c>
      <c r="C466" s="16" t="s">
        <v>664</v>
      </c>
      <c r="D466" s="16" t="s">
        <v>2405</v>
      </c>
      <c r="E466" s="16" t="s">
        <v>2406</v>
      </c>
      <c r="F466" s="16" t="s">
        <v>2407</v>
      </c>
      <c r="G466" s="17">
        <v>37539</v>
      </c>
      <c r="H466" s="16" t="s">
        <v>727</v>
      </c>
      <c r="I466" s="16">
        <v>197</v>
      </c>
      <c r="J466" s="16">
        <v>2</v>
      </c>
      <c r="K466" s="16">
        <v>0</v>
      </c>
      <c r="L466" s="16" t="s">
        <v>2407</v>
      </c>
    </row>
    <row r="467" spans="1:12" x14ac:dyDescent="0.4">
      <c r="A467" s="16" t="s">
        <v>300</v>
      </c>
      <c r="B467" s="16">
        <v>24</v>
      </c>
      <c r="C467" s="16" t="s">
        <v>669</v>
      </c>
      <c r="D467" s="16" t="s">
        <v>2408</v>
      </c>
      <c r="E467" s="16" t="s">
        <v>2409</v>
      </c>
      <c r="F467" s="16" t="s">
        <v>1604</v>
      </c>
      <c r="G467" s="17">
        <v>36502</v>
      </c>
      <c r="H467" s="16" t="s">
        <v>1554</v>
      </c>
      <c r="I467" s="16">
        <v>180</v>
      </c>
      <c r="J467" s="16">
        <v>24</v>
      </c>
      <c r="K467" s="16">
        <v>1</v>
      </c>
      <c r="L467" s="16" t="s">
        <v>1604</v>
      </c>
    </row>
    <row r="468" spans="1:12" x14ac:dyDescent="0.4">
      <c r="A468" s="16" t="s">
        <v>300</v>
      </c>
      <c r="B468" s="16">
        <v>25</v>
      </c>
      <c r="C468" s="16" t="s">
        <v>669</v>
      </c>
      <c r="D468" s="16" t="s">
        <v>2410</v>
      </c>
      <c r="E468" s="16" t="s">
        <v>2411</v>
      </c>
      <c r="F468" s="16" t="s">
        <v>2412</v>
      </c>
      <c r="G468" s="17">
        <v>36747</v>
      </c>
      <c r="H468" s="16" t="s">
        <v>879</v>
      </c>
      <c r="I468" s="16">
        <v>184</v>
      </c>
      <c r="J468" s="16">
        <v>6</v>
      </c>
      <c r="K468" s="16">
        <v>0</v>
      </c>
      <c r="L468" s="16" t="s">
        <v>2412</v>
      </c>
    </row>
    <row r="469" spans="1:12" x14ac:dyDescent="0.4">
      <c r="A469" s="16" t="s">
        <v>300</v>
      </c>
      <c r="B469" s="16">
        <v>26</v>
      </c>
      <c r="C469" s="16" t="s">
        <v>669</v>
      </c>
      <c r="D469" s="16" t="s">
        <v>2413</v>
      </c>
      <c r="E469" s="16" t="s">
        <v>2414</v>
      </c>
      <c r="F469" s="16" t="s">
        <v>2415</v>
      </c>
      <c r="G469" s="17">
        <v>37650</v>
      </c>
      <c r="H469" s="16" t="s">
        <v>753</v>
      </c>
      <c r="I469" s="16">
        <v>190</v>
      </c>
      <c r="J469" s="16">
        <v>3</v>
      </c>
      <c r="K469" s="16">
        <v>0</v>
      </c>
      <c r="L469" s="16" t="s">
        <v>2415</v>
      </c>
    </row>
    <row r="470" spans="1:12" x14ac:dyDescent="0.4">
      <c r="A470" s="16" t="s">
        <v>295</v>
      </c>
      <c r="B470" s="16">
        <v>1</v>
      </c>
      <c r="C470" s="16" t="s">
        <v>664</v>
      </c>
      <c r="D470" s="16" t="s">
        <v>2416</v>
      </c>
      <c r="E470" s="16" t="s">
        <v>2417</v>
      </c>
      <c r="F470" s="16" t="s">
        <v>2418</v>
      </c>
      <c r="G470" s="17">
        <v>34449</v>
      </c>
      <c r="H470" s="16" t="s">
        <v>2419</v>
      </c>
      <c r="I470" s="16">
        <v>187</v>
      </c>
      <c r="J470" s="16">
        <v>4</v>
      </c>
      <c r="K470" s="16">
        <v>0</v>
      </c>
      <c r="L470" s="16" t="s">
        <v>2418</v>
      </c>
    </row>
    <row r="471" spans="1:12" x14ac:dyDescent="0.4">
      <c r="A471" s="16" t="s">
        <v>295</v>
      </c>
      <c r="B471" s="16">
        <v>2</v>
      </c>
      <c r="C471" s="16" t="s">
        <v>669</v>
      </c>
      <c r="D471" s="16" t="s">
        <v>2420</v>
      </c>
      <c r="E471" s="16" t="s">
        <v>2421</v>
      </c>
      <c r="F471" s="16" t="s">
        <v>2422</v>
      </c>
      <c r="G471" s="17">
        <v>37760</v>
      </c>
      <c r="H471" s="16" t="s">
        <v>1554</v>
      </c>
      <c r="I471" s="16">
        <v>179</v>
      </c>
      <c r="J471" s="16">
        <v>11</v>
      </c>
      <c r="K471" s="16">
        <v>0</v>
      </c>
      <c r="L471" s="16" t="s">
        <v>2422</v>
      </c>
    </row>
    <row r="472" spans="1:12" x14ac:dyDescent="0.4">
      <c r="A472" s="16" t="s">
        <v>295</v>
      </c>
      <c r="B472" s="16">
        <v>3</v>
      </c>
      <c r="C472" s="16" t="s">
        <v>669</v>
      </c>
      <c r="D472" s="16" t="s">
        <v>2423</v>
      </c>
      <c r="E472" s="16" t="s">
        <v>861</v>
      </c>
      <c r="F472" s="16" t="s">
        <v>2424</v>
      </c>
      <c r="G472" s="17">
        <v>34170</v>
      </c>
      <c r="H472" s="16" t="s">
        <v>992</v>
      </c>
      <c r="I472" s="16">
        <v>178</v>
      </c>
      <c r="J472" s="16">
        <v>58</v>
      </c>
      <c r="K472" s="16">
        <v>0</v>
      </c>
      <c r="L472" s="16" t="s">
        <v>2424</v>
      </c>
    </row>
    <row r="473" spans="1:12" x14ac:dyDescent="0.4">
      <c r="A473" s="16" t="s">
        <v>295</v>
      </c>
      <c r="B473" s="16">
        <v>4</v>
      </c>
      <c r="C473" s="16" t="s">
        <v>669</v>
      </c>
      <c r="D473" s="16" t="s">
        <v>2425</v>
      </c>
      <c r="E473" s="16" t="s">
        <v>2426</v>
      </c>
      <c r="F473" s="16" t="s">
        <v>2427</v>
      </c>
      <c r="G473" s="17">
        <v>36095</v>
      </c>
      <c r="H473" s="16" t="s">
        <v>944</v>
      </c>
      <c r="I473" s="16">
        <v>186</v>
      </c>
      <c r="J473" s="16">
        <v>38</v>
      </c>
      <c r="K473" s="16">
        <v>2</v>
      </c>
      <c r="L473" s="16" t="s">
        <v>2427</v>
      </c>
    </row>
    <row r="474" spans="1:12" x14ac:dyDescent="0.4">
      <c r="A474" s="16" t="s">
        <v>295</v>
      </c>
      <c r="B474" s="16">
        <v>5</v>
      </c>
      <c r="C474" s="16" t="s">
        <v>669</v>
      </c>
      <c r="D474" s="16" t="s">
        <v>2428</v>
      </c>
      <c r="E474" s="16" t="s">
        <v>2429</v>
      </c>
      <c r="F474" s="16" t="s">
        <v>2430</v>
      </c>
      <c r="G474" s="17">
        <v>36111</v>
      </c>
      <c r="H474" s="16" t="s">
        <v>1193</v>
      </c>
      <c r="I474" s="16">
        <v>178</v>
      </c>
      <c r="J474" s="16">
        <v>48</v>
      </c>
      <c r="K474" s="16">
        <v>0</v>
      </c>
      <c r="L474" s="16" t="s">
        <v>2430</v>
      </c>
    </row>
    <row r="475" spans="1:12" x14ac:dyDescent="0.4">
      <c r="A475" s="16" t="s">
        <v>295</v>
      </c>
      <c r="B475" s="16">
        <v>6</v>
      </c>
      <c r="C475" s="16" t="s">
        <v>686</v>
      </c>
      <c r="D475" s="16" t="s">
        <v>2431</v>
      </c>
      <c r="E475" s="16" t="s">
        <v>2432</v>
      </c>
      <c r="F475" s="16" t="s">
        <v>1407</v>
      </c>
      <c r="G475" s="17">
        <v>37028</v>
      </c>
      <c r="H475" s="16" t="s">
        <v>1856</v>
      </c>
      <c r="I475" s="16">
        <v>185</v>
      </c>
      <c r="J475" s="16">
        <v>14</v>
      </c>
      <c r="K475" s="16">
        <v>0</v>
      </c>
      <c r="L475" s="16" t="s">
        <v>1407</v>
      </c>
    </row>
    <row r="476" spans="1:12" x14ac:dyDescent="0.4">
      <c r="A476" s="16" t="s">
        <v>295</v>
      </c>
      <c r="B476" s="16">
        <v>7</v>
      </c>
      <c r="C476" s="16" t="s">
        <v>691</v>
      </c>
      <c r="D476" s="16" t="s">
        <v>2433</v>
      </c>
      <c r="E476" s="16" t="s">
        <v>2434</v>
      </c>
      <c r="F476" s="16" t="s">
        <v>2435</v>
      </c>
      <c r="G476" s="17">
        <v>35565</v>
      </c>
      <c r="H476" s="16" t="s">
        <v>1165</v>
      </c>
      <c r="I476" s="16">
        <v>179</v>
      </c>
      <c r="J476" s="16">
        <v>59</v>
      </c>
      <c r="K476" s="16">
        <v>7</v>
      </c>
      <c r="L476" s="16" t="s">
        <v>2435</v>
      </c>
    </row>
    <row r="477" spans="1:12" x14ac:dyDescent="0.4">
      <c r="A477" s="16" t="s">
        <v>295</v>
      </c>
      <c r="B477" s="16">
        <v>8</v>
      </c>
      <c r="C477" s="16" t="s">
        <v>686</v>
      </c>
      <c r="D477" s="16" t="s">
        <v>2436</v>
      </c>
      <c r="E477" s="16" t="s">
        <v>2437</v>
      </c>
      <c r="F477" s="16" t="s">
        <v>2438</v>
      </c>
      <c r="G477" s="17">
        <v>36552</v>
      </c>
      <c r="H477" s="16" t="s">
        <v>898</v>
      </c>
      <c r="I477" s="16">
        <v>188</v>
      </c>
      <c r="J477" s="16">
        <v>46</v>
      </c>
      <c r="K477" s="16">
        <v>3</v>
      </c>
      <c r="L477" s="16" t="s">
        <v>2438</v>
      </c>
    </row>
    <row r="478" spans="1:12" x14ac:dyDescent="0.4">
      <c r="A478" s="16" t="s">
        <v>295</v>
      </c>
      <c r="B478" s="16">
        <v>9</v>
      </c>
      <c r="C478" s="16" t="s">
        <v>691</v>
      </c>
      <c r="D478" s="16" t="s">
        <v>2439</v>
      </c>
      <c r="E478" s="16" t="s">
        <v>2440</v>
      </c>
      <c r="F478" s="16" t="s">
        <v>2441</v>
      </c>
      <c r="G478" s="17">
        <v>35648</v>
      </c>
      <c r="H478" s="16" t="s">
        <v>1547</v>
      </c>
      <c r="I478" s="16">
        <v>192</v>
      </c>
      <c r="J478" s="16">
        <v>34</v>
      </c>
      <c r="K478" s="16">
        <v>3</v>
      </c>
      <c r="L478" s="16" t="s">
        <v>2442</v>
      </c>
    </row>
    <row r="479" spans="1:12" x14ac:dyDescent="0.4">
      <c r="A479" s="16" t="s">
        <v>295</v>
      </c>
      <c r="B479" s="16">
        <v>10</v>
      </c>
      <c r="C479" s="16" t="s">
        <v>691</v>
      </c>
      <c r="D479" s="16" t="s">
        <v>2443</v>
      </c>
      <c r="E479" s="16" t="s">
        <v>2444</v>
      </c>
      <c r="F479" s="16" t="s">
        <v>2445</v>
      </c>
      <c r="G479" s="17">
        <v>36149</v>
      </c>
      <c r="H479" s="16" t="s">
        <v>898</v>
      </c>
      <c r="I479" s="16">
        <v>180</v>
      </c>
      <c r="J479" s="16">
        <v>98</v>
      </c>
      <c r="K479" s="16">
        <v>56</v>
      </c>
      <c r="L479" s="16" t="s">
        <v>2446</v>
      </c>
    </row>
    <row r="480" spans="1:12" x14ac:dyDescent="0.4">
      <c r="A480" s="16" t="s">
        <v>295</v>
      </c>
      <c r="B480" s="16">
        <v>11</v>
      </c>
      <c r="C480" s="16" t="s">
        <v>691</v>
      </c>
      <c r="D480" s="16" t="s">
        <v>2447</v>
      </c>
      <c r="E480" s="16" t="s">
        <v>2448</v>
      </c>
      <c r="F480" s="16" t="s">
        <v>2449</v>
      </c>
      <c r="G480" s="17">
        <v>37237</v>
      </c>
      <c r="H480" s="16" t="s">
        <v>944</v>
      </c>
      <c r="I480" s="16">
        <v>184</v>
      </c>
      <c r="J480" s="16">
        <v>17</v>
      </c>
      <c r="K480" s="16">
        <v>7</v>
      </c>
      <c r="L480" s="16" t="s">
        <v>2449</v>
      </c>
    </row>
    <row r="481" spans="1:12" x14ac:dyDescent="0.4">
      <c r="A481" s="16" t="s">
        <v>295</v>
      </c>
      <c r="B481" s="16">
        <v>12</v>
      </c>
      <c r="C481" s="16" t="s">
        <v>691</v>
      </c>
      <c r="D481" s="16" t="s">
        <v>2450</v>
      </c>
      <c r="E481" s="16" t="s">
        <v>2451</v>
      </c>
      <c r="F481" s="16" t="s">
        <v>2452</v>
      </c>
      <c r="G481" s="17">
        <v>37501</v>
      </c>
      <c r="H481" s="16" t="s">
        <v>1165</v>
      </c>
      <c r="I481" s="16">
        <v>187</v>
      </c>
      <c r="J481" s="16">
        <v>20</v>
      </c>
      <c r="K481" s="16">
        <v>3</v>
      </c>
      <c r="L481" s="16" t="s">
        <v>2452</v>
      </c>
    </row>
    <row r="482" spans="1:12" x14ac:dyDescent="0.4">
      <c r="A482" s="16" t="s">
        <v>295</v>
      </c>
      <c r="B482" s="16">
        <v>13</v>
      </c>
      <c r="C482" s="16" t="s">
        <v>686</v>
      </c>
      <c r="D482" s="16" t="s">
        <v>2453</v>
      </c>
      <c r="E482" s="16" t="s">
        <v>2454</v>
      </c>
      <c r="F482" s="16" t="s">
        <v>2455</v>
      </c>
      <c r="G482" s="17">
        <v>33326</v>
      </c>
      <c r="H482" s="16" t="s">
        <v>1239</v>
      </c>
      <c r="I482" s="16">
        <v>171</v>
      </c>
      <c r="J482" s="16">
        <v>69</v>
      </c>
      <c r="K482" s="16">
        <v>2</v>
      </c>
      <c r="L482" s="16" t="s">
        <v>2455</v>
      </c>
    </row>
    <row r="483" spans="1:12" x14ac:dyDescent="0.4">
      <c r="A483" s="16" t="s">
        <v>295</v>
      </c>
      <c r="B483" s="16">
        <v>14</v>
      </c>
      <c r="C483" s="16" t="s">
        <v>686</v>
      </c>
      <c r="D483" s="16" t="s">
        <v>2456</v>
      </c>
      <c r="E483" s="16" t="s">
        <v>2457</v>
      </c>
      <c r="F483" s="16" t="s">
        <v>2458</v>
      </c>
      <c r="G483" s="17">
        <v>34792</v>
      </c>
      <c r="H483" s="16" t="s">
        <v>1023</v>
      </c>
      <c r="I483" s="16">
        <v>191</v>
      </c>
      <c r="J483" s="16">
        <v>59</v>
      </c>
      <c r="K483" s="16">
        <v>7</v>
      </c>
      <c r="L483" s="16" t="s">
        <v>2458</v>
      </c>
    </row>
    <row r="484" spans="1:12" x14ac:dyDescent="0.4">
      <c r="A484" s="16" t="s">
        <v>295</v>
      </c>
      <c r="B484" s="16">
        <v>15</v>
      </c>
      <c r="C484" s="16" t="s">
        <v>669</v>
      </c>
      <c r="D484" s="16" t="s">
        <v>2459</v>
      </c>
      <c r="E484" s="16" t="s">
        <v>2460</v>
      </c>
      <c r="F484" s="16" t="s">
        <v>2461</v>
      </c>
      <c r="G484" s="17">
        <v>36305</v>
      </c>
      <c r="H484" s="16" t="s">
        <v>1153</v>
      </c>
      <c r="I484" s="16">
        <v>194</v>
      </c>
      <c r="J484" s="16">
        <v>28</v>
      </c>
      <c r="K484" s="16">
        <v>0</v>
      </c>
      <c r="L484" s="16" t="s">
        <v>2462</v>
      </c>
    </row>
    <row r="485" spans="1:12" x14ac:dyDescent="0.4">
      <c r="A485" s="16" t="s">
        <v>295</v>
      </c>
      <c r="B485" s="16">
        <v>16</v>
      </c>
      <c r="C485" s="16" t="s">
        <v>664</v>
      </c>
      <c r="D485" s="16" t="s">
        <v>2463</v>
      </c>
      <c r="E485" s="16" t="s">
        <v>2464</v>
      </c>
      <c r="F485" s="16" t="s">
        <v>2465</v>
      </c>
      <c r="G485" s="17">
        <v>34883</v>
      </c>
      <c r="H485" s="16" t="s">
        <v>1023</v>
      </c>
      <c r="I485" s="16">
        <v>191</v>
      </c>
      <c r="J485" s="16">
        <v>40</v>
      </c>
      <c r="K485" s="16">
        <v>0</v>
      </c>
      <c r="L485" s="16" t="s">
        <v>2465</v>
      </c>
    </row>
    <row r="486" spans="1:12" x14ac:dyDescent="0.4">
      <c r="A486" s="16" t="s">
        <v>295</v>
      </c>
      <c r="B486" s="16">
        <v>17</v>
      </c>
      <c r="C486" s="16" t="s">
        <v>669</v>
      </c>
      <c r="D486" s="16" t="s">
        <v>2466</v>
      </c>
      <c r="E486" s="16" t="s">
        <v>2467</v>
      </c>
      <c r="F486" s="16" t="s">
        <v>1466</v>
      </c>
      <c r="G486" s="17">
        <v>36974</v>
      </c>
      <c r="H486" s="16" t="s">
        <v>1000</v>
      </c>
      <c r="I486" s="16">
        <v>192</v>
      </c>
      <c r="J486" s="16">
        <v>32</v>
      </c>
      <c r="K486" s="16">
        <v>0</v>
      </c>
      <c r="L486" s="16" t="s">
        <v>1466</v>
      </c>
    </row>
    <row r="487" spans="1:12" x14ac:dyDescent="0.4">
      <c r="A487" s="16" t="s">
        <v>295</v>
      </c>
      <c r="B487" s="16">
        <v>18</v>
      </c>
      <c r="C487" s="16" t="s">
        <v>686</v>
      </c>
      <c r="D487" s="16" t="s">
        <v>2468</v>
      </c>
      <c r="E487" s="16" t="s">
        <v>2469</v>
      </c>
      <c r="F487" s="16" t="s">
        <v>2470</v>
      </c>
      <c r="G487" s="17">
        <v>38784</v>
      </c>
      <c r="H487" s="16" t="s">
        <v>1165</v>
      </c>
      <c r="I487" s="16">
        <v>176</v>
      </c>
      <c r="J487" s="16">
        <v>11</v>
      </c>
      <c r="K487" s="16">
        <v>1</v>
      </c>
      <c r="L487" s="16" t="s">
        <v>2471</v>
      </c>
    </row>
    <row r="488" spans="1:12" x14ac:dyDescent="0.4">
      <c r="A488" s="16" t="s">
        <v>295</v>
      </c>
      <c r="B488" s="16">
        <v>19</v>
      </c>
      <c r="C488" s="16" t="s">
        <v>669</v>
      </c>
      <c r="D488" s="16" t="s">
        <v>2472</v>
      </c>
      <c r="E488" s="16" t="s">
        <v>2473</v>
      </c>
      <c r="F488" s="16" t="s">
        <v>2474</v>
      </c>
      <c r="G488" s="17">
        <v>35709</v>
      </c>
      <c r="H488" s="16" t="s">
        <v>2475</v>
      </c>
      <c r="I488" s="16">
        <v>184</v>
      </c>
      <c r="J488" s="16">
        <v>44</v>
      </c>
      <c r="K488" s="16">
        <v>2</v>
      </c>
      <c r="L488" s="16" t="s">
        <v>2476</v>
      </c>
    </row>
    <row r="489" spans="1:12" x14ac:dyDescent="0.4">
      <c r="A489" s="16" t="s">
        <v>295</v>
      </c>
      <c r="B489" s="16">
        <v>20</v>
      </c>
      <c r="C489" s="16" t="s">
        <v>691</v>
      </c>
      <c r="D489" s="16" t="s">
        <v>2477</v>
      </c>
      <c r="E489" s="16" t="s">
        <v>2478</v>
      </c>
      <c r="F489" s="16" t="s">
        <v>1843</v>
      </c>
      <c r="G489" s="17">
        <v>38506</v>
      </c>
      <c r="H489" s="16" t="s">
        <v>1165</v>
      </c>
      <c r="I489" s="16">
        <v>182</v>
      </c>
      <c r="J489" s="16">
        <v>7</v>
      </c>
      <c r="K489" s="16">
        <v>2</v>
      </c>
      <c r="L489" s="16" t="s">
        <v>1843</v>
      </c>
    </row>
    <row r="490" spans="1:12" x14ac:dyDescent="0.4">
      <c r="A490" s="16" t="s">
        <v>295</v>
      </c>
      <c r="B490" s="16">
        <v>21</v>
      </c>
      <c r="C490" s="16" t="s">
        <v>669</v>
      </c>
      <c r="D490" s="16" t="s">
        <v>2479</v>
      </c>
      <c r="E490" s="16" t="s">
        <v>2480</v>
      </c>
      <c r="F490" s="16" t="s">
        <v>2481</v>
      </c>
      <c r="G490" s="17">
        <v>35109</v>
      </c>
      <c r="H490" s="16" t="s">
        <v>1165</v>
      </c>
      <c r="I490" s="16">
        <v>184</v>
      </c>
      <c r="J490" s="16">
        <v>42</v>
      </c>
      <c r="K490" s="16">
        <v>0</v>
      </c>
      <c r="L490" s="16" t="s">
        <v>2476</v>
      </c>
    </row>
    <row r="491" spans="1:12" x14ac:dyDescent="0.4">
      <c r="A491" s="16" t="s">
        <v>295</v>
      </c>
      <c r="B491" s="16">
        <v>22</v>
      </c>
      <c r="C491" s="16" t="s">
        <v>691</v>
      </c>
      <c r="D491" s="16" t="s">
        <v>2482</v>
      </c>
      <c r="E491" s="16" t="s">
        <v>2483</v>
      </c>
      <c r="F491" s="16" t="s">
        <v>2484</v>
      </c>
      <c r="G491" s="17">
        <v>35609</v>
      </c>
      <c r="H491" s="16" t="s">
        <v>1570</v>
      </c>
      <c r="I491" s="16">
        <v>192</v>
      </c>
      <c r="J491" s="16">
        <v>4</v>
      </c>
      <c r="K491" s="16">
        <v>2</v>
      </c>
      <c r="L491" s="16" t="s">
        <v>2484</v>
      </c>
    </row>
    <row r="492" spans="1:12" x14ac:dyDescent="0.4">
      <c r="A492" s="16" t="s">
        <v>295</v>
      </c>
      <c r="B492" s="16">
        <v>23</v>
      </c>
      <c r="C492" s="16" t="s">
        <v>664</v>
      </c>
      <c r="D492" s="16" t="s">
        <v>2485</v>
      </c>
      <c r="E492" s="16" t="s">
        <v>2486</v>
      </c>
      <c r="F492" s="16" t="s">
        <v>2487</v>
      </c>
      <c r="G492" s="17">
        <v>38323</v>
      </c>
      <c r="H492" s="16" t="s">
        <v>1782</v>
      </c>
      <c r="I492" s="16">
        <v>193</v>
      </c>
      <c r="J492" s="16">
        <v>0</v>
      </c>
      <c r="K492" s="16">
        <v>0</v>
      </c>
      <c r="L492" s="16" t="s">
        <v>2487</v>
      </c>
    </row>
    <row r="493" spans="1:12" x14ac:dyDescent="0.4">
      <c r="A493" s="16" t="s">
        <v>295</v>
      </c>
      <c r="B493" s="16">
        <v>24</v>
      </c>
      <c r="C493" s="16" t="s">
        <v>686</v>
      </c>
      <c r="D493" s="16" t="s">
        <v>2488</v>
      </c>
      <c r="E493" s="16" t="s">
        <v>2489</v>
      </c>
      <c r="F493" s="16" t="s">
        <v>2490</v>
      </c>
      <c r="G493" s="17">
        <v>37850</v>
      </c>
      <c r="H493" s="16" t="s">
        <v>727</v>
      </c>
      <c r="I493" s="16">
        <v>180</v>
      </c>
      <c r="J493" s="16">
        <v>7</v>
      </c>
      <c r="K493" s="16">
        <v>2</v>
      </c>
      <c r="L493" s="16" t="s">
        <v>2490</v>
      </c>
    </row>
    <row r="494" spans="1:12" x14ac:dyDescent="0.4">
      <c r="A494" s="16" t="s">
        <v>295</v>
      </c>
      <c r="B494" s="16">
        <v>25</v>
      </c>
      <c r="C494" s="16" t="s">
        <v>686</v>
      </c>
      <c r="D494" s="16" t="s">
        <v>2491</v>
      </c>
      <c r="E494" s="16" t="s">
        <v>2492</v>
      </c>
      <c r="F494" s="16" t="s">
        <v>2493</v>
      </c>
      <c r="G494" s="17">
        <v>37312</v>
      </c>
      <c r="H494" s="16" t="s">
        <v>1820</v>
      </c>
      <c r="I494" s="16">
        <v>183</v>
      </c>
      <c r="J494" s="16">
        <v>9</v>
      </c>
      <c r="K494" s="16">
        <v>1</v>
      </c>
      <c r="L494" s="16" t="s">
        <v>2493</v>
      </c>
    </row>
    <row r="495" spans="1:12" x14ac:dyDescent="0.4">
      <c r="A495" s="16" t="s">
        <v>295</v>
      </c>
      <c r="B495" s="16">
        <v>26</v>
      </c>
      <c r="C495" s="16" t="s">
        <v>669</v>
      </c>
      <c r="D495" s="16" t="s">
        <v>2494</v>
      </c>
      <c r="E495" s="16" t="s">
        <v>2495</v>
      </c>
      <c r="F495" s="16" t="s">
        <v>2496</v>
      </c>
      <c r="G495" s="17">
        <v>36622</v>
      </c>
      <c r="H495" s="16" t="s">
        <v>1570</v>
      </c>
      <c r="I495" s="16">
        <v>192</v>
      </c>
      <c r="J495" s="16">
        <v>4</v>
      </c>
      <c r="K495" s="16">
        <v>0</v>
      </c>
      <c r="L495" s="16" t="s">
        <v>2496</v>
      </c>
    </row>
    <row r="496" spans="1:12" x14ac:dyDescent="0.4">
      <c r="A496" s="16" t="s">
        <v>287</v>
      </c>
      <c r="B496" s="16">
        <v>1</v>
      </c>
      <c r="C496" s="16" t="s">
        <v>664</v>
      </c>
      <c r="D496" s="16" t="s">
        <v>2497</v>
      </c>
      <c r="E496" s="16" t="s">
        <v>2498</v>
      </c>
      <c r="F496" s="16" t="s">
        <v>2499</v>
      </c>
      <c r="G496" s="17">
        <v>31498</v>
      </c>
      <c r="H496" s="16" t="s">
        <v>944</v>
      </c>
      <c r="I496" s="16">
        <v>193</v>
      </c>
      <c r="J496" s="16">
        <v>124</v>
      </c>
      <c r="K496" s="16">
        <v>0</v>
      </c>
      <c r="L496" s="16" t="s">
        <v>2499</v>
      </c>
    </row>
    <row r="497" spans="1:12" x14ac:dyDescent="0.4">
      <c r="A497" s="16" t="s">
        <v>287</v>
      </c>
      <c r="B497" s="16">
        <v>2</v>
      </c>
      <c r="C497" s="16" t="s">
        <v>669</v>
      </c>
      <c r="D497" s="16" t="s">
        <v>2500</v>
      </c>
      <c r="E497" s="16" t="s">
        <v>2501</v>
      </c>
      <c r="F497" s="16" t="s">
        <v>2502</v>
      </c>
      <c r="G497" s="17">
        <v>34031</v>
      </c>
      <c r="H497" s="16" t="s">
        <v>898</v>
      </c>
      <c r="I497" s="16">
        <v>190</v>
      </c>
      <c r="J497" s="16">
        <v>82</v>
      </c>
      <c r="K497" s="16">
        <v>3</v>
      </c>
      <c r="L497" s="16" t="s">
        <v>2502</v>
      </c>
    </row>
    <row r="498" spans="1:12" x14ac:dyDescent="0.4">
      <c r="A498" s="16" t="s">
        <v>287</v>
      </c>
      <c r="B498" s="16">
        <v>3</v>
      </c>
      <c r="C498" s="16" t="s">
        <v>669</v>
      </c>
      <c r="D498" s="16" t="s">
        <v>2503</v>
      </c>
      <c r="E498" s="16" t="s">
        <v>2504</v>
      </c>
      <c r="F498" s="16" t="s">
        <v>2505</v>
      </c>
      <c r="G498" s="17">
        <v>35266</v>
      </c>
      <c r="H498" s="16" t="s">
        <v>749</v>
      </c>
      <c r="I498" s="16">
        <v>189</v>
      </c>
      <c r="J498" s="16">
        <v>13</v>
      </c>
      <c r="K498" s="16">
        <v>0</v>
      </c>
      <c r="L498" s="16" t="s">
        <v>2505</v>
      </c>
    </row>
    <row r="499" spans="1:12" x14ac:dyDescent="0.4">
      <c r="A499" s="16" t="s">
        <v>287</v>
      </c>
      <c r="B499" s="16">
        <v>4</v>
      </c>
      <c r="C499" s="16" t="s">
        <v>669</v>
      </c>
      <c r="D499" s="16" t="s">
        <v>2506</v>
      </c>
      <c r="E499" s="16" t="s">
        <v>2507</v>
      </c>
      <c r="F499" s="16" t="s">
        <v>2508</v>
      </c>
      <c r="G499" s="17">
        <v>35106</v>
      </c>
      <c r="H499" s="16" t="s">
        <v>944</v>
      </c>
      <c r="I499" s="16">
        <v>195</v>
      </c>
      <c r="J499" s="16">
        <v>47</v>
      </c>
      <c r="K499" s="16">
        <v>1</v>
      </c>
      <c r="L499" s="16" t="s">
        <v>2508</v>
      </c>
    </row>
    <row r="500" spans="1:12" x14ac:dyDescent="0.4">
      <c r="A500" s="16" t="s">
        <v>287</v>
      </c>
      <c r="B500" s="16">
        <v>5</v>
      </c>
      <c r="C500" s="16" t="s">
        <v>686</v>
      </c>
      <c r="D500" s="16" t="s">
        <v>2509</v>
      </c>
      <c r="E500" s="16" t="s">
        <v>2510</v>
      </c>
      <c r="F500" s="16" t="s">
        <v>2511</v>
      </c>
      <c r="G500" s="17">
        <v>38110</v>
      </c>
      <c r="H500" s="16" t="s">
        <v>944</v>
      </c>
      <c r="I500" s="16">
        <v>188</v>
      </c>
      <c r="J500" s="16">
        <v>11</v>
      </c>
      <c r="K500" s="16">
        <v>1</v>
      </c>
      <c r="L500" s="16" t="s">
        <v>2511</v>
      </c>
    </row>
    <row r="501" spans="1:12" x14ac:dyDescent="0.4">
      <c r="A501" s="16" t="s">
        <v>287</v>
      </c>
      <c r="B501" s="16">
        <v>6</v>
      </c>
      <c r="C501" s="16" t="s">
        <v>669</v>
      </c>
      <c r="D501" s="16" t="s">
        <v>2512</v>
      </c>
      <c r="E501" s="16" t="s">
        <v>2513</v>
      </c>
      <c r="F501" s="16" t="s">
        <v>2514</v>
      </c>
      <c r="G501" s="17">
        <v>34738</v>
      </c>
      <c r="H501" s="16" t="s">
        <v>944</v>
      </c>
      <c r="I501" s="16">
        <v>177</v>
      </c>
      <c r="J501" s="16">
        <v>110</v>
      </c>
      <c r="K501" s="16">
        <v>10</v>
      </c>
      <c r="L501" s="16" t="s">
        <v>2514</v>
      </c>
    </row>
    <row r="502" spans="1:12" x14ac:dyDescent="0.4">
      <c r="A502" s="16" t="s">
        <v>287</v>
      </c>
      <c r="B502" s="16">
        <v>7</v>
      </c>
      <c r="C502" s="16" t="s">
        <v>691</v>
      </c>
      <c r="D502" s="16" t="s">
        <v>2515</v>
      </c>
      <c r="E502" s="16" t="s">
        <v>2516</v>
      </c>
      <c r="F502" s="16" t="s">
        <v>2517</v>
      </c>
      <c r="G502" s="17">
        <v>36322</v>
      </c>
      <c r="H502" s="16" t="s">
        <v>1000</v>
      </c>
      <c r="I502" s="16">
        <v>190</v>
      </c>
      <c r="J502" s="16">
        <v>58</v>
      </c>
      <c r="K502" s="16">
        <v>22</v>
      </c>
      <c r="L502" s="16" t="s">
        <v>2517</v>
      </c>
    </row>
    <row r="503" spans="1:12" x14ac:dyDescent="0.4">
      <c r="A503" s="16" t="s">
        <v>287</v>
      </c>
      <c r="B503" s="16">
        <v>8</v>
      </c>
      <c r="C503" s="16" t="s">
        <v>686</v>
      </c>
      <c r="D503" s="16" t="s">
        <v>2518</v>
      </c>
      <c r="E503" s="16" t="s">
        <v>2519</v>
      </c>
      <c r="F503" s="16" t="s">
        <v>2520</v>
      </c>
      <c r="G503" s="17">
        <v>34736</v>
      </c>
      <c r="H503" s="16" t="s">
        <v>944</v>
      </c>
      <c r="I503" s="16">
        <v>189</v>
      </c>
      <c r="J503" s="16">
        <v>70</v>
      </c>
      <c r="K503" s="16">
        <v>15</v>
      </c>
      <c r="L503" s="16" t="s">
        <v>2520</v>
      </c>
    </row>
    <row r="504" spans="1:12" x14ac:dyDescent="0.4">
      <c r="A504" s="16" t="s">
        <v>287</v>
      </c>
      <c r="B504" s="16">
        <v>9</v>
      </c>
      <c r="C504" s="16" t="s">
        <v>686</v>
      </c>
      <c r="D504" s="16" t="s">
        <v>2521</v>
      </c>
      <c r="E504" s="16" t="s">
        <v>2522</v>
      </c>
      <c r="F504" s="16" t="s">
        <v>2523</v>
      </c>
      <c r="G504" s="17">
        <v>36948</v>
      </c>
      <c r="H504" s="16" t="s">
        <v>1094</v>
      </c>
      <c r="I504" s="16">
        <v>185</v>
      </c>
      <c r="J504" s="16">
        <v>5</v>
      </c>
      <c r="K504" s="16">
        <v>1</v>
      </c>
      <c r="L504" s="16" t="s">
        <v>2523</v>
      </c>
    </row>
    <row r="505" spans="1:12" x14ac:dyDescent="0.4">
      <c r="A505" s="16" t="s">
        <v>287</v>
      </c>
      <c r="B505" s="16">
        <v>10</v>
      </c>
      <c r="C505" s="16" t="s">
        <v>686</v>
      </c>
      <c r="D505" s="16" t="s">
        <v>2524</v>
      </c>
      <c r="E505" s="16" t="s">
        <v>2525</v>
      </c>
      <c r="F505" s="16" t="s">
        <v>2526</v>
      </c>
      <c r="G505" s="17">
        <v>37678</v>
      </c>
      <c r="H505" s="16" t="s">
        <v>944</v>
      </c>
      <c r="I505" s="16">
        <v>180</v>
      </c>
      <c r="J505" s="16">
        <v>42</v>
      </c>
      <c r="K505" s="16">
        <v>9</v>
      </c>
      <c r="L505" s="16" t="s">
        <v>2526</v>
      </c>
    </row>
    <row r="506" spans="1:12" x14ac:dyDescent="0.4">
      <c r="A506" s="16" t="s">
        <v>287</v>
      </c>
      <c r="B506" s="16">
        <v>11</v>
      </c>
      <c r="C506" s="16" t="s">
        <v>691</v>
      </c>
      <c r="D506" s="16" t="s">
        <v>2527</v>
      </c>
      <c r="E506" s="16" t="s">
        <v>2528</v>
      </c>
      <c r="F506" s="16" t="s">
        <v>2529</v>
      </c>
      <c r="G506" s="17">
        <v>37301</v>
      </c>
      <c r="H506" s="16" t="s">
        <v>1181</v>
      </c>
      <c r="I506" s="16">
        <v>198</v>
      </c>
      <c r="J506" s="16">
        <v>11</v>
      </c>
      <c r="K506" s="16">
        <v>4</v>
      </c>
      <c r="L506" s="16" t="s">
        <v>2529</v>
      </c>
    </row>
    <row r="507" spans="1:12" x14ac:dyDescent="0.4">
      <c r="A507" s="16" t="s">
        <v>287</v>
      </c>
      <c r="B507" s="16">
        <v>12</v>
      </c>
      <c r="C507" s="16" t="s">
        <v>664</v>
      </c>
      <c r="D507" s="16" t="s">
        <v>2530</v>
      </c>
      <c r="E507" s="16" t="s">
        <v>2531</v>
      </c>
      <c r="F507" s="16" t="s">
        <v>2532</v>
      </c>
      <c r="G507" s="17">
        <v>33026</v>
      </c>
      <c r="H507" s="16" t="s">
        <v>949</v>
      </c>
      <c r="I507" s="16">
        <v>187</v>
      </c>
      <c r="J507" s="16">
        <v>13</v>
      </c>
      <c r="K507" s="16">
        <v>0</v>
      </c>
      <c r="L507" s="16" t="s">
        <v>2532</v>
      </c>
    </row>
    <row r="508" spans="1:12" x14ac:dyDescent="0.4">
      <c r="A508" s="16" t="s">
        <v>287</v>
      </c>
      <c r="B508" s="16">
        <v>13</v>
      </c>
      <c r="C508" s="16" t="s">
        <v>686</v>
      </c>
      <c r="D508" s="16" t="s">
        <v>2533</v>
      </c>
      <c r="E508" s="16" t="s">
        <v>2534</v>
      </c>
      <c r="F508" s="16" t="s">
        <v>2535</v>
      </c>
      <c r="G508" s="17">
        <v>33404</v>
      </c>
      <c r="H508" s="16" t="s">
        <v>981</v>
      </c>
      <c r="I508" s="16">
        <v>181</v>
      </c>
      <c r="J508" s="16">
        <v>18</v>
      </c>
      <c r="K508" s="16">
        <v>1</v>
      </c>
      <c r="L508" s="16" t="s">
        <v>2535</v>
      </c>
    </row>
    <row r="509" spans="1:12" x14ac:dyDescent="0.4">
      <c r="A509" s="16" t="s">
        <v>287</v>
      </c>
      <c r="B509" s="16">
        <v>14</v>
      </c>
      <c r="C509" s="16" t="s">
        <v>691</v>
      </c>
      <c r="D509" s="16" t="s">
        <v>2536</v>
      </c>
      <c r="E509" s="16" t="s">
        <v>2537</v>
      </c>
      <c r="F509" s="16" t="s">
        <v>2538</v>
      </c>
      <c r="G509" s="17">
        <v>37546</v>
      </c>
      <c r="H509" s="16" t="s">
        <v>749</v>
      </c>
      <c r="I509" s="16">
        <v>185</v>
      </c>
      <c r="J509" s="16">
        <v>9</v>
      </c>
      <c r="K509" s="16">
        <v>0</v>
      </c>
      <c r="L509" s="16" t="s">
        <v>2538</v>
      </c>
    </row>
    <row r="510" spans="1:12" x14ac:dyDescent="0.4">
      <c r="A510" s="16" t="s">
        <v>287</v>
      </c>
      <c r="B510" s="16">
        <v>15</v>
      </c>
      <c r="C510" s="16" t="s">
        <v>669</v>
      </c>
      <c r="D510" s="16" t="s">
        <v>2539</v>
      </c>
      <c r="E510" s="16" t="s">
        <v>2540</v>
      </c>
      <c r="F510" s="16" t="s">
        <v>2541</v>
      </c>
      <c r="G510" s="17">
        <v>36495</v>
      </c>
      <c r="H510" s="16" t="s">
        <v>749</v>
      </c>
      <c r="I510" s="16">
        <v>191</v>
      </c>
      <c r="J510" s="16">
        <v>27</v>
      </c>
      <c r="K510" s="16">
        <v>0</v>
      </c>
      <c r="L510" s="16" t="s">
        <v>2541</v>
      </c>
    </row>
    <row r="511" spans="1:12" x14ac:dyDescent="0.4">
      <c r="A511" s="16" t="s">
        <v>287</v>
      </c>
      <c r="B511" s="16">
        <v>16</v>
      </c>
      <c r="C511" s="16" t="s">
        <v>686</v>
      </c>
      <c r="D511" s="16" t="s">
        <v>2542</v>
      </c>
      <c r="E511" s="16" t="s">
        <v>2543</v>
      </c>
      <c r="F511" s="16" t="s">
        <v>2544</v>
      </c>
      <c r="G511" s="17">
        <v>36985</v>
      </c>
      <c r="H511" s="16" t="s">
        <v>1094</v>
      </c>
      <c r="I511" s="16">
        <v>183</v>
      </c>
      <c r="J511" s="16">
        <v>8</v>
      </c>
      <c r="K511" s="16">
        <v>0</v>
      </c>
      <c r="L511" s="16" t="s">
        <v>2544</v>
      </c>
    </row>
    <row r="512" spans="1:12" x14ac:dyDescent="0.4">
      <c r="A512" s="16" t="s">
        <v>287</v>
      </c>
      <c r="B512" s="16">
        <v>17</v>
      </c>
      <c r="C512" s="16" t="s">
        <v>686</v>
      </c>
      <c r="D512" s="16" t="s">
        <v>2545</v>
      </c>
      <c r="E512" s="16" t="s">
        <v>2546</v>
      </c>
      <c r="F512" s="16" t="s">
        <v>2547</v>
      </c>
      <c r="G512" s="17">
        <v>37744</v>
      </c>
      <c r="H512" s="16" t="s">
        <v>1153</v>
      </c>
      <c r="I512" s="16">
        <v>176</v>
      </c>
      <c r="J512" s="16">
        <v>41</v>
      </c>
      <c r="K512" s="16">
        <v>11</v>
      </c>
      <c r="L512" s="16" t="s">
        <v>2547</v>
      </c>
    </row>
    <row r="513" spans="1:12" x14ac:dyDescent="0.4">
      <c r="A513" s="16" t="s">
        <v>287</v>
      </c>
      <c r="B513" s="16">
        <v>18</v>
      </c>
      <c r="C513" s="16" t="s">
        <v>669</v>
      </c>
      <c r="D513" s="16" t="s">
        <v>2548</v>
      </c>
      <c r="E513" s="16" t="s">
        <v>2549</v>
      </c>
      <c r="F513" s="16" t="s">
        <v>2550</v>
      </c>
      <c r="G513" s="17">
        <v>37788</v>
      </c>
      <c r="H513" s="16" t="s">
        <v>707</v>
      </c>
      <c r="I513" s="16">
        <v>176</v>
      </c>
      <c r="J513" s="16">
        <v>5</v>
      </c>
      <c r="K513" s="16">
        <v>0</v>
      </c>
      <c r="L513" s="16" t="s">
        <v>2550</v>
      </c>
    </row>
    <row r="514" spans="1:12" x14ac:dyDescent="0.4">
      <c r="A514" s="16" t="s">
        <v>287</v>
      </c>
      <c r="B514" s="16">
        <v>19</v>
      </c>
      <c r="C514" s="16" t="s">
        <v>686</v>
      </c>
      <c r="D514" s="16" t="s">
        <v>2551</v>
      </c>
      <c r="E514" s="16" t="s">
        <v>2552</v>
      </c>
      <c r="F514" s="16" t="s">
        <v>2553</v>
      </c>
      <c r="G514" s="17">
        <v>35075</v>
      </c>
      <c r="H514" s="16" t="s">
        <v>1664</v>
      </c>
      <c r="I514" s="16">
        <v>183</v>
      </c>
      <c r="J514" s="16">
        <v>76</v>
      </c>
      <c r="K514" s="16">
        <v>17</v>
      </c>
      <c r="L514" s="16" t="s">
        <v>2553</v>
      </c>
    </row>
    <row r="515" spans="1:12" x14ac:dyDescent="0.4">
      <c r="A515" s="16" t="s">
        <v>287</v>
      </c>
      <c r="B515" s="16">
        <v>20</v>
      </c>
      <c r="C515" s="16" t="s">
        <v>686</v>
      </c>
      <c r="D515" s="16" t="s">
        <v>2554</v>
      </c>
      <c r="E515" s="16" t="s">
        <v>2555</v>
      </c>
      <c r="F515" s="16" t="s">
        <v>2556</v>
      </c>
      <c r="G515" s="17">
        <v>35365</v>
      </c>
      <c r="H515" s="16" t="s">
        <v>887</v>
      </c>
      <c r="I515" s="16">
        <v>178</v>
      </c>
      <c r="J515" s="16">
        <v>11</v>
      </c>
      <c r="K515" s="16">
        <v>1</v>
      </c>
      <c r="L515" s="16" t="s">
        <v>2556</v>
      </c>
    </row>
    <row r="516" spans="1:12" x14ac:dyDescent="0.4">
      <c r="A516" s="16" t="s">
        <v>287</v>
      </c>
      <c r="B516" s="16">
        <v>21</v>
      </c>
      <c r="C516" s="16" t="s">
        <v>664</v>
      </c>
      <c r="D516" s="16" t="s">
        <v>2557</v>
      </c>
      <c r="E516" s="16" t="s">
        <v>869</v>
      </c>
      <c r="F516" s="16" t="s">
        <v>2558</v>
      </c>
      <c r="G516" s="17">
        <v>35338</v>
      </c>
      <c r="H516" s="16" t="s">
        <v>1094</v>
      </c>
      <c r="I516" s="16">
        <v>193</v>
      </c>
      <c r="J516" s="16">
        <v>3</v>
      </c>
      <c r="K516" s="16">
        <v>0</v>
      </c>
      <c r="L516" s="16" t="s">
        <v>2558</v>
      </c>
    </row>
    <row r="517" spans="1:12" x14ac:dyDescent="0.4">
      <c r="A517" s="16" t="s">
        <v>287</v>
      </c>
      <c r="B517" s="16">
        <v>22</v>
      </c>
      <c r="C517" s="16" t="s">
        <v>669</v>
      </c>
      <c r="D517" s="16" t="s">
        <v>2559</v>
      </c>
      <c r="E517" s="16" t="s">
        <v>896</v>
      </c>
      <c r="F517" s="16" t="s">
        <v>2560</v>
      </c>
      <c r="G517" s="17">
        <v>35907</v>
      </c>
      <c r="H517" s="16" t="s">
        <v>883</v>
      </c>
      <c r="I517" s="16">
        <v>180</v>
      </c>
      <c r="J517" s="16">
        <v>37</v>
      </c>
      <c r="K517" s="16">
        <v>1</v>
      </c>
      <c r="L517" s="16" t="s">
        <v>2560</v>
      </c>
    </row>
    <row r="518" spans="1:12" x14ac:dyDescent="0.4">
      <c r="A518" s="16" t="s">
        <v>287</v>
      </c>
      <c r="B518" s="16">
        <v>23</v>
      </c>
      <c r="C518" s="16" t="s">
        <v>686</v>
      </c>
      <c r="D518" s="16" t="s">
        <v>2561</v>
      </c>
      <c r="E518" s="16" t="s">
        <v>2562</v>
      </c>
      <c r="F518" s="16" t="s">
        <v>2563</v>
      </c>
      <c r="G518" s="17">
        <v>36809</v>
      </c>
      <c r="H518" s="16" t="s">
        <v>749</v>
      </c>
      <c r="I518" s="16">
        <v>190</v>
      </c>
      <c r="J518" s="16">
        <v>8</v>
      </c>
      <c r="K518" s="16">
        <v>1</v>
      </c>
      <c r="L518" s="16" t="s">
        <v>2563</v>
      </c>
    </row>
    <row r="519" spans="1:12" x14ac:dyDescent="0.4">
      <c r="A519" s="16" t="s">
        <v>287</v>
      </c>
      <c r="B519" s="16">
        <v>24</v>
      </c>
      <c r="C519" s="16" t="s">
        <v>669</v>
      </c>
      <c r="D519" s="16" t="s">
        <v>2564</v>
      </c>
      <c r="E519" s="16" t="s">
        <v>2565</v>
      </c>
      <c r="F519" s="16" t="s">
        <v>2566</v>
      </c>
      <c r="G519" s="17">
        <v>37111</v>
      </c>
      <c r="H519" s="16" t="s">
        <v>1181</v>
      </c>
      <c r="I519" s="16">
        <v>194</v>
      </c>
      <c r="J519" s="16">
        <v>5</v>
      </c>
      <c r="K519" s="16">
        <v>0</v>
      </c>
      <c r="L519" s="16" t="s">
        <v>2566</v>
      </c>
    </row>
    <row r="520" spans="1:12" x14ac:dyDescent="0.4">
      <c r="A520" s="16" t="s">
        <v>287</v>
      </c>
      <c r="B520" s="16">
        <v>25</v>
      </c>
      <c r="C520" s="16" t="s">
        <v>686</v>
      </c>
      <c r="D520" s="16" t="s">
        <v>2567</v>
      </c>
      <c r="E520" s="16" t="s">
        <v>2568</v>
      </c>
      <c r="F520" s="16" t="s">
        <v>2569</v>
      </c>
      <c r="G520" s="17">
        <v>38846</v>
      </c>
      <c r="H520" s="16" t="s">
        <v>883</v>
      </c>
      <c r="I520" s="16">
        <v>191</v>
      </c>
      <c r="J520" s="16">
        <v>1</v>
      </c>
      <c r="K520" s="16">
        <v>1</v>
      </c>
      <c r="L520" s="16" t="s">
        <v>2569</v>
      </c>
    </row>
    <row r="521" spans="1:12" x14ac:dyDescent="0.4">
      <c r="A521" s="16" t="s">
        <v>287</v>
      </c>
      <c r="B521" s="16">
        <v>26</v>
      </c>
      <c r="C521" s="16" t="s">
        <v>691</v>
      </c>
      <c r="D521" s="16" t="s">
        <v>2570</v>
      </c>
      <c r="E521" s="16" t="s">
        <v>2571</v>
      </c>
      <c r="F521" s="16" t="s">
        <v>2572</v>
      </c>
      <c r="G521" s="17">
        <v>35265</v>
      </c>
      <c r="H521" s="16" t="s">
        <v>1094</v>
      </c>
      <c r="I521" s="16">
        <v>179</v>
      </c>
      <c r="J521" s="16">
        <v>9</v>
      </c>
      <c r="K521" s="16">
        <v>6</v>
      </c>
      <c r="L521" s="16" t="s">
        <v>2572</v>
      </c>
    </row>
    <row r="522" spans="1:12" x14ac:dyDescent="0.4">
      <c r="A522" s="16" t="s">
        <v>303</v>
      </c>
      <c r="B522" s="16">
        <v>1</v>
      </c>
      <c r="C522" s="16" t="s">
        <v>664</v>
      </c>
      <c r="D522" s="16" t="s">
        <v>2573</v>
      </c>
      <c r="E522" s="16" t="s">
        <v>2574</v>
      </c>
      <c r="F522" s="16" t="s">
        <v>2575</v>
      </c>
      <c r="G522" s="17">
        <v>35398</v>
      </c>
      <c r="H522" s="16" t="s">
        <v>2576</v>
      </c>
      <c r="I522" s="16">
        <v>188</v>
      </c>
      <c r="J522" s="16">
        <v>29</v>
      </c>
      <c r="K522" s="16">
        <v>0</v>
      </c>
      <c r="L522" s="16" t="s">
        <v>2575</v>
      </c>
    </row>
    <row r="523" spans="1:12" x14ac:dyDescent="0.4">
      <c r="A523" s="16" t="s">
        <v>303</v>
      </c>
      <c r="B523" s="16">
        <v>2</v>
      </c>
      <c r="C523" s="16" t="s">
        <v>669</v>
      </c>
      <c r="D523" s="16" t="s">
        <v>2577</v>
      </c>
      <c r="E523" s="16" t="s">
        <v>2578</v>
      </c>
      <c r="F523" s="16" t="s">
        <v>2579</v>
      </c>
      <c r="G523" s="17">
        <v>36681</v>
      </c>
      <c r="H523" s="16" t="s">
        <v>2419</v>
      </c>
      <c r="I523" s="16">
        <v>173</v>
      </c>
      <c r="J523" s="16">
        <v>24</v>
      </c>
      <c r="K523" s="16">
        <v>1</v>
      </c>
      <c r="L523" s="16" t="s">
        <v>2580</v>
      </c>
    </row>
    <row r="524" spans="1:12" x14ac:dyDescent="0.4">
      <c r="A524" s="16" t="s">
        <v>303</v>
      </c>
      <c r="B524" s="16">
        <v>3</v>
      </c>
      <c r="C524" s="16" t="s">
        <v>686</v>
      </c>
      <c r="D524" s="16" t="s">
        <v>2581</v>
      </c>
      <c r="E524" s="16" t="s">
        <v>2582</v>
      </c>
      <c r="F524" s="16" t="s">
        <v>2583</v>
      </c>
      <c r="G524" s="17">
        <v>38732</v>
      </c>
      <c r="H524" s="16" t="s">
        <v>2315</v>
      </c>
      <c r="I524" s="16">
        <v>182</v>
      </c>
      <c r="J524" s="16">
        <v>11</v>
      </c>
      <c r="K524" s="16">
        <v>1</v>
      </c>
      <c r="L524" s="16" t="s">
        <v>2583</v>
      </c>
    </row>
    <row r="525" spans="1:12" x14ac:dyDescent="0.4">
      <c r="A525" s="16" t="s">
        <v>303</v>
      </c>
      <c r="B525" s="16">
        <v>4</v>
      </c>
      <c r="C525" s="16" t="s">
        <v>669</v>
      </c>
      <c r="D525" s="16" t="s">
        <v>2584</v>
      </c>
      <c r="E525" s="16" t="s">
        <v>2585</v>
      </c>
      <c r="F525" s="16" t="s">
        <v>2586</v>
      </c>
      <c r="G525" s="17">
        <v>37968</v>
      </c>
      <c r="H525" s="16" t="s">
        <v>738</v>
      </c>
      <c r="I525" s="16">
        <v>188</v>
      </c>
      <c r="J525" s="16">
        <v>10</v>
      </c>
      <c r="K525" s="16">
        <v>0</v>
      </c>
      <c r="L525" s="16" t="s">
        <v>2586</v>
      </c>
    </row>
    <row r="526" spans="1:12" x14ac:dyDescent="0.4">
      <c r="A526" s="16" t="s">
        <v>303</v>
      </c>
      <c r="B526" s="16">
        <v>5</v>
      </c>
      <c r="C526" s="16" t="s">
        <v>686</v>
      </c>
      <c r="D526" s="16" t="s">
        <v>2587</v>
      </c>
      <c r="E526" s="16" t="s">
        <v>2588</v>
      </c>
      <c r="F526" s="16" t="s">
        <v>2589</v>
      </c>
      <c r="G526" s="17">
        <v>34133</v>
      </c>
      <c r="H526" s="16" t="s">
        <v>1274</v>
      </c>
      <c r="I526" s="16">
        <v>185</v>
      </c>
      <c r="J526" s="16">
        <v>57</v>
      </c>
      <c r="K526" s="16">
        <v>15</v>
      </c>
      <c r="L526" s="16" t="s">
        <v>2589</v>
      </c>
    </row>
    <row r="527" spans="1:12" x14ac:dyDescent="0.4">
      <c r="A527" s="16" t="s">
        <v>303</v>
      </c>
      <c r="B527" s="16">
        <v>6</v>
      </c>
      <c r="C527" s="16" t="s">
        <v>669</v>
      </c>
      <c r="D527" s="16" t="s">
        <v>2590</v>
      </c>
      <c r="E527" s="16" t="s">
        <v>2591</v>
      </c>
      <c r="F527" s="16" t="s">
        <v>2592</v>
      </c>
      <c r="G527" s="17">
        <v>35952</v>
      </c>
      <c r="H527" s="16" t="s">
        <v>2593</v>
      </c>
      <c r="I527" s="16">
        <v>188</v>
      </c>
      <c r="J527" s="16">
        <v>5</v>
      </c>
      <c r="K527" s="16">
        <v>0</v>
      </c>
      <c r="L527" s="16" t="s">
        <v>2594</v>
      </c>
    </row>
    <row r="528" spans="1:12" x14ac:dyDescent="0.4">
      <c r="A528" s="16" t="s">
        <v>303</v>
      </c>
      <c r="B528" s="16">
        <v>7</v>
      </c>
      <c r="C528" s="16" t="s">
        <v>691</v>
      </c>
      <c r="D528" s="16" t="s">
        <v>2595</v>
      </c>
      <c r="E528" s="16" t="s">
        <v>2596</v>
      </c>
      <c r="F528" s="16" t="s">
        <v>2597</v>
      </c>
      <c r="G528" s="17">
        <v>38054</v>
      </c>
      <c r="H528" s="16" t="s">
        <v>840</v>
      </c>
      <c r="I528" s="16">
        <v>177</v>
      </c>
      <c r="J528" s="16">
        <v>28</v>
      </c>
      <c r="K528" s="16">
        <v>3</v>
      </c>
      <c r="L528" s="16" t="s">
        <v>2598</v>
      </c>
    </row>
    <row r="529" spans="1:12" x14ac:dyDescent="0.4">
      <c r="A529" s="16" t="s">
        <v>303</v>
      </c>
      <c r="B529" s="16">
        <v>8</v>
      </c>
      <c r="C529" s="16" t="s">
        <v>686</v>
      </c>
      <c r="D529" s="16" t="s">
        <v>2599</v>
      </c>
      <c r="E529" s="16" t="s">
        <v>2600</v>
      </c>
      <c r="F529" s="16" t="s">
        <v>2601</v>
      </c>
      <c r="G529" s="17">
        <v>35970</v>
      </c>
      <c r="H529" s="16" t="s">
        <v>2281</v>
      </c>
      <c r="I529" s="16">
        <v>183</v>
      </c>
      <c r="J529" s="16">
        <v>8</v>
      </c>
      <c r="K529" s="16">
        <v>0</v>
      </c>
      <c r="L529" s="16" t="s">
        <v>2601</v>
      </c>
    </row>
    <row r="530" spans="1:12" x14ac:dyDescent="0.4">
      <c r="A530" s="16" t="s">
        <v>303</v>
      </c>
      <c r="B530" s="16">
        <v>9</v>
      </c>
      <c r="C530" s="16" t="s">
        <v>691</v>
      </c>
      <c r="D530" s="16" t="s">
        <v>2602</v>
      </c>
      <c r="E530" s="16" t="s">
        <v>2603</v>
      </c>
      <c r="F530" s="16" t="s">
        <v>2604</v>
      </c>
      <c r="G530" s="17">
        <v>33492</v>
      </c>
      <c r="H530" s="16" t="s">
        <v>840</v>
      </c>
      <c r="I530" s="16">
        <v>182</v>
      </c>
      <c r="J530" s="16">
        <v>120</v>
      </c>
      <c r="K530" s="16">
        <v>34</v>
      </c>
      <c r="L530" s="16" t="s">
        <v>2605</v>
      </c>
    </row>
    <row r="531" spans="1:12" x14ac:dyDescent="0.4">
      <c r="A531" s="16" t="s">
        <v>303</v>
      </c>
      <c r="B531" s="16">
        <v>10</v>
      </c>
      <c r="C531" s="16" t="s">
        <v>691</v>
      </c>
      <c r="D531" s="16" t="s">
        <v>2606</v>
      </c>
      <c r="E531" s="16" t="s">
        <v>2607</v>
      </c>
      <c r="F531" s="16" t="s">
        <v>2608</v>
      </c>
      <c r="G531" s="17">
        <v>36158</v>
      </c>
      <c r="H531" s="16" t="s">
        <v>2609</v>
      </c>
      <c r="I531" s="16">
        <v>182</v>
      </c>
      <c r="J531" s="16">
        <v>8</v>
      </c>
      <c r="K531" s="16">
        <v>1</v>
      </c>
      <c r="L531" s="16" t="s">
        <v>2610</v>
      </c>
    </row>
    <row r="532" spans="1:12" x14ac:dyDescent="0.4">
      <c r="A532" s="16" t="s">
        <v>303</v>
      </c>
      <c r="B532" s="16">
        <v>11</v>
      </c>
      <c r="C532" s="16" t="s">
        <v>686</v>
      </c>
      <c r="D532" s="16" t="s">
        <v>2611</v>
      </c>
      <c r="E532" s="16" t="s">
        <v>2612</v>
      </c>
      <c r="F532" s="16" t="s">
        <v>2613</v>
      </c>
      <c r="G532" s="17">
        <v>36532</v>
      </c>
      <c r="H532" s="16" t="s">
        <v>727</v>
      </c>
      <c r="I532" s="16">
        <v>185</v>
      </c>
      <c r="J532" s="16">
        <v>34</v>
      </c>
      <c r="K532" s="16">
        <v>3</v>
      </c>
      <c r="L532" s="16" t="s">
        <v>2613</v>
      </c>
    </row>
    <row r="533" spans="1:12" x14ac:dyDescent="0.4">
      <c r="A533" s="16" t="s">
        <v>303</v>
      </c>
      <c r="B533" s="16">
        <v>12</v>
      </c>
      <c r="C533" s="16" t="s">
        <v>664</v>
      </c>
      <c r="D533" s="16" t="s">
        <v>2614</v>
      </c>
      <c r="E533" s="16" t="s">
        <v>2615</v>
      </c>
      <c r="F533" s="16" t="s">
        <v>2616</v>
      </c>
      <c r="G533" s="17">
        <v>36685</v>
      </c>
      <c r="H533" s="16" t="s">
        <v>2617</v>
      </c>
      <c r="I533" s="16">
        <v>190</v>
      </c>
      <c r="J533" s="16">
        <v>1</v>
      </c>
      <c r="K533" s="16">
        <v>0</v>
      </c>
      <c r="L533" s="16" t="s">
        <v>2616</v>
      </c>
    </row>
    <row r="534" spans="1:12" x14ac:dyDescent="0.4">
      <c r="A534" s="16" t="s">
        <v>303</v>
      </c>
      <c r="B534" s="16">
        <v>13</v>
      </c>
      <c r="C534" s="16" t="s">
        <v>691</v>
      </c>
      <c r="D534" s="16" t="s">
        <v>2618</v>
      </c>
      <c r="E534" s="16" t="s">
        <v>2619</v>
      </c>
      <c r="F534" s="16" t="s">
        <v>2620</v>
      </c>
      <c r="G534" s="17">
        <v>38335</v>
      </c>
      <c r="H534" s="16" t="s">
        <v>2621</v>
      </c>
      <c r="I534" s="16">
        <v>172</v>
      </c>
      <c r="J534" s="16">
        <v>9</v>
      </c>
      <c r="K534" s="16">
        <v>0</v>
      </c>
      <c r="L534" s="16" t="s">
        <v>2622</v>
      </c>
    </row>
    <row r="535" spans="1:12" x14ac:dyDescent="0.4">
      <c r="A535" s="16" t="s">
        <v>303</v>
      </c>
      <c r="B535" s="16">
        <v>14</v>
      </c>
      <c r="C535" s="16" t="s">
        <v>669</v>
      </c>
      <c r="D535" s="16" t="s">
        <v>2623</v>
      </c>
      <c r="E535" s="16" t="s">
        <v>2624</v>
      </c>
      <c r="F535" s="16" t="s">
        <v>2625</v>
      </c>
      <c r="G535" s="17">
        <v>35994</v>
      </c>
      <c r="H535" s="16" t="s">
        <v>2626</v>
      </c>
      <c r="I535" s="16">
        <v>178</v>
      </c>
      <c r="J535" s="16">
        <v>40</v>
      </c>
      <c r="K535" s="16">
        <v>0</v>
      </c>
      <c r="L535" s="16" t="s">
        <v>2625</v>
      </c>
    </row>
    <row r="536" spans="1:12" x14ac:dyDescent="0.4">
      <c r="A536" s="16" t="s">
        <v>303</v>
      </c>
      <c r="B536" s="16">
        <v>15</v>
      </c>
      <c r="C536" s="16" t="s">
        <v>686</v>
      </c>
      <c r="D536" s="16" t="s">
        <v>2627</v>
      </c>
      <c r="E536" s="16" t="s">
        <v>2628</v>
      </c>
      <c r="F536" s="16" t="s">
        <v>2629</v>
      </c>
      <c r="G536" s="17">
        <v>35741</v>
      </c>
      <c r="H536" s="16" t="s">
        <v>2626</v>
      </c>
      <c r="I536" s="16">
        <v>182</v>
      </c>
      <c r="J536" s="16">
        <v>20</v>
      </c>
      <c r="K536" s="16">
        <v>0</v>
      </c>
      <c r="L536" s="16" t="s">
        <v>2629</v>
      </c>
    </row>
    <row r="537" spans="1:12" x14ac:dyDescent="0.4">
      <c r="A537" s="16" t="s">
        <v>303</v>
      </c>
      <c r="B537" s="16">
        <v>16</v>
      </c>
      <c r="C537" s="16" t="s">
        <v>664</v>
      </c>
      <c r="D537" s="16" t="s">
        <v>2630</v>
      </c>
      <c r="E537" s="16" t="s">
        <v>1077</v>
      </c>
      <c r="F537" s="16" t="s">
        <v>2631</v>
      </c>
      <c r="G537" s="17">
        <v>33798</v>
      </c>
      <c r="H537" s="16" t="s">
        <v>2632</v>
      </c>
      <c r="I537" s="16">
        <v>188</v>
      </c>
      <c r="J537" s="16">
        <v>11</v>
      </c>
      <c r="K537" s="16">
        <v>0</v>
      </c>
      <c r="L537" s="16" t="s">
        <v>2633</v>
      </c>
    </row>
    <row r="538" spans="1:12" x14ac:dyDescent="0.4">
      <c r="A538" s="16" t="s">
        <v>303</v>
      </c>
      <c r="B538" s="16">
        <v>17</v>
      </c>
      <c r="C538" s="16" t="s">
        <v>669</v>
      </c>
      <c r="D538" s="16" t="s">
        <v>2634</v>
      </c>
      <c r="E538" s="16" t="s">
        <v>2635</v>
      </c>
      <c r="F538" s="16" t="s">
        <v>2636</v>
      </c>
      <c r="G538" s="17">
        <v>34517</v>
      </c>
      <c r="H538" s="16" t="s">
        <v>2637</v>
      </c>
      <c r="I538" s="16">
        <v>179</v>
      </c>
      <c r="J538" s="16">
        <v>51</v>
      </c>
      <c r="K538" s="16">
        <v>1</v>
      </c>
      <c r="L538" s="16" t="s">
        <v>2636</v>
      </c>
    </row>
    <row r="539" spans="1:12" x14ac:dyDescent="0.4">
      <c r="A539" s="16" t="s">
        <v>303</v>
      </c>
      <c r="B539" s="16">
        <v>18</v>
      </c>
      <c r="C539" s="16" t="s">
        <v>669</v>
      </c>
      <c r="D539" s="16" t="s">
        <v>2638</v>
      </c>
      <c r="E539" s="16" t="s">
        <v>2639</v>
      </c>
      <c r="F539" s="16" t="s">
        <v>2640</v>
      </c>
      <c r="G539" s="17">
        <v>36082</v>
      </c>
      <c r="H539" s="16" t="s">
        <v>1349</v>
      </c>
      <c r="I539" s="16">
        <v>197</v>
      </c>
      <c r="J539" s="16">
        <v>11</v>
      </c>
      <c r="K539" s="16">
        <v>1</v>
      </c>
      <c r="L539" s="16" t="s">
        <v>2640</v>
      </c>
    </row>
    <row r="540" spans="1:12" x14ac:dyDescent="0.4">
      <c r="A540" s="16" t="s">
        <v>303</v>
      </c>
      <c r="B540" s="16">
        <v>19</v>
      </c>
      <c r="C540" s="16" t="s">
        <v>691</v>
      </c>
      <c r="D540" s="16" t="s">
        <v>2641</v>
      </c>
      <c r="E540" s="16" t="s">
        <v>2642</v>
      </c>
      <c r="F540" s="16" t="s">
        <v>2643</v>
      </c>
      <c r="G540" s="17">
        <v>34500</v>
      </c>
      <c r="H540" s="16" t="s">
        <v>2644</v>
      </c>
      <c r="I540" s="16">
        <v>186</v>
      </c>
      <c r="J540" s="16">
        <v>26</v>
      </c>
      <c r="K540" s="16">
        <v>2</v>
      </c>
      <c r="L540" s="16" t="s">
        <v>2645</v>
      </c>
    </row>
    <row r="541" spans="1:12" x14ac:dyDescent="0.4">
      <c r="A541" s="16" t="s">
        <v>303</v>
      </c>
      <c r="B541" s="16">
        <v>20</v>
      </c>
      <c r="C541" s="16" t="s">
        <v>686</v>
      </c>
      <c r="D541" s="16" t="s">
        <v>2646</v>
      </c>
      <c r="E541" s="16" t="s">
        <v>2647</v>
      </c>
      <c r="F541" s="16" t="s">
        <v>2648</v>
      </c>
      <c r="G541" s="17">
        <v>36833</v>
      </c>
      <c r="H541" s="16" t="s">
        <v>2649</v>
      </c>
      <c r="I541" s="16">
        <v>178</v>
      </c>
      <c r="J541" s="16">
        <v>0</v>
      </c>
      <c r="K541" s="16">
        <v>0</v>
      </c>
      <c r="L541" s="16" t="s">
        <v>2648</v>
      </c>
    </row>
    <row r="542" spans="1:12" x14ac:dyDescent="0.4">
      <c r="A542" s="16" t="s">
        <v>303</v>
      </c>
      <c r="B542" s="16">
        <v>21</v>
      </c>
      <c r="C542" s="16" t="s">
        <v>669</v>
      </c>
      <c r="D542" s="16" t="s">
        <v>2650</v>
      </c>
      <c r="E542" s="16" t="s">
        <v>2651</v>
      </c>
      <c r="F542" s="16" t="s">
        <v>2652</v>
      </c>
      <c r="G542" s="17">
        <v>38142</v>
      </c>
      <c r="H542" s="16" t="s">
        <v>723</v>
      </c>
      <c r="I542" s="16">
        <v>185</v>
      </c>
      <c r="J542" s="16">
        <v>4</v>
      </c>
      <c r="K542" s="16">
        <v>0</v>
      </c>
      <c r="L542" s="16" t="s">
        <v>2652</v>
      </c>
    </row>
    <row r="543" spans="1:12" x14ac:dyDescent="0.4">
      <c r="A543" s="16" t="s">
        <v>303</v>
      </c>
      <c r="B543" s="16">
        <v>22</v>
      </c>
      <c r="C543" s="16" t="s">
        <v>691</v>
      </c>
      <c r="D543" s="16" t="s">
        <v>2653</v>
      </c>
      <c r="E543" s="16" t="s">
        <v>2654</v>
      </c>
      <c r="F543" s="16" t="s">
        <v>2655</v>
      </c>
      <c r="G543" s="17">
        <v>37302</v>
      </c>
      <c r="H543" s="16" t="s">
        <v>1027</v>
      </c>
      <c r="I543" s="16">
        <v>174</v>
      </c>
      <c r="J543" s="16">
        <v>28</v>
      </c>
      <c r="K543" s="16">
        <v>1</v>
      </c>
      <c r="L543" s="16" t="s">
        <v>2656</v>
      </c>
    </row>
    <row r="544" spans="1:12" x14ac:dyDescent="0.4">
      <c r="A544" s="16" t="s">
        <v>303</v>
      </c>
      <c r="B544" s="16">
        <v>23</v>
      </c>
      <c r="C544" s="16" t="s">
        <v>669</v>
      </c>
      <c r="D544" s="16" t="s">
        <v>2657</v>
      </c>
      <c r="E544" s="16" t="s">
        <v>2658</v>
      </c>
      <c r="F544" s="16" t="s">
        <v>2659</v>
      </c>
      <c r="G544" s="17">
        <v>34883</v>
      </c>
      <c r="H544" s="16" t="s">
        <v>1108</v>
      </c>
      <c r="I544" s="16">
        <v>188</v>
      </c>
      <c r="J544" s="16">
        <v>1</v>
      </c>
      <c r="K544" s="16">
        <v>0</v>
      </c>
      <c r="L544" s="16" t="s">
        <v>2659</v>
      </c>
    </row>
    <row r="545" spans="1:12" x14ac:dyDescent="0.4">
      <c r="A545" s="16" t="s">
        <v>303</v>
      </c>
      <c r="B545" s="16">
        <v>24</v>
      </c>
      <c r="C545" s="16" t="s">
        <v>691</v>
      </c>
      <c r="D545" s="16" t="s">
        <v>2660</v>
      </c>
      <c r="E545" s="16" t="s">
        <v>2661</v>
      </c>
      <c r="F545" s="16" t="s">
        <v>2662</v>
      </c>
      <c r="G545" s="17">
        <v>37926</v>
      </c>
      <c r="H545" s="16" t="s">
        <v>1225</v>
      </c>
      <c r="I545" s="16">
        <v>178</v>
      </c>
      <c r="J545" s="16">
        <v>18</v>
      </c>
      <c r="K545" s="16">
        <v>4</v>
      </c>
      <c r="L545" s="16" t="s">
        <v>2663</v>
      </c>
    </row>
    <row r="546" spans="1:12" x14ac:dyDescent="0.4">
      <c r="A546" s="16" t="s">
        <v>303</v>
      </c>
      <c r="B546" s="16">
        <v>25</v>
      </c>
      <c r="C546" s="16" t="s">
        <v>691</v>
      </c>
      <c r="D546" s="16" t="s">
        <v>2664</v>
      </c>
      <c r="E546" s="16" t="s">
        <v>2665</v>
      </c>
      <c r="F546" s="16" t="s">
        <v>2666</v>
      </c>
      <c r="G546" s="17">
        <v>37887</v>
      </c>
      <c r="H546" s="16" t="s">
        <v>912</v>
      </c>
      <c r="I546" s="16">
        <v>179</v>
      </c>
      <c r="J546" s="16">
        <v>5</v>
      </c>
      <c r="K546" s="16">
        <v>0</v>
      </c>
      <c r="L546" s="16" t="s">
        <v>2667</v>
      </c>
    </row>
    <row r="547" spans="1:12" x14ac:dyDescent="0.4">
      <c r="A547" s="16" t="s">
        <v>303</v>
      </c>
      <c r="B547" s="16">
        <v>26</v>
      </c>
      <c r="C547" s="16" t="s">
        <v>669</v>
      </c>
      <c r="D547" s="16" t="s">
        <v>2668</v>
      </c>
      <c r="E547" s="16" t="s">
        <v>2669</v>
      </c>
      <c r="F547" s="16" t="s">
        <v>2670</v>
      </c>
      <c r="G547" s="17">
        <v>36919</v>
      </c>
      <c r="H547" s="16" t="s">
        <v>2626</v>
      </c>
      <c r="I547" s="16">
        <v>181</v>
      </c>
      <c r="J547" s="16">
        <v>2</v>
      </c>
      <c r="K547" s="16">
        <v>0</v>
      </c>
      <c r="L547" s="16" t="s">
        <v>2671</v>
      </c>
    </row>
    <row r="548" spans="1:12" x14ac:dyDescent="0.4">
      <c r="A548" s="16" t="s">
        <v>285</v>
      </c>
      <c r="B548" s="16">
        <v>1</v>
      </c>
      <c r="C548" s="16" t="s">
        <v>664</v>
      </c>
      <c r="D548" s="16" t="s">
        <v>2672</v>
      </c>
      <c r="E548" s="16" t="s">
        <v>2673</v>
      </c>
      <c r="F548" s="16" t="s">
        <v>2674</v>
      </c>
      <c r="G548" s="17">
        <v>32171</v>
      </c>
      <c r="H548" s="16" t="s">
        <v>2675</v>
      </c>
      <c r="I548" s="16">
        <v>181</v>
      </c>
      <c r="J548" s="16">
        <v>82</v>
      </c>
      <c r="K548" s="16">
        <v>0</v>
      </c>
      <c r="L548" s="16" t="s">
        <v>2674</v>
      </c>
    </row>
    <row r="549" spans="1:12" x14ac:dyDescent="0.4">
      <c r="A549" s="16" t="s">
        <v>285</v>
      </c>
      <c r="B549" s="16">
        <v>2</v>
      </c>
      <c r="C549" s="16" t="s">
        <v>669</v>
      </c>
      <c r="D549" s="16" t="s">
        <v>2676</v>
      </c>
      <c r="E549" s="16" t="s">
        <v>2677</v>
      </c>
      <c r="F549" s="16" t="s">
        <v>2678</v>
      </c>
      <c r="G549" s="17">
        <v>35244</v>
      </c>
      <c r="H549" s="16" t="s">
        <v>2679</v>
      </c>
      <c r="I549" s="16">
        <v>180</v>
      </c>
      <c r="J549" s="16">
        <v>56</v>
      </c>
      <c r="K549" s="16">
        <v>1</v>
      </c>
      <c r="L549" s="16" t="s">
        <v>2678</v>
      </c>
    </row>
    <row r="550" spans="1:12" x14ac:dyDescent="0.4">
      <c r="A550" s="16" t="s">
        <v>285</v>
      </c>
      <c r="B550" s="16">
        <v>3</v>
      </c>
      <c r="C550" s="16" t="s">
        <v>669</v>
      </c>
      <c r="D550" s="16" t="s">
        <v>2680</v>
      </c>
      <c r="E550" s="16" t="s">
        <v>2681</v>
      </c>
      <c r="F550" s="16" t="s">
        <v>2682</v>
      </c>
      <c r="G550" s="17">
        <v>38805</v>
      </c>
      <c r="H550" s="16" t="s">
        <v>719</v>
      </c>
      <c r="I550" s="16">
        <v>179</v>
      </c>
      <c r="J550" s="16">
        <v>1</v>
      </c>
      <c r="K550" s="16">
        <v>0</v>
      </c>
      <c r="L550" s="16" t="s">
        <v>2682</v>
      </c>
    </row>
    <row r="551" spans="1:12" x14ac:dyDescent="0.4">
      <c r="A551" s="16" t="s">
        <v>285</v>
      </c>
      <c r="B551" s="16">
        <v>4</v>
      </c>
      <c r="C551" s="16" t="s">
        <v>669</v>
      </c>
      <c r="D551" s="16" t="s">
        <v>2683</v>
      </c>
      <c r="E551" s="16" t="s">
        <v>2684</v>
      </c>
      <c r="F551" s="16" t="s">
        <v>2685</v>
      </c>
      <c r="G551" s="17">
        <v>33014</v>
      </c>
      <c r="H551" s="16" t="s">
        <v>2214</v>
      </c>
      <c r="I551" s="16">
        <v>190</v>
      </c>
      <c r="J551" s="16">
        <v>59</v>
      </c>
      <c r="K551" s="16">
        <v>2</v>
      </c>
      <c r="L551" s="16" t="s">
        <v>2685</v>
      </c>
    </row>
    <row r="552" spans="1:12" x14ac:dyDescent="0.4">
      <c r="A552" s="16" t="s">
        <v>285</v>
      </c>
      <c r="B552" s="16">
        <v>5</v>
      </c>
      <c r="C552" s="16" t="s">
        <v>669</v>
      </c>
      <c r="D552" s="16" t="s">
        <v>2686</v>
      </c>
      <c r="E552" s="16" t="s">
        <v>2687</v>
      </c>
      <c r="F552" s="16" t="s">
        <v>2688</v>
      </c>
      <c r="G552" s="17">
        <v>36219</v>
      </c>
      <c r="H552" s="16" t="s">
        <v>2689</v>
      </c>
      <c r="I552" s="16">
        <v>183</v>
      </c>
      <c r="J552" s="16">
        <v>7</v>
      </c>
      <c r="K552" s="16">
        <v>0</v>
      </c>
      <c r="L552" s="16" t="s">
        <v>2688</v>
      </c>
    </row>
    <row r="553" spans="1:12" x14ac:dyDescent="0.4">
      <c r="A553" s="16" t="s">
        <v>285</v>
      </c>
      <c r="B553" s="16">
        <v>6</v>
      </c>
      <c r="C553" s="16" t="s">
        <v>686</v>
      </c>
      <c r="D553" s="16" t="s">
        <v>2690</v>
      </c>
      <c r="E553" s="16" t="s">
        <v>2691</v>
      </c>
      <c r="F553" s="16" t="s">
        <v>2692</v>
      </c>
      <c r="G553" s="17">
        <v>37477</v>
      </c>
      <c r="H553" s="16" t="s">
        <v>2693</v>
      </c>
      <c r="I553" s="16">
        <v>182</v>
      </c>
      <c r="J553" s="16">
        <v>26</v>
      </c>
      <c r="K553" s="16">
        <v>0</v>
      </c>
      <c r="L553" s="16" t="s">
        <v>2692</v>
      </c>
    </row>
    <row r="554" spans="1:12" x14ac:dyDescent="0.4">
      <c r="A554" s="16" t="s">
        <v>285</v>
      </c>
      <c r="B554" s="16">
        <v>7</v>
      </c>
      <c r="C554" s="16" t="s">
        <v>691</v>
      </c>
      <c r="D554" s="16" t="s">
        <v>2694</v>
      </c>
      <c r="E554" s="16" t="s">
        <v>2695</v>
      </c>
      <c r="F554" s="16" t="s">
        <v>2696</v>
      </c>
      <c r="G554" s="17">
        <v>35394</v>
      </c>
      <c r="H554" s="16" t="s">
        <v>1452</v>
      </c>
      <c r="I554" s="16">
        <v>178</v>
      </c>
      <c r="J554" s="16">
        <v>51</v>
      </c>
      <c r="K554" s="16">
        <v>8</v>
      </c>
      <c r="L554" s="16" t="s">
        <v>2696</v>
      </c>
    </row>
    <row r="555" spans="1:12" x14ac:dyDescent="0.4">
      <c r="A555" s="16" t="s">
        <v>285</v>
      </c>
      <c r="B555" s="16">
        <v>8</v>
      </c>
      <c r="C555" s="16" t="s">
        <v>669</v>
      </c>
      <c r="D555" s="16" t="s">
        <v>2697</v>
      </c>
      <c r="E555" s="16" t="s">
        <v>2698</v>
      </c>
      <c r="F555" s="16" t="s">
        <v>2699</v>
      </c>
      <c r="G555" s="17">
        <v>36228</v>
      </c>
      <c r="H555" s="16" t="s">
        <v>2700</v>
      </c>
      <c r="I555" s="16">
        <v>178</v>
      </c>
      <c r="J555" s="16">
        <v>21</v>
      </c>
      <c r="K555" s="16">
        <v>0</v>
      </c>
      <c r="L555" s="16" t="s">
        <v>2699</v>
      </c>
    </row>
    <row r="556" spans="1:12" x14ac:dyDescent="0.4">
      <c r="A556" s="16" t="s">
        <v>285</v>
      </c>
      <c r="B556" s="16">
        <v>9</v>
      </c>
      <c r="C556" s="16" t="s">
        <v>691</v>
      </c>
      <c r="D556" s="16" t="s">
        <v>2701</v>
      </c>
      <c r="E556" s="16" t="s">
        <v>2702</v>
      </c>
      <c r="F556" s="16" t="s">
        <v>2703</v>
      </c>
      <c r="G556" s="17">
        <v>34431</v>
      </c>
      <c r="H556" s="16" t="s">
        <v>2704</v>
      </c>
      <c r="I556" s="16">
        <v>181</v>
      </c>
      <c r="J556" s="16">
        <v>82</v>
      </c>
      <c r="K556" s="16">
        <v>44</v>
      </c>
      <c r="L556" s="16" t="s">
        <v>2703</v>
      </c>
    </row>
    <row r="557" spans="1:12" x14ac:dyDescent="0.4">
      <c r="A557" s="16" t="s">
        <v>285</v>
      </c>
      <c r="B557" s="16">
        <v>10</v>
      </c>
      <c r="C557" s="16" t="s">
        <v>686</v>
      </c>
      <c r="D557" s="16" t="s">
        <v>2705</v>
      </c>
      <c r="E557" s="16" t="s">
        <v>2706</v>
      </c>
      <c r="F557" s="16" t="s">
        <v>2707</v>
      </c>
      <c r="G557" s="17">
        <v>35973</v>
      </c>
      <c r="H557" s="16" t="s">
        <v>2068</v>
      </c>
      <c r="I557" s="16">
        <v>170</v>
      </c>
      <c r="J557" s="16">
        <v>10</v>
      </c>
      <c r="K557" s="16">
        <v>0</v>
      </c>
      <c r="L557" s="16" t="s">
        <v>2707</v>
      </c>
    </row>
    <row r="558" spans="1:12" x14ac:dyDescent="0.4">
      <c r="A558" s="16" t="s">
        <v>285</v>
      </c>
      <c r="B558" s="16">
        <v>11</v>
      </c>
      <c r="C558" s="16" t="s">
        <v>691</v>
      </c>
      <c r="D558" s="16" t="s">
        <v>2708</v>
      </c>
      <c r="E558" s="16" t="s">
        <v>2709</v>
      </c>
      <c r="F558" s="16" t="s">
        <v>2710</v>
      </c>
      <c r="G558" s="17">
        <v>36933</v>
      </c>
      <c r="H558" s="16" t="s">
        <v>1949</v>
      </c>
      <c r="I558" s="16">
        <v>178</v>
      </c>
      <c r="J558" s="16">
        <v>32</v>
      </c>
      <c r="K558" s="16">
        <v>10</v>
      </c>
      <c r="L558" s="16" t="s">
        <v>2710</v>
      </c>
    </row>
    <row r="559" spans="1:12" x14ac:dyDescent="0.4">
      <c r="A559" s="16" t="s">
        <v>285</v>
      </c>
      <c r="B559" s="16">
        <v>12</v>
      </c>
      <c r="C559" s="16" t="s">
        <v>664</v>
      </c>
      <c r="D559" s="16" t="s">
        <v>2711</v>
      </c>
      <c r="E559" s="16" t="s">
        <v>2712</v>
      </c>
      <c r="F559" s="16" t="s">
        <v>2713</v>
      </c>
      <c r="G559" s="17">
        <v>36947</v>
      </c>
      <c r="H559" s="16" t="s">
        <v>2714</v>
      </c>
      <c r="I559" s="16">
        <v>190</v>
      </c>
      <c r="J559" s="16">
        <v>16</v>
      </c>
      <c r="K559" s="16">
        <v>0</v>
      </c>
      <c r="L559" s="16" t="s">
        <v>2715</v>
      </c>
    </row>
    <row r="560" spans="1:12" x14ac:dyDescent="0.4">
      <c r="A560" s="16" t="s">
        <v>285</v>
      </c>
      <c r="B560" s="16">
        <v>13</v>
      </c>
      <c r="C560" s="16" t="s">
        <v>669</v>
      </c>
      <c r="D560" s="16" t="s">
        <v>2716</v>
      </c>
      <c r="E560" s="16" t="s">
        <v>2717</v>
      </c>
      <c r="F560" s="16" t="s">
        <v>2496</v>
      </c>
      <c r="G560" s="17">
        <v>34256</v>
      </c>
      <c r="H560" s="16" t="s">
        <v>2718</v>
      </c>
      <c r="I560" s="16">
        <v>175</v>
      </c>
      <c r="J560" s="16">
        <v>16</v>
      </c>
      <c r="K560" s="16">
        <v>3</v>
      </c>
      <c r="L560" s="16" t="s">
        <v>2496</v>
      </c>
    </row>
    <row r="561" spans="1:12" x14ac:dyDescent="0.4">
      <c r="A561" s="16" t="s">
        <v>285</v>
      </c>
      <c r="B561" s="16">
        <v>14</v>
      </c>
      <c r="C561" s="16" t="s">
        <v>669</v>
      </c>
      <c r="D561" s="16" t="s">
        <v>2719</v>
      </c>
      <c r="E561" s="16" t="s">
        <v>2720</v>
      </c>
      <c r="F561" s="16" t="s">
        <v>2721</v>
      </c>
      <c r="G561" s="17">
        <v>36525</v>
      </c>
      <c r="H561" s="16" t="s">
        <v>2718</v>
      </c>
      <c r="I561" s="16">
        <v>186</v>
      </c>
      <c r="J561" s="16">
        <v>16</v>
      </c>
      <c r="K561" s="16">
        <v>0</v>
      </c>
      <c r="L561" s="16" t="s">
        <v>2721</v>
      </c>
    </row>
    <row r="562" spans="1:12" x14ac:dyDescent="0.4">
      <c r="A562" s="16" t="s">
        <v>285</v>
      </c>
      <c r="B562" s="16">
        <v>15</v>
      </c>
      <c r="C562" s="16" t="s">
        <v>691</v>
      </c>
      <c r="D562" s="16" t="s">
        <v>2722</v>
      </c>
      <c r="E562" s="16" t="s">
        <v>2723</v>
      </c>
      <c r="F562" s="16" t="s">
        <v>2724</v>
      </c>
      <c r="G562" s="17">
        <v>37079</v>
      </c>
      <c r="H562" s="16" t="s">
        <v>2725</v>
      </c>
      <c r="I562" s="16">
        <v>178</v>
      </c>
      <c r="J562" s="16">
        <v>15</v>
      </c>
      <c r="K562" s="16">
        <v>3</v>
      </c>
      <c r="L562" s="16" t="s">
        <v>2724</v>
      </c>
    </row>
    <row r="563" spans="1:12" x14ac:dyDescent="0.4">
      <c r="A563" s="16" t="s">
        <v>285</v>
      </c>
      <c r="B563" s="16">
        <v>16</v>
      </c>
      <c r="C563" s="16" t="s">
        <v>691</v>
      </c>
      <c r="D563" s="16" t="s">
        <v>2726</v>
      </c>
      <c r="E563" s="16" t="s">
        <v>2727</v>
      </c>
      <c r="F563" s="16" t="s">
        <v>2728</v>
      </c>
      <c r="G563" s="17">
        <v>36811</v>
      </c>
      <c r="H563" s="16" t="s">
        <v>2729</v>
      </c>
      <c r="I563" s="16">
        <v>182</v>
      </c>
      <c r="J563" s="16">
        <v>2</v>
      </c>
      <c r="K563" s="16">
        <v>1</v>
      </c>
      <c r="L563" s="16" t="s">
        <v>2728</v>
      </c>
    </row>
    <row r="564" spans="1:12" x14ac:dyDescent="0.4">
      <c r="A564" s="16" t="s">
        <v>285</v>
      </c>
      <c r="B564" s="16">
        <v>17</v>
      </c>
      <c r="C564" s="16" t="s">
        <v>686</v>
      </c>
      <c r="D564" s="16" t="s">
        <v>2730</v>
      </c>
      <c r="E564" s="16" t="s">
        <v>2731</v>
      </c>
      <c r="F564" s="16" t="s">
        <v>2732</v>
      </c>
      <c r="G564" s="17">
        <v>36666</v>
      </c>
      <c r="H564" s="16" t="s">
        <v>2733</v>
      </c>
      <c r="I564" s="16">
        <v>182</v>
      </c>
      <c r="J564" s="16">
        <v>31</v>
      </c>
      <c r="K564" s="16">
        <v>6</v>
      </c>
      <c r="L564" s="16" t="s">
        <v>2734</v>
      </c>
    </row>
    <row r="565" spans="1:12" x14ac:dyDescent="0.4">
      <c r="A565" s="16" t="s">
        <v>285</v>
      </c>
      <c r="B565" s="16">
        <v>18</v>
      </c>
      <c r="C565" s="16" t="s">
        <v>691</v>
      </c>
      <c r="D565" s="16" t="s">
        <v>2735</v>
      </c>
      <c r="E565" s="16" t="s">
        <v>2736</v>
      </c>
      <c r="F565" s="16" t="s">
        <v>2737</v>
      </c>
      <c r="G565" s="17">
        <v>36765</v>
      </c>
      <c r="H565" s="16" t="s">
        <v>1735</v>
      </c>
      <c r="I565" s="16">
        <v>184</v>
      </c>
      <c r="J565" s="16">
        <v>4</v>
      </c>
      <c r="K565" s="16">
        <v>2</v>
      </c>
      <c r="L565" s="16" t="s">
        <v>2737</v>
      </c>
    </row>
    <row r="566" spans="1:12" x14ac:dyDescent="0.4">
      <c r="A566" s="16" t="s">
        <v>285</v>
      </c>
      <c r="B566" s="16">
        <v>19</v>
      </c>
      <c r="C566" s="16" t="s">
        <v>691</v>
      </c>
      <c r="D566" s="16" t="s">
        <v>2738</v>
      </c>
      <c r="E566" s="16" t="s">
        <v>2739</v>
      </c>
      <c r="F566" s="16" t="s">
        <v>2740</v>
      </c>
      <c r="G566" s="17">
        <v>36190</v>
      </c>
      <c r="H566" s="16" t="s">
        <v>2741</v>
      </c>
      <c r="I566" s="16">
        <v>186</v>
      </c>
      <c r="J566" s="16">
        <v>4</v>
      </c>
      <c r="K566" s="16">
        <v>0</v>
      </c>
      <c r="L566" s="16" t="s">
        <v>2740</v>
      </c>
    </row>
    <row r="567" spans="1:12" x14ac:dyDescent="0.4">
      <c r="A567" s="16" t="s">
        <v>285</v>
      </c>
      <c r="B567" s="16">
        <v>20</v>
      </c>
      <c r="C567" s="16" t="s">
        <v>691</v>
      </c>
      <c r="D567" s="16" t="s">
        <v>2742</v>
      </c>
      <c r="E567" s="16" t="s">
        <v>2743</v>
      </c>
      <c r="F567" s="16" t="s">
        <v>2744</v>
      </c>
      <c r="G567" s="17">
        <v>34787</v>
      </c>
      <c r="H567" s="16" t="s">
        <v>1787</v>
      </c>
      <c r="I567" s="16">
        <v>194</v>
      </c>
      <c r="J567" s="16">
        <v>51</v>
      </c>
      <c r="K567" s="16">
        <v>34</v>
      </c>
      <c r="L567" s="16" t="s">
        <v>2744</v>
      </c>
    </row>
    <row r="568" spans="1:12" x14ac:dyDescent="0.4">
      <c r="A568" s="16" t="s">
        <v>285</v>
      </c>
      <c r="B568" s="16">
        <v>21</v>
      </c>
      <c r="C568" s="16" t="s">
        <v>691</v>
      </c>
      <c r="D568" s="16" t="s">
        <v>2745</v>
      </c>
      <c r="E568" s="16" t="s">
        <v>2746</v>
      </c>
      <c r="F568" s="16" t="s">
        <v>2747</v>
      </c>
      <c r="G568" s="17">
        <v>37158</v>
      </c>
      <c r="H568" s="16" t="s">
        <v>2626</v>
      </c>
      <c r="I568" s="16">
        <v>178</v>
      </c>
      <c r="J568" s="16">
        <v>7</v>
      </c>
      <c r="K568" s="16">
        <v>0</v>
      </c>
      <c r="L568" s="16" t="s">
        <v>2747</v>
      </c>
    </row>
    <row r="569" spans="1:12" x14ac:dyDescent="0.4">
      <c r="A569" s="16" t="s">
        <v>285</v>
      </c>
      <c r="B569" s="16">
        <v>22</v>
      </c>
      <c r="C569" s="16" t="s">
        <v>669</v>
      </c>
      <c r="D569" s="16" t="s">
        <v>2748</v>
      </c>
      <c r="E569" s="16" t="s">
        <v>2749</v>
      </c>
      <c r="F569" s="16" t="s">
        <v>2750</v>
      </c>
      <c r="G569" s="17">
        <v>35623</v>
      </c>
      <c r="H569" s="16" t="s">
        <v>2751</v>
      </c>
      <c r="I569" s="16">
        <v>184</v>
      </c>
      <c r="J569" s="16">
        <v>17</v>
      </c>
      <c r="K569" s="16">
        <v>1</v>
      </c>
      <c r="L569" s="16" t="s">
        <v>2750</v>
      </c>
    </row>
    <row r="570" spans="1:12" x14ac:dyDescent="0.4">
      <c r="A570" s="16" t="s">
        <v>285</v>
      </c>
      <c r="B570" s="16">
        <v>23</v>
      </c>
      <c r="C570" s="16" t="s">
        <v>664</v>
      </c>
      <c r="D570" s="16" t="s">
        <v>2752</v>
      </c>
      <c r="E570" s="16" t="s">
        <v>2753</v>
      </c>
      <c r="F570" s="16" t="s">
        <v>2754</v>
      </c>
      <c r="G570" s="17">
        <v>36643</v>
      </c>
      <c r="H570" s="16" t="s">
        <v>2755</v>
      </c>
      <c r="I570" s="16">
        <v>187</v>
      </c>
      <c r="J570" s="16">
        <v>7</v>
      </c>
      <c r="K570" s="16">
        <v>0</v>
      </c>
      <c r="L570" s="16" t="s">
        <v>2754</v>
      </c>
    </row>
    <row r="571" spans="1:12" x14ac:dyDescent="0.4">
      <c r="A571" s="16" t="s">
        <v>285</v>
      </c>
      <c r="B571" s="16">
        <v>24</v>
      </c>
      <c r="C571" s="16" t="s">
        <v>669</v>
      </c>
      <c r="D571" s="16" t="s">
        <v>2756</v>
      </c>
      <c r="E571" s="16" t="s">
        <v>2757</v>
      </c>
      <c r="F571" s="16" t="s">
        <v>2758</v>
      </c>
      <c r="G571" s="17">
        <v>37127</v>
      </c>
      <c r="H571" s="16" t="s">
        <v>2759</v>
      </c>
      <c r="I571" s="16">
        <v>180</v>
      </c>
      <c r="J571" s="16">
        <v>8</v>
      </c>
      <c r="K571" s="16">
        <v>0</v>
      </c>
      <c r="L571" s="16" t="s">
        <v>2758</v>
      </c>
    </row>
    <row r="572" spans="1:12" x14ac:dyDescent="0.4">
      <c r="A572" s="16" t="s">
        <v>285</v>
      </c>
      <c r="B572" s="16">
        <v>25</v>
      </c>
      <c r="C572" s="16" t="s">
        <v>686</v>
      </c>
      <c r="D572" s="16" t="s">
        <v>2760</v>
      </c>
      <c r="E572" s="16" t="s">
        <v>2761</v>
      </c>
      <c r="F572" s="16" t="s">
        <v>2762</v>
      </c>
      <c r="G572" s="17">
        <v>36736</v>
      </c>
      <c r="H572" s="16" t="s">
        <v>2763</v>
      </c>
      <c r="I572" s="16">
        <v>178</v>
      </c>
      <c r="J572" s="16">
        <v>2</v>
      </c>
      <c r="K572" s="16">
        <v>0</v>
      </c>
      <c r="L572" s="16" t="s">
        <v>2762</v>
      </c>
    </row>
    <row r="573" spans="1:12" x14ac:dyDescent="0.4">
      <c r="A573" s="16" t="s">
        <v>285</v>
      </c>
      <c r="B573" s="16">
        <v>26</v>
      </c>
      <c r="C573" s="16" t="s">
        <v>686</v>
      </c>
      <c r="D573" s="16" t="s">
        <v>2764</v>
      </c>
      <c r="E573" s="16" t="s">
        <v>2765</v>
      </c>
      <c r="F573" s="16" t="s">
        <v>2766</v>
      </c>
      <c r="G573" s="17">
        <v>38351</v>
      </c>
      <c r="H573" s="16" t="s">
        <v>2767</v>
      </c>
      <c r="I573" s="16">
        <v>177</v>
      </c>
      <c r="J573" s="16">
        <v>1</v>
      </c>
      <c r="K573" s="16">
        <v>0</v>
      </c>
      <c r="L573" s="16" t="s">
        <v>2715</v>
      </c>
    </row>
    <row r="574" spans="1:12" x14ac:dyDescent="0.4">
      <c r="A574" s="16" t="s">
        <v>294</v>
      </c>
      <c r="B574" s="16">
        <v>1</v>
      </c>
      <c r="C574" s="16" t="s">
        <v>664</v>
      </c>
      <c r="D574" s="16" t="s">
        <v>2768</v>
      </c>
      <c r="E574" s="16" t="s">
        <v>2769</v>
      </c>
      <c r="F574" s="16" t="s">
        <v>2770</v>
      </c>
      <c r="G574" s="17">
        <v>33868</v>
      </c>
      <c r="H574" s="16" t="s">
        <v>2771</v>
      </c>
      <c r="I574" s="16">
        <v>195</v>
      </c>
      <c r="J574" s="16">
        <v>86</v>
      </c>
      <c r="K574" s="16">
        <v>0</v>
      </c>
      <c r="L574" s="16" t="s">
        <v>2772</v>
      </c>
    </row>
    <row r="575" spans="1:12" x14ac:dyDescent="0.4">
      <c r="A575" s="16" t="s">
        <v>294</v>
      </c>
      <c r="B575" s="16">
        <v>2</v>
      </c>
      <c r="C575" s="16" t="s">
        <v>669</v>
      </c>
      <c r="D575" s="16" t="s">
        <v>2773</v>
      </c>
      <c r="E575" s="16" t="s">
        <v>2774</v>
      </c>
      <c r="F575" s="16" t="s">
        <v>2775</v>
      </c>
      <c r="G575" s="17">
        <v>36155</v>
      </c>
      <c r="H575" s="16" t="s">
        <v>2704</v>
      </c>
      <c r="I575" s="16">
        <v>176</v>
      </c>
      <c r="J575" s="16">
        <v>18</v>
      </c>
      <c r="K575" s="16">
        <v>1</v>
      </c>
      <c r="L575" s="16" t="s">
        <v>2776</v>
      </c>
    </row>
    <row r="576" spans="1:12" x14ac:dyDescent="0.4">
      <c r="A576" s="16" t="s">
        <v>294</v>
      </c>
      <c r="B576" s="16">
        <v>3</v>
      </c>
      <c r="C576" s="16" t="s">
        <v>669</v>
      </c>
      <c r="D576" s="16" t="s">
        <v>2777</v>
      </c>
      <c r="E576" s="16" t="s">
        <v>2778</v>
      </c>
      <c r="F576" s="16" t="s">
        <v>2779</v>
      </c>
      <c r="G576" s="17">
        <v>32929</v>
      </c>
      <c r="H576" s="16" t="s">
        <v>2780</v>
      </c>
      <c r="I576" s="16">
        <v>178</v>
      </c>
      <c r="J576" s="16">
        <v>146</v>
      </c>
      <c r="K576" s="16">
        <v>7</v>
      </c>
      <c r="L576" s="16" t="s">
        <v>2781</v>
      </c>
    </row>
    <row r="577" spans="1:12" x14ac:dyDescent="0.4">
      <c r="A577" s="16" t="s">
        <v>294</v>
      </c>
      <c r="B577" s="16">
        <v>4</v>
      </c>
      <c r="C577" s="16" t="s">
        <v>669</v>
      </c>
      <c r="D577" s="16" t="s">
        <v>2782</v>
      </c>
      <c r="E577" s="16" t="s">
        <v>2783</v>
      </c>
      <c r="F577" s="16" t="s">
        <v>2784</v>
      </c>
      <c r="G577" s="17">
        <v>32642</v>
      </c>
      <c r="H577" s="16" t="s">
        <v>2771</v>
      </c>
      <c r="I577" s="16">
        <v>183</v>
      </c>
      <c r="J577" s="16">
        <v>58</v>
      </c>
      <c r="K577" s="16">
        <v>2</v>
      </c>
      <c r="L577" s="16" t="s">
        <v>2785</v>
      </c>
    </row>
    <row r="578" spans="1:12" x14ac:dyDescent="0.4">
      <c r="A578" s="16" t="s">
        <v>294</v>
      </c>
      <c r="B578" s="16">
        <v>5</v>
      </c>
      <c r="C578" s="16" t="s">
        <v>669</v>
      </c>
      <c r="D578" s="16" t="s">
        <v>2786</v>
      </c>
      <c r="E578" s="16" t="s">
        <v>2787</v>
      </c>
      <c r="F578" s="16" t="s">
        <v>2788</v>
      </c>
      <c r="G578" s="17">
        <v>34241</v>
      </c>
      <c r="H578" s="16" t="s">
        <v>2789</v>
      </c>
      <c r="I578" s="16">
        <v>175</v>
      </c>
      <c r="J578" s="16">
        <v>76</v>
      </c>
      <c r="K578" s="16">
        <v>1</v>
      </c>
      <c r="L578" s="16" t="s">
        <v>2790</v>
      </c>
    </row>
    <row r="579" spans="1:12" x14ac:dyDescent="0.4">
      <c r="A579" s="16" t="s">
        <v>294</v>
      </c>
      <c r="B579" s="16">
        <v>6</v>
      </c>
      <c r="C579" s="16" t="s">
        <v>686</v>
      </c>
      <c r="D579" s="16" t="s">
        <v>2791</v>
      </c>
      <c r="E579" s="16" t="s">
        <v>2792</v>
      </c>
      <c r="F579" s="16" t="s">
        <v>2793</v>
      </c>
      <c r="G579" s="17">
        <v>35339</v>
      </c>
      <c r="H579" s="16" t="s">
        <v>2794</v>
      </c>
      <c r="I579" s="16">
        <v>189</v>
      </c>
      <c r="J579" s="16">
        <v>83</v>
      </c>
      <c r="K579" s="16">
        <v>2</v>
      </c>
      <c r="L579" s="16" t="s">
        <v>2795</v>
      </c>
    </row>
    <row r="580" spans="1:12" x14ac:dyDescent="0.4">
      <c r="A580" s="16" t="s">
        <v>294</v>
      </c>
      <c r="B580" s="16">
        <v>7</v>
      </c>
      <c r="C580" s="16" t="s">
        <v>686</v>
      </c>
      <c r="D580" s="16" t="s">
        <v>2796</v>
      </c>
      <c r="E580" s="16" t="s">
        <v>2797</v>
      </c>
      <c r="F580" s="16" t="s">
        <v>2798</v>
      </c>
      <c r="G580" s="17">
        <v>34192</v>
      </c>
      <c r="H580" s="16" t="s">
        <v>1390</v>
      </c>
      <c r="I580" s="16">
        <v>180</v>
      </c>
      <c r="J580" s="16">
        <v>99</v>
      </c>
      <c r="K580" s="16">
        <v>17</v>
      </c>
      <c r="L580" s="16" t="s">
        <v>2799</v>
      </c>
    </row>
    <row r="581" spans="1:12" x14ac:dyDescent="0.4">
      <c r="A581" s="16" t="s">
        <v>294</v>
      </c>
      <c r="B581" s="16">
        <v>8</v>
      </c>
      <c r="C581" s="16" t="s">
        <v>686</v>
      </c>
      <c r="D581" s="16" t="s">
        <v>2800</v>
      </c>
      <c r="E581" s="16" t="s">
        <v>2801</v>
      </c>
      <c r="F581" s="16" t="s">
        <v>2802</v>
      </c>
      <c r="G581" s="17">
        <v>36149</v>
      </c>
      <c r="H581" s="16" t="s">
        <v>2803</v>
      </c>
      <c r="I581" s="16">
        <v>187</v>
      </c>
      <c r="J581" s="16">
        <v>37</v>
      </c>
      <c r="K581" s="16">
        <v>14</v>
      </c>
      <c r="L581" s="16" t="s">
        <v>2804</v>
      </c>
    </row>
    <row r="582" spans="1:12" x14ac:dyDescent="0.4">
      <c r="A582" s="16" t="s">
        <v>294</v>
      </c>
      <c r="B582" s="16">
        <v>9</v>
      </c>
      <c r="C582" s="16" t="s">
        <v>691</v>
      </c>
      <c r="D582" s="16" t="s">
        <v>2805</v>
      </c>
      <c r="E582" s="16" t="s">
        <v>2806</v>
      </c>
      <c r="F582" s="16" t="s">
        <v>2807</v>
      </c>
      <c r="G582" s="17">
        <v>33803</v>
      </c>
      <c r="H582" s="16" t="s">
        <v>2808</v>
      </c>
      <c r="I582" s="16">
        <v>187</v>
      </c>
      <c r="J582" s="16">
        <v>106</v>
      </c>
      <c r="K582" s="16">
        <v>60</v>
      </c>
      <c r="L582" s="16" t="s">
        <v>2807</v>
      </c>
    </row>
    <row r="583" spans="1:12" x14ac:dyDescent="0.4">
      <c r="A583" s="16" t="s">
        <v>294</v>
      </c>
      <c r="B583" s="16">
        <v>10</v>
      </c>
      <c r="C583" s="16" t="s">
        <v>691</v>
      </c>
      <c r="D583" s="16" t="s">
        <v>2809</v>
      </c>
      <c r="E583" s="16" t="s">
        <v>2806</v>
      </c>
      <c r="F583" s="16" t="s">
        <v>2810</v>
      </c>
      <c r="G583" s="17">
        <v>36134</v>
      </c>
      <c r="H583" s="16" t="s">
        <v>2811</v>
      </c>
      <c r="I583" s="16">
        <v>166</v>
      </c>
      <c r="J583" s="16">
        <v>30</v>
      </c>
      <c r="K583" s="16">
        <v>10</v>
      </c>
      <c r="L583" s="16" t="s">
        <v>2812</v>
      </c>
    </row>
    <row r="584" spans="1:12" x14ac:dyDescent="0.4">
      <c r="A584" s="16" t="s">
        <v>294</v>
      </c>
      <c r="B584" s="16">
        <v>11</v>
      </c>
      <c r="C584" s="16" t="s">
        <v>691</v>
      </c>
      <c r="D584" s="16" t="s">
        <v>2813</v>
      </c>
      <c r="E584" s="16" t="s">
        <v>1447</v>
      </c>
      <c r="F584" s="16" t="s">
        <v>2814</v>
      </c>
      <c r="G584" s="17">
        <v>35014</v>
      </c>
      <c r="H584" s="16" t="s">
        <v>2789</v>
      </c>
      <c r="I584" s="16">
        <v>181</v>
      </c>
      <c r="J584" s="16">
        <v>14</v>
      </c>
      <c r="K584" s="16">
        <v>1</v>
      </c>
      <c r="L584" s="16" t="s">
        <v>2815</v>
      </c>
    </row>
    <row r="585" spans="1:12" x14ac:dyDescent="0.4">
      <c r="A585" s="16" t="s">
        <v>294</v>
      </c>
      <c r="B585" s="16">
        <v>12</v>
      </c>
      <c r="C585" s="16" t="s">
        <v>664</v>
      </c>
      <c r="D585" s="16" t="s">
        <v>2816</v>
      </c>
      <c r="E585" s="16" t="s">
        <v>2817</v>
      </c>
      <c r="F585" s="16" t="s">
        <v>2818</v>
      </c>
      <c r="G585" s="17">
        <v>34795</v>
      </c>
      <c r="H585" s="16" t="s">
        <v>2789</v>
      </c>
      <c r="I585" s="16">
        <v>193</v>
      </c>
      <c r="J585" s="16">
        <v>15</v>
      </c>
      <c r="K585" s="16">
        <v>0</v>
      </c>
      <c r="L585" s="16" t="s">
        <v>2819</v>
      </c>
    </row>
    <row r="586" spans="1:12" x14ac:dyDescent="0.4">
      <c r="A586" s="16" t="s">
        <v>294</v>
      </c>
      <c r="B586" s="16">
        <v>13</v>
      </c>
      <c r="C586" s="16" t="s">
        <v>669</v>
      </c>
      <c r="D586" s="16" t="s">
        <v>2820</v>
      </c>
      <c r="E586" s="16" t="s">
        <v>2821</v>
      </c>
      <c r="F586" s="16" t="s">
        <v>2822</v>
      </c>
      <c r="G586" s="17">
        <v>34416</v>
      </c>
      <c r="H586" s="16" t="s">
        <v>2789</v>
      </c>
      <c r="I586" s="16">
        <v>188</v>
      </c>
      <c r="J586" s="16">
        <v>65</v>
      </c>
      <c r="K586" s="16">
        <v>6</v>
      </c>
      <c r="L586" s="16" t="s">
        <v>2823</v>
      </c>
    </row>
    <row r="587" spans="1:12" x14ac:dyDescent="0.4">
      <c r="A587" s="16" t="s">
        <v>294</v>
      </c>
      <c r="B587" s="16">
        <v>14</v>
      </c>
      <c r="C587" s="16" t="s">
        <v>686</v>
      </c>
      <c r="D587" s="16" t="s">
        <v>2824</v>
      </c>
      <c r="E587" s="16" t="s">
        <v>2825</v>
      </c>
      <c r="F587" s="16" t="s">
        <v>2826</v>
      </c>
      <c r="G587" s="17">
        <v>34218</v>
      </c>
      <c r="H587" s="16" t="s">
        <v>2827</v>
      </c>
      <c r="I587" s="16">
        <v>176</v>
      </c>
      <c r="J587" s="16">
        <v>68</v>
      </c>
      <c r="K587" s="16">
        <v>3</v>
      </c>
      <c r="L587" s="16" t="s">
        <v>2828</v>
      </c>
    </row>
    <row r="588" spans="1:12" x14ac:dyDescent="0.4">
      <c r="A588" s="16" t="s">
        <v>294</v>
      </c>
      <c r="B588" s="16">
        <v>15</v>
      </c>
      <c r="C588" s="16" t="s">
        <v>686</v>
      </c>
      <c r="D588" s="16" t="s">
        <v>2829</v>
      </c>
      <c r="E588" s="16" t="s">
        <v>2830</v>
      </c>
      <c r="F588" s="16" t="s">
        <v>2831</v>
      </c>
      <c r="G588" s="17">
        <v>34174</v>
      </c>
      <c r="H588" s="16" t="s">
        <v>2704</v>
      </c>
      <c r="I588" s="16">
        <v>192</v>
      </c>
      <c r="J588" s="16">
        <v>40</v>
      </c>
      <c r="K588" s="16">
        <v>3</v>
      </c>
      <c r="L588" s="16" t="s">
        <v>2832</v>
      </c>
    </row>
    <row r="589" spans="1:12" x14ac:dyDescent="0.4">
      <c r="A589" s="16" t="s">
        <v>294</v>
      </c>
      <c r="B589" s="16">
        <v>16</v>
      </c>
      <c r="C589" s="16" t="s">
        <v>686</v>
      </c>
      <c r="D589" s="16" t="s">
        <v>2833</v>
      </c>
      <c r="E589" s="16" t="s">
        <v>2834</v>
      </c>
      <c r="F589" s="16" t="s">
        <v>2835</v>
      </c>
      <c r="G589" s="17">
        <v>34587</v>
      </c>
      <c r="H589" s="16" t="s">
        <v>2771</v>
      </c>
      <c r="I589" s="16">
        <v>185</v>
      </c>
      <c r="J589" s="16">
        <v>52</v>
      </c>
      <c r="K589" s="16">
        <v>7</v>
      </c>
      <c r="L589" s="16" t="s">
        <v>2836</v>
      </c>
    </row>
    <row r="590" spans="1:12" x14ac:dyDescent="0.4">
      <c r="A590" s="16" t="s">
        <v>294</v>
      </c>
      <c r="B590" s="16">
        <v>17</v>
      </c>
      <c r="C590" s="16" t="s">
        <v>669</v>
      </c>
      <c r="D590" s="16" t="s">
        <v>2837</v>
      </c>
      <c r="E590" s="16" t="s">
        <v>2838</v>
      </c>
      <c r="F590" s="16" t="s">
        <v>2839</v>
      </c>
      <c r="G590" s="17">
        <v>37368</v>
      </c>
      <c r="H590" s="16" t="s">
        <v>2780</v>
      </c>
      <c r="I590" s="16">
        <v>181</v>
      </c>
      <c r="J590" s="16">
        <v>14</v>
      </c>
      <c r="K590" s="16">
        <v>1</v>
      </c>
      <c r="L590" s="16" t="s">
        <v>2840</v>
      </c>
    </row>
    <row r="591" spans="1:12" x14ac:dyDescent="0.4">
      <c r="A591" s="16" t="s">
        <v>294</v>
      </c>
      <c r="B591" s="16">
        <v>18</v>
      </c>
      <c r="C591" s="16" t="s">
        <v>691</v>
      </c>
      <c r="D591" s="16" t="s">
        <v>2841</v>
      </c>
      <c r="E591" s="16" t="s">
        <v>2842</v>
      </c>
      <c r="F591" s="16" t="s">
        <v>2843</v>
      </c>
      <c r="G591" s="17">
        <v>36829</v>
      </c>
      <c r="H591" s="16" t="s">
        <v>2771</v>
      </c>
      <c r="I591" s="16">
        <v>178</v>
      </c>
      <c r="J591" s="16">
        <v>18</v>
      </c>
      <c r="K591" s="16">
        <v>5</v>
      </c>
      <c r="L591" s="16" t="s">
        <v>2844</v>
      </c>
    </row>
    <row r="592" spans="1:12" x14ac:dyDescent="0.4">
      <c r="A592" s="16" t="s">
        <v>294</v>
      </c>
      <c r="B592" s="16">
        <v>19</v>
      </c>
      <c r="C592" s="16" t="s">
        <v>669</v>
      </c>
      <c r="D592" s="16" t="s">
        <v>2845</v>
      </c>
      <c r="E592" s="16" t="s">
        <v>1447</v>
      </c>
      <c r="F592" s="16" t="s">
        <v>2846</v>
      </c>
      <c r="G592" s="17">
        <v>35103</v>
      </c>
      <c r="H592" s="16" t="s">
        <v>2847</v>
      </c>
      <c r="I592" s="16">
        <v>182</v>
      </c>
      <c r="J592" s="16">
        <v>18</v>
      </c>
      <c r="K592" s="16">
        <v>0</v>
      </c>
      <c r="L592" s="16" t="s">
        <v>2848</v>
      </c>
    </row>
    <row r="593" spans="1:12" x14ac:dyDescent="0.4">
      <c r="A593" s="16" t="s">
        <v>294</v>
      </c>
      <c r="B593" s="16">
        <v>20</v>
      </c>
      <c r="C593" s="16" t="s">
        <v>691</v>
      </c>
      <c r="D593" s="16" t="s">
        <v>2849</v>
      </c>
      <c r="E593" s="16" t="s">
        <v>2850</v>
      </c>
      <c r="F593" s="16" t="s">
        <v>2851</v>
      </c>
      <c r="G593" s="17">
        <v>34689</v>
      </c>
      <c r="H593" s="16" t="s">
        <v>2827</v>
      </c>
      <c r="I593" s="16">
        <v>189</v>
      </c>
      <c r="J593" s="16">
        <v>21</v>
      </c>
      <c r="K593" s="16">
        <v>2</v>
      </c>
      <c r="L593" s="16" t="s">
        <v>2852</v>
      </c>
    </row>
    <row r="594" spans="1:12" x14ac:dyDescent="0.4">
      <c r="A594" s="16" t="s">
        <v>294</v>
      </c>
      <c r="B594" s="16">
        <v>21</v>
      </c>
      <c r="C594" s="16" t="s">
        <v>686</v>
      </c>
      <c r="D594" s="16" t="s">
        <v>2853</v>
      </c>
      <c r="E594" s="16" t="s">
        <v>2801</v>
      </c>
      <c r="F594" s="16" t="s">
        <v>2854</v>
      </c>
      <c r="G594" s="17">
        <v>37171</v>
      </c>
      <c r="H594" s="16" t="s">
        <v>2855</v>
      </c>
      <c r="I594" s="16">
        <v>190</v>
      </c>
      <c r="J594" s="16">
        <v>16</v>
      </c>
      <c r="K594" s="16">
        <v>0</v>
      </c>
      <c r="L594" s="16" t="s">
        <v>2856</v>
      </c>
    </row>
    <row r="595" spans="1:12" x14ac:dyDescent="0.4">
      <c r="A595" s="16" t="s">
        <v>294</v>
      </c>
      <c r="B595" s="16">
        <v>22</v>
      </c>
      <c r="C595" s="16" t="s">
        <v>664</v>
      </c>
      <c r="D595" s="16" t="s">
        <v>2857</v>
      </c>
      <c r="E595" s="16" t="s">
        <v>2858</v>
      </c>
      <c r="F595" s="16" t="s">
        <v>2859</v>
      </c>
      <c r="G595" s="17">
        <v>33785</v>
      </c>
      <c r="H595" s="16" t="s">
        <v>2780</v>
      </c>
      <c r="I595" s="16">
        <v>189</v>
      </c>
      <c r="J595" s="16">
        <v>13</v>
      </c>
      <c r="K595" s="16">
        <v>0</v>
      </c>
      <c r="L595" s="16" t="s">
        <v>2859</v>
      </c>
    </row>
    <row r="596" spans="1:12" x14ac:dyDescent="0.4">
      <c r="A596" s="16" t="s">
        <v>294</v>
      </c>
      <c r="B596" s="16">
        <v>23</v>
      </c>
      <c r="C596" s="16" t="s">
        <v>669</v>
      </c>
      <c r="D596" s="16" t="s">
        <v>2860</v>
      </c>
      <c r="E596" s="16" t="s">
        <v>2861</v>
      </c>
      <c r="F596" s="16" t="s">
        <v>2862</v>
      </c>
      <c r="G596" s="17">
        <v>32953</v>
      </c>
      <c r="H596" s="16" t="s">
        <v>2847</v>
      </c>
      <c r="I596" s="16">
        <v>184</v>
      </c>
      <c r="J596" s="16">
        <v>74</v>
      </c>
      <c r="K596" s="16">
        <v>8</v>
      </c>
      <c r="L596" s="16" t="s">
        <v>2863</v>
      </c>
    </row>
    <row r="597" spans="1:12" x14ac:dyDescent="0.4">
      <c r="A597" s="16" t="s">
        <v>294</v>
      </c>
      <c r="B597" s="16">
        <v>24</v>
      </c>
      <c r="C597" s="16" t="s">
        <v>691</v>
      </c>
      <c r="D597" s="16" t="s">
        <v>2864</v>
      </c>
      <c r="E597" s="16" t="s">
        <v>1067</v>
      </c>
      <c r="F597" s="16" t="s">
        <v>2865</v>
      </c>
      <c r="G597" s="17">
        <v>35439</v>
      </c>
      <c r="H597" s="16" t="s">
        <v>1763</v>
      </c>
      <c r="I597" s="16">
        <v>182</v>
      </c>
      <c r="J597" s="16">
        <v>0</v>
      </c>
      <c r="K597" s="16">
        <v>0</v>
      </c>
      <c r="L597" s="16" t="s">
        <v>2865</v>
      </c>
    </row>
    <row r="598" spans="1:12" x14ac:dyDescent="0.4">
      <c r="A598" s="16" t="s">
        <v>294</v>
      </c>
      <c r="B598" s="16">
        <v>25</v>
      </c>
      <c r="C598" s="16" t="s">
        <v>669</v>
      </c>
      <c r="D598" s="16" t="s">
        <v>2866</v>
      </c>
      <c r="E598" s="16" t="s">
        <v>2867</v>
      </c>
      <c r="F598" s="16" t="s">
        <v>2868</v>
      </c>
      <c r="G598" s="17">
        <v>37920</v>
      </c>
      <c r="H598" s="16" t="s">
        <v>2869</v>
      </c>
      <c r="I598" s="16">
        <v>182</v>
      </c>
      <c r="J598" s="16">
        <v>0</v>
      </c>
      <c r="K598" s="16">
        <v>0</v>
      </c>
      <c r="L598" s="16" t="s">
        <v>2870</v>
      </c>
    </row>
    <row r="599" spans="1:12" x14ac:dyDescent="0.4">
      <c r="A599" s="16" t="s">
        <v>294</v>
      </c>
      <c r="B599" s="16">
        <v>26</v>
      </c>
      <c r="C599" s="16" t="s">
        <v>686</v>
      </c>
      <c r="D599" s="16" t="s">
        <v>2871</v>
      </c>
      <c r="E599" s="16" t="s">
        <v>2872</v>
      </c>
      <c r="F599" s="16" t="s">
        <v>2873</v>
      </c>
      <c r="G599" s="17">
        <v>38818</v>
      </c>
      <c r="H599" s="16" t="s">
        <v>2704</v>
      </c>
      <c r="I599" s="16">
        <v>187</v>
      </c>
      <c r="J599" s="16">
        <v>4</v>
      </c>
      <c r="K599" s="16">
        <v>0</v>
      </c>
      <c r="L599" s="16" t="s">
        <v>2874</v>
      </c>
    </row>
    <row r="600" spans="1:12" x14ac:dyDescent="0.4">
      <c r="A600" s="16" t="s">
        <v>296</v>
      </c>
      <c r="B600" s="16">
        <v>1</v>
      </c>
      <c r="C600" s="16" t="s">
        <v>664</v>
      </c>
      <c r="D600" s="16" t="s">
        <v>2875</v>
      </c>
      <c r="E600" s="16" t="s">
        <v>2876</v>
      </c>
      <c r="F600" s="16" t="s">
        <v>2877</v>
      </c>
      <c r="G600" s="17">
        <v>34628</v>
      </c>
      <c r="H600" s="16" t="s">
        <v>2878</v>
      </c>
      <c r="I600" s="16">
        <v>192</v>
      </c>
      <c r="J600" s="16">
        <v>21</v>
      </c>
      <c r="K600" s="16">
        <v>0</v>
      </c>
      <c r="L600" s="16" t="s">
        <v>2879</v>
      </c>
    </row>
    <row r="601" spans="1:12" x14ac:dyDescent="0.4">
      <c r="A601" s="16" t="s">
        <v>296</v>
      </c>
      <c r="B601" s="16">
        <v>2</v>
      </c>
      <c r="C601" s="16" t="s">
        <v>669</v>
      </c>
      <c r="D601" s="16" t="s">
        <v>2880</v>
      </c>
      <c r="E601" s="16" t="s">
        <v>2881</v>
      </c>
      <c r="F601" s="16" t="s">
        <v>2882</v>
      </c>
      <c r="G601" s="17">
        <v>33706</v>
      </c>
      <c r="H601" s="16" t="s">
        <v>2883</v>
      </c>
      <c r="I601" s="16">
        <v>193</v>
      </c>
      <c r="J601" s="16">
        <v>56</v>
      </c>
      <c r="K601" s="16">
        <v>1</v>
      </c>
      <c r="L601" s="16" t="s">
        <v>2884</v>
      </c>
    </row>
    <row r="602" spans="1:12" x14ac:dyDescent="0.4">
      <c r="A602" s="16" t="s">
        <v>296</v>
      </c>
      <c r="B602" s="16">
        <v>3</v>
      </c>
      <c r="C602" s="16" t="s">
        <v>669</v>
      </c>
      <c r="D602" s="16" t="s">
        <v>2885</v>
      </c>
      <c r="E602" s="16" t="s">
        <v>2886</v>
      </c>
      <c r="F602" s="16" t="s">
        <v>2887</v>
      </c>
      <c r="G602" s="17">
        <v>37316</v>
      </c>
      <c r="H602" s="16" t="s">
        <v>2888</v>
      </c>
      <c r="I602" s="16">
        <v>182</v>
      </c>
      <c r="J602" s="16">
        <v>27</v>
      </c>
      <c r="K602" s="16">
        <v>1</v>
      </c>
      <c r="L602" s="16" t="s">
        <v>2846</v>
      </c>
    </row>
    <row r="603" spans="1:12" x14ac:dyDescent="0.4">
      <c r="A603" s="16" t="s">
        <v>296</v>
      </c>
      <c r="B603" s="16">
        <v>4</v>
      </c>
      <c r="C603" s="16" t="s">
        <v>669</v>
      </c>
      <c r="D603" s="16" t="s">
        <v>2889</v>
      </c>
      <c r="E603" s="16" t="s">
        <v>2890</v>
      </c>
      <c r="F603" s="16" t="s">
        <v>2891</v>
      </c>
      <c r="G603" s="17">
        <v>36920</v>
      </c>
      <c r="H603" s="16" t="s">
        <v>2892</v>
      </c>
      <c r="I603" s="16">
        <v>187</v>
      </c>
      <c r="J603" s="16">
        <v>28</v>
      </c>
      <c r="K603" s="16">
        <v>1</v>
      </c>
      <c r="L603" s="16" t="s">
        <v>2893</v>
      </c>
    </row>
    <row r="604" spans="1:12" x14ac:dyDescent="0.4">
      <c r="A604" s="16" t="s">
        <v>296</v>
      </c>
      <c r="B604" s="16">
        <v>5</v>
      </c>
      <c r="C604" s="16" t="s">
        <v>669</v>
      </c>
      <c r="D604" s="16" t="s">
        <v>2894</v>
      </c>
      <c r="E604" s="16" t="s">
        <v>2895</v>
      </c>
      <c r="F604" s="16" t="s">
        <v>2896</v>
      </c>
      <c r="G604" s="17">
        <v>36023</v>
      </c>
      <c r="H604" s="16" t="s">
        <v>2897</v>
      </c>
      <c r="I604" s="16">
        <v>184</v>
      </c>
      <c r="J604" s="16">
        <v>14</v>
      </c>
      <c r="K604" s="16">
        <v>1</v>
      </c>
      <c r="L604" s="16" t="s">
        <v>2898</v>
      </c>
    </row>
    <row r="605" spans="1:12" x14ac:dyDescent="0.4">
      <c r="A605" s="16" t="s">
        <v>296</v>
      </c>
      <c r="B605" s="16">
        <v>6</v>
      </c>
      <c r="C605" s="16" t="s">
        <v>669</v>
      </c>
      <c r="D605" s="16" t="s">
        <v>2899</v>
      </c>
      <c r="E605" s="16" t="s">
        <v>2900</v>
      </c>
      <c r="F605" s="16" t="s">
        <v>2901</v>
      </c>
      <c r="G605" s="17">
        <v>35385</v>
      </c>
      <c r="H605" s="16" t="s">
        <v>2902</v>
      </c>
      <c r="I605" s="16">
        <v>184</v>
      </c>
      <c r="J605" s="16">
        <v>34</v>
      </c>
      <c r="K605" s="16">
        <v>1</v>
      </c>
      <c r="L605" s="16" t="s">
        <v>2903</v>
      </c>
    </row>
    <row r="606" spans="1:12" x14ac:dyDescent="0.4">
      <c r="A606" s="16" t="s">
        <v>296</v>
      </c>
      <c r="B606" s="16">
        <v>7</v>
      </c>
      <c r="C606" s="16" t="s">
        <v>686</v>
      </c>
      <c r="D606" s="16" t="s">
        <v>2904</v>
      </c>
      <c r="E606" s="16" t="s">
        <v>2905</v>
      </c>
      <c r="F606" s="16" t="s">
        <v>2906</v>
      </c>
      <c r="G606" s="17">
        <v>37854</v>
      </c>
      <c r="H606" s="16" t="s">
        <v>2907</v>
      </c>
      <c r="I606" s="16">
        <v>172</v>
      </c>
      <c r="J606" s="16">
        <v>27</v>
      </c>
      <c r="K606" s="16">
        <v>2</v>
      </c>
      <c r="L606" s="16" t="s">
        <v>2908</v>
      </c>
    </row>
    <row r="607" spans="1:12" x14ac:dyDescent="0.4">
      <c r="A607" s="16" t="s">
        <v>296</v>
      </c>
      <c r="B607" s="16">
        <v>8</v>
      </c>
      <c r="C607" s="16" t="s">
        <v>686</v>
      </c>
      <c r="D607" s="16" t="s">
        <v>2909</v>
      </c>
      <c r="E607" s="16" t="s">
        <v>2910</v>
      </c>
      <c r="F607" s="16" t="s">
        <v>2298</v>
      </c>
      <c r="G607" s="17">
        <v>36647</v>
      </c>
      <c r="H607" s="16" t="s">
        <v>2911</v>
      </c>
      <c r="I607" s="16">
        <v>180</v>
      </c>
      <c r="J607" s="16">
        <v>76</v>
      </c>
      <c r="K607" s="16">
        <v>8</v>
      </c>
      <c r="L607" s="16" t="s">
        <v>2912</v>
      </c>
    </row>
    <row r="608" spans="1:12" x14ac:dyDescent="0.4">
      <c r="A608" s="16" t="s">
        <v>296</v>
      </c>
      <c r="B608" s="16">
        <v>9</v>
      </c>
      <c r="C608" s="16" t="s">
        <v>691</v>
      </c>
      <c r="D608" s="16" t="s">
        <v>2913</v>
      </c>
      <c r="E608" s="16" t="s">
        <v>2914</v>
      </c>
      <c r="F608" s="16" t="s">
        <v>2915</v>
      </c>
      <c r="G608" s="17">
        <v>37316</v>
      </c>
      <c r="H608" s="16" t="s">
        <v>2916</v>
      </c>
      <c r="I608" s="16">
        <v>187</v>
      </c>
      <c r="J608" s="16">
        <v>20</v>
      </c>
      <c r="K608" s="16">
        <v>5</v>
      </c>
      <c r="L608" s="16" t="s">
        <v>2917</v>
      </c>
    </row>
    <row r="609" spans="1:12" x14ac:dyDescent="0.4">
      <c r="A609" s="16" t="s">
        <v>296</v>
      </c>
      <c r="B609" s="16">
        <v>10</v>
      </c>
      <c r="C609" s="16" t="s">
        <v>691</v>
      </c>
      <c r="D609" s="16" t="s">
        <v>2918</v>
      </c>
      <c r="E609" s="16" t="s">
        <v>2919</v>
      </c>
      <c r="F609" s="16" t="s">
        <v>2920</v>
      </c>
      <c r="G609" s="17">
        <v>36697</v>
      </c>
      <c r="H609" s="16" t="s">
        <v>2921</v>
      </c>
      <c r="I609" s="16">
        <v>183</v>
      </c>
      <c r="J609" s="16">
        <v>72</v>
      </c>
      <c r="K609" s="16">
        <v>27</v>
      </c>
      <c r="L609" s="16" t="s">
        <v>2922</v>
      </c>
    </row>
    <row r="610" spans="1:12" x14ac:dyDescent="0.4">
      <c r="A610" s="16" t="s">
        <v>296</v>
      </c>
      <c r="B610" s="16">
        <v>11</v>
      </c>
      <c r="C610" s="16" t="s">
        <v>691</v>
      </c>
      <c r="D610" s="16" t="s">
        <v>2923</v>
      </c>
      <c r="E610" s="16" t="s">
        <v>2924</v>
      </c>
      <c r="F610" s="16" t="s">
        <v>2925</v>
      </c>
      <c r="G610" s="17">
        <v>37814</v>
      </c>
      <c r="H610" s="16" t="s">
        <v>2926</v>
      </c>
      <c r="I610" s="16">
        <v>183</v>
      </c>
      <c r="J610" s="16">
        <v>3</v>
      </c>
      <c r="K610" s="16">
        <v>0</v>
      </c>
      <c r="L610" s="16" t="s">
        <v>1448</v>
      </c>
    </row>
    <row r="611" spans="1:12" x14ac:dyDescent="0.4">
      <c r="A611" s="16" t="s">
        <v>296</v>
      </c>
      <c r="B611" s="16">
        <v>12</v>
      </c>
      <c r="C611" s="16" t="s">
        <v>664</v>
      </c>
      <c r="D611" s="16" t="s">
        <v>2927</v>
      </c>
      <c r="E611" s="16" t="s">
        <v>2928</v>
      </c>
      <c r="F611" s="16" t="s">
        <v>2929</v>
      </c>
      <c r="G611" s="17">
        <v>33376</v>
      </c>
      <c r="H611" s="16" t="s">
        <v>2897</v>
      </c>
      <c r="I611" s="16">
        <v>188</v>
      </c>
      <c r="J611" s="16">
        <v>102</v>
      </c>
      <c r="K611" s="16">
        <v>0</v>
      </c>
      <c r="L611" s="16" t="s">
        <v>2930</v>
      </c>
    </row>
    <row r="612" spans="1:12" x14ac:dyDescent="0.4">
      <c r="A612" s="16" t="s">
        <v>296</v>
      </c>
      <c r="B612" s="16">
        <v>13</v>
      </c>
      <c r="C612" s="16" t="s">
        <v>691</v>
      </c>
      <c r="D612" s="16" t="s">
        <v>2931</v>
      </c>
      <c r="E612" s="16" t="s">
        <v>2932</v>
      </c>
      <c r="F612" s="16" t="s">
        <v>2933</v>
      </c>
      <c r="G612" s="17">
        <v>35083</v>
      </c>
      <c r="H612" s="16" t="s">
        <v>2878</v>
      </c>
      <c r="I612" s="16">
        <v>180</v>
      </c>
      <c r="J612" s="16">
        <v>7</v>
      </c>
      <c r="K612" s="16">
        <v>1</v>
      </c>
      <c r="L612" s="16" t="s">
        <v>2934</v>
      </c>
    </row>
    <row r="613" spans="1:12" x14ac:dyDescent="0.4">
      <c r="A613" s="16" t="s">
        <v>296</v>
      </c>
      <c r="B613" s="16">
        <v>14</v>
      </c>
      <c r="C613" s="16" t="s">
        <v>686</v>
      </c>
      <c r="D613" s="16" t="s">
        <v>2935</v>
      </c>
      <c r="E613" s="16" t="s">
        <v>2936</v>
      </c>
      <c r="F613" s="16" t="s">
        <v>2937</v>
      </c>
      <c r="G613" s="17">
        <v>37738</v>
      </c>
      <c r="H613" s="16" t="s">
        <v>2938</v>
      </c>
      <c r="I613" s="16">
        <v>183</v>
      </c>
      <c r="J613" s="16">
        <v>25</v>
      </c>
      <c r="K613" s="16">
        <v>2</v>
      </c>
      <c r="L613" s="16" t="s">
        <v>2939</v>
      </c>
    </row>
    <row r="614" spans="1:12" x14ac:dyDescent="0.4">
      <c r="A614" s="16" t="s">
        <v>296</v>
      </c>
      <c r="B614" s="16">
        <v>15</v>
      </c>
      <c r="C614" s="16" t="s">
        <v>669</v>
      </c>
      <c r="D614" s="16" t="s">
        <v>2940</v>
      </c>
      <c r="E614" s="16" t="s">
        <v>2941</v>
      </c>
      <c r="F614" s="16" t="s">
        <v>2942</v>
      </c>
      <c r="G614" s="17">
        <v>37158</v>
      </c>
      <c r="H614" s="16" t="s">
        <v>2943</v>
      </c>
      <c r="I614" s="16">
        <v>183</v>
      </c>
      <c r="J614" s="16">
        <v>7</v>
      </c>
      <c r="K614" s="16">
        <v>0</v>
      </c>
      <c r="L614" s="16" t="s">
        <v>2944</v>
      </c>
    </row>
    <row r="615" spans="1:12" x14ac:dyDescent="0.4">
      <c r="A615" s="16" t="s">
        <v>296</v>
      </c>
      <c r="B615" s="16">
        <v>16</v>
      </c>
      <c r="C615" s="16" t="s">
        <v>686</v>
      </c>
      <c r="D615" s="16" t="s">
        <v>2945</v>
      </c>
      <c r="E615" s="16" t="s">
        <v>2946</v>
      </c>
      <c r="F615" s="16" t="s">
        <v>2947</v>
      </c>
      <c r="G615" s="17">
        <v>35638</v>
      </c>
      <c r="H615" s="16" t="s">
        <v>2948</v>
      </c>
      <c r="I615" s="16">
        <v>180</v>
      </c>
      <c r="J615" s="16">
        <v>51</v>
      </c>
      <c r="K615" s="16">
        <v>3</v>
      </c>
      <c r="L615" s="16" t="s">
        <v>2947</v>
      </c>
    </row>
    <row r="616" spans="1:12" x14ac:dyDescent="0.4">
      <c r="A616" s="16" t="s">
        <v>296</v>
      </c>
      <c r="B616" s="16">
        <v>17</v>
      </c>
      <c r="C616" s="16" t="s">
        <v>691</v>
      </c>
      <c r="D616" s="16" t="s">
        <v>2949</v>
      </c>
      <c r="E616" s="16" t="s">
        <v>2950</v>
      </c>
      <c r="F616" s="16" t="s">
        <v>2951</v>
      </c>
      <c r="G616" s="17">
        <v>38006</v>
      </c>
      <c r="H616" s="16" t="s">
        <v>2306</v>
      </c>
      <c r="I616" s="16">
        <v>178</v>
      </c>
      <c r="J616" s="16">
        <v>36</v>
      </c>
      <c r="K616" s="16">
        <v>2</v>
      </c>
      <c r="L616" s="16" t="s">
        <v>2952</v>
      </c>
    </row>
    <row r="617" spans="1:12" x14ac:dyDescent="0.4">
      <c r="A617" s="16" t="s">
        <v>296</v>
      </c>
      <c r="B617" s="16">
        <v>18</v>
      </c>
      <c r="C617" s="16" t="s">
        <v>691</v>
      </c>
      <c r="D617" s="16" t="s">
        <v>2953</v>
      </c>
      <c r="E617" s="16" t="s">
        <v>2954</v>
      </c>
      <c r="F617" s="16" t="s">
        <v>2955</v>
      </c>
      <c r="G617" s="17">
        <v>35146</v>
      </c>
      <c r="H617" s="16" t="s">
        <v>2943</v>
      </c>
      <c r="I617" s="16">
        <v>190</v>
      </c>
      <c r="J617" s="16">
        <v>95</v>
      </c>
      <c r="K617" s="16">
        <v>33</v>
      </c>
      <c r="L617" s="16" t="s">
        <v>2956</v>
      </c>
    </row>
    <row r="618" spans="1:12" x14ac:dyDescent="0.4">
      <c r="A618" s="16" t="s">
        <v>296</v>
      </c>
      <c r="B618" s="16">
        <v>19</v>
      </c>
      <c r="C618" s="16" t="s">
        <v>686</v>
      </c>
      <c r="D618" s="16" t="s">
        <v>2957</v>
      </c>
      <c r="E618" s="16" t="s">
        <v>2958</v>
      </c>
      <c r="F618" s="16" t="s">
        <v>2959</v>
      </c>
      <c r="G618" s="17">
        <v>36809</v>
      </c>
      <c r="H618" s="16" t="s">
        <v>2960</v>
      </c>
      <c r="I618" s="16">
        <v>180</v>
      </c>
      <c r="J618" s="16">
        <v>9</v>
      </c>
      <c r="K618" s="16">
        <v>0</v>
      </c>
      <c r="L618" s="16" t="s">
        <v>2961</v>
      </c>
    </row>
    <row r="619" spans="1:12" x14ac:dyDescent="0.4">
      <c r="A619" s="16" t="s">
        <v>296</v>
      </c>
      <c r="B619" s="16">
        <v>20</v>
      </c>
      <c r="C619" s="16" t="s">
        <v>686</v>
      </c>
      <c r="D619" s="16" t="s">
        <v>2962</v>
      </c>
      <c r="E619" s="16" t="s">
        <v>2963</v>
      </c>
      <c r="F619" s="16" t="s">
        <v>2964</v>
      </c>
      <c r="G619" s="17">
        <v>37610</v>
      </c>
      <c r="H619" s="16" t="s">
        <v>2965</v>
      </c>
      <c r="I619" s="16">
        <v>180</v>
      </c>
      <c r="J619" s="16">
        <v>7</v>
      </c>
      <c r="K619" s="16">
        <v>0</v>
      </c>
      <c r="L619" s="16" t="s">
        <v>2966</v>
      </c>
    </row>
    <row r="620" spans="1:12" x14ac:dyDescent="0.4">
      <c r="A620" s="16" t="s">
        <v>296</v>
      </c>
      <c r="B620" s="16">
        <v>21</v>
      </c>
      <c r="C620" s="16" t="s">
        <v>691</v>
      </c>
      <c r="D620" s="16" t="s">
        <v>2967</v>
      </c>
      <c r="E620" s="16" t="s">
        <v>2968</v>
      </c>
      <c r="F620" s="16" t="s">
        <v>2969</v>
      </c>
      <c r="G620" s="17">
        <v>38062</v>
      </c>
      <c r="H620" s="16" t="s">
        <v>959</v>
      </c>
      <c r="I620" s="16">
        <v>185</v>
      </c>
      <c r="J620" s="16">
        <v>12</v>
      </c>
      <c r="K620" s="16">
        <v>0</v>
      </c>
      <c r="L620" s="16" t="s">
        <v>2887</v>
      </c>
    </row>
    <row r="621" spans="1:12" x14ac:dyDescent="0.4">
      <c r="A621" s="16" t="s">
        <v>296</v>
      </c>
      <c r="B621" s="16">
        <v>22</v>
      </c>
      <c r="C621" s="16" t="s">
        <v>664</v>
      </c>
      <c r="D621" s="16" t="s">
        <v>2970</v>
      </c>
      <c r="E621" s="16" t="s">
        <v>2971</v>
      </c>
      <c r="F621" s="16" t="s">
        <v>2972</v>
      </c>
      <c r="G621" s="17">
        <v>35296</v>
      </c>
      <c r="H621" s="16" t="s">
        <v>2902</v>
      </c>
      <c r="I621" s="16">
        <v>184</v>
      </c>
      <c r="J621" s="16">
        <v>16</v>
      </c>
      <c r="K621" s="16">
        <v>0</v>
      </c>
      <c r="L621" s="16" t="s">
        <v>2973</v>
      </c>
    </row>
    <row r="622" spans="1:12" x14ac:dyDescent="0.4">
      <c r="A622" s="16" t="s">
        <v>296</v>
      </c>
      <c r="B622" s="16">
        <v>23</v>
      </c>
      <c r="C622" s="16" t="s">
        <v>669</v>
      </c>
      <c r="D622" s="16" t="s">
        <v>2974</v>
      </c>
      <c r="E622" s="16" t="s">
        <v>2975</v>
      </c>
      <c r="F622" s="16" t="s">
        <v>2976</v>
      </c>
      <c r="G622" s="17">
        <v>36501</v>
      </c>
      <c r="H622" s="16" t="s">
        <v>912</v>
      </c>
      <c r="I622" s="16">
        <v>173</v>
      </c>
      <c r="J622" s="16">
        <v>31</v>
      </c>
      <c r="K622" s="16">
        <v>1</v>
      </c>
      <c r="L622" s="16" t="s">
        <v>2977</v>
      </c>
    </row>
    <row r="623" spans="1:12" x14ac:dyDescent="0.4">
      <c r="A623" s="16" t="s">
        <v>296</v>
      </c>
      <c r="B623" s="16">
        <v>24</v>
      </c>
      <c r="C623" s="16" t="s">
        <v>686</v>
      </c>
      <c r="D623" s="16" t="s">
        <v>2978</v>
      </c>
      <c r="E623" s="16" t="s">
        <v>2979</v>
      </c>
      <c r="F623" s="16" t="s">
        <v>2980</v>
      </c>
      <c r="G623" s="17">
        <v>37259</v>
      </c>
      <c r="H623" s="16" t="s">
        <v>2878</v>
      </c>
      <c r="I623" s="16">
        <v>185</v>
      </c>
      <c r="J623" s="16">
        <v>6</v>
      </c>
      <c r="K623" s="16">
        <v>0</v>
      </c>
      <c r="L623" s="16" t="s">
        <v>2981</v>
      </c>
    </row>
    <row r="624" spans="1:12" x14ac:dyDescent="0.4">
      <c r="A624" s="16" t="s">
        <v>296</v>
      </c>
      <c r="B624" s="16">
        <v>25</v>
      </c>
      <c r="C624" s="16" t="s">
        <v>669</v>
      </c>
      <c r="D624" s="16" t="s">
        <v>2982</v>
      </c>
      <c r="E624" s="16" t="s">
        <v>2983</v>
      </c>
      <c r="F624" s="16" t="s">
        <v>2984</v>
      </c>
      <c r="G624" s="17">
        <v>37036</v>
      </c>
      <c r="H624" s="16" t="s">
        <v>2902</v>
      </c>
      <c r="I624" s="16">
        <v>181</v>
      </c>
      <c r="J624" s="16">
        <v>17</v>
      </c>
      <c r="K624" s="16">
        <v>0</v>
      </c>
      <c r="L624" s="16" t="s">
        <v>2985</v>
      </c>
    </row>
    <row r="625" spans="1:12" x14ac:dyDescent="0.4">
      <c r="A625" s="16" t="s">
        <v>296</v>
      </c>
      <c r="B625" s="16">
        <v>26</v>
      </c>
      <c r="C625" s="16" t="s">
        <v>669</v>
      </c>
      <c r="D625" s="16" t="s">
        <v>2986</v>
      </c>
      <c r="E625" s="16" t="s">
        <v>2987</v>
      </c>
      <c r="F625" s="16" t="s">
        <v>2988</v>
      </c>
      <c r="G625" s="17">
        <v>34164</v>
      </c>
      <c r="H625" s="16" t="s">
        <v>2989</v>
      </c>
      <c r="I625" s="16">
        <v>182</v>
      </c>
      <c r="J625" s="16">
        <v>28</v>
      </c>
      <c r="K625" s="16">
        <v>0</v>
      </c>
      <c r="L625" s="16" t="s">
        <v>2990</v>
      </c>
    </row>
    <row r="626" spans="1:12" x14ac:dyDescent="0.4">
      <c r="A626" s="16" t="s">
        <v>319</v>
      </c>
      <c r="B626" s="16">
        <v>1</v>
      </c>
      <c r="C626" s="16" t="s">
        <v>664</v>
      </c>
      <c r="D626" s="16" t="s">
        <v>2991</v>
      </c>
      <c r="E626" s="16" t="s">
        <v>2992</v>
      </c>
      <c r="F626" s="16" t="s">
        <v>2993</v>
      </c>
      <c r="G626" s="17">
        <v>37489</v>
      </c>
      <c r="H626" s="16" t="s">
        <v>780</v>
      </c>
      <c r="I626" s="16">
        <v>190</v>
      </c>
      <c r="J626" s="16">
        <v>24</v>
      </c>
      <c r="K626" s="16">
        <v>0</v>
      </c>
      <c r="L626" s="16" t="s">
        <v>2993</v>
      </c>
    </row>
    <row r="627" spans="1:12" x14ac:dyDescent="0.4">
      <c r="A627" s="16" t="s">
        <v>319</v>
      </c>
      <c r="B627" s="16">
        <v>2</v>
      </c>
      <c r="C627" s="16" t="s">
        <v>669</v>
      </c>
      <c r="D627" s="16" t="s">
        <v>2994</v>
      </c>
      <c r="E627" s="16" t="s">
        <v>2995</v>
      </c>
      <c r="F627" s="16" t="s">
        <v>2996</v>
      </c>
      <c r="G627" s="17">
        <v>36705</v>
      </c>
      <c r="H627" s="16" t="s">
        <v>935</v>
      </c>
      <c r="I627" s="16">
        <v>179</v>
      </c>
      <c r="J627" s="16">
        <v>21</v>
      </c>
      <c r="K627" s="16">
        <v>2</v>
      </c>
      <c r="L627" s="16" t="s">
        <v>2996</v>
      </c>
    </row>
    <row r="628" spans="1:12" x14ac:dyDescent="0.4">
      <c r="A628" s="16" t="s">
        <v>319</v>
      </c>
      <c r="B628" s="16">
        <v>3</v>
      </c>
      <c r="C628" s="16" t="s">
        <v>669</v>
      </c>
      <c r="D628" s="16" t="s">
        <v>2997</v>
      </c>
      <c r="E628" s="16" t="s">
        <v>2998</v>
      </c>
      <c r="F628" s="16" t="s">
        <v>2999</v>
      </c>
      <c r="G628" s="17">
        <v>33434</v>
      </c>
      <c r="H628" s="16" t="s">
        <v>3000</v>
      </c>
      <c r="I628" s="16">
        <v>185</v>
      </c>
      <c r="J628" s="16">
        <v>38</v>
      </c>
      <c r="K628" s="16">
        <v>1</v>
      </c>
      <c r="L628" s="16" t="s">
        <v>2999</v>
      </c>
    </row>
    <row r="629" spans="1:12" x14ac:dyDescent="0.4">
      <c r="A629" s="16" t="s">
        <v>319</v>
      </c>
      <c r="B629" s="16">
        <v>4</v>
      </c>
      <c r="C629" s="16" t="s">
        <v>669</v>
      </c>
      <c r="D629" s="16" t="s">
        <v>3001</v>
      </c>
      <c r="E629" s="16" t="s">
        <v>3002</v>
      </c>
      <c r="F629" s="16" t="s">
        <v>3003</v>
      </c>
      <c r="G629" s="17">
        <v>35457</v>
      </c>
      <c r="H629" s="16" t="s">
        <v>1893</v>
      </c>
      <c r="I629" s="16">
        <v>188</v>
      </c>
      <c r="J629" s="16">
        <v>40</v>
      </c>
      <c r="K629" s="16">
        <v>2</v>
      </c>
      <c r="L629" s="16" t="s">
        <v>3003</v>
      </c>
    </row>
    <row r="630" spans="1:12" x14ac:dyDescent="0.4">
      <c r="A630" s="16" t="s">
        <v>319</v>
      </c>
      <c r="B630" s="16">
        <v>5</v>
      </c>
      <c r="C630" s="16" t="s">
        <v>669</v>
      </c>
      <c r="D630" s="16" t="s">
        <v>3004</v>
      </c>
      <c r="E630" s="16" t="s">
        <v>3005</v>
      </c>
      <c r="F630" s="16" t="s">
        <v>3006</v>
      </c>
      <c r="G630" s="17">
        <v>31667</v>
      </c>
      <c r="H630" s="16" t="s">
        <v>3007</v>
      </c>
      <c r="I630" s="16">
        <v>170</v>
      </c>
      <c r="J630" s="16">
        <v>145</v>
      </c>
      <c r="K630" s="16">
        <v>4</v>
      </c>
      <c r="L630" s="16" t="s">
        <v>3006</v>
      </c>
    </row>
    <row r="631" spans="1:12" x14ac:dyDescent="0.4">
      <c r="A631" s="16" t="s">
        <v>319</v>
      </c>
      <c r="B631" s="16">
        <v>6</v>
      </c>
      <c r="C631" s="16" t="s">
        <v>691</v>
      </c>
      <c r="D631" s="16" t="s">
        <v>3008</v>
      </c>
      <c r="E631" s="16" t="s">
        <v>3009</v>
      </c>
      <c r="F631" s="16" t="s">
        <v>3010</v>
      </c>
      <c r="G631" s="17">
        <v>36433</v>
      </c>
      <c r="H631" s="16" t="s">
        <v>1137</v>
      </c>
      <c r="I631" s="16">
        <v>185</v>
      </c>
      <c r="J631" s="16">
        <v>14</v>
      </c>
      <c r="K631" s="16">
        <v>5</v>
      </c>
      <c r="L631" s="16" t="s">
        <v>3010</v>
      </c>
    </row>
    <row r="632" spans="1:12" x14ac:dyDescent="0.4">
      <c r="A632" s="16" t="s">
        <v>319</v>
      </c>
      <c r="B632" s="16">
        <v>7</v>
      </c>
      <c r="C632" s="16" t="s">
        <v>686</v>
      </c>
      <c r="D632" s="16" t="s">
        <v>3011</v>
      </c>
      <c r="E632" s="16" t="s">
        <v>3012</v>
      </c>
      <c r="F632" s="16" t="s">
        <v>3013</v>
      </c>
      <c r="G632" s="17">
        <v>36048</v>
      </c>
      <c r="H632" s="16" t="s">
        <v>3014</v>
      </c>
      <c r="I632" s="16">
        <v>180</v>
      </c>
      <c r="J632" s="16">
        <v>38</v>
      </c>
      <c r="K632" s="16">
        <v>8</v>
      </c>
      <c r="L632" s="16" t="s">
        <v>3013</v>
      </c>
    </row>
    <row r="633" spans="1:12" x14ac:dyDescent="0.4">
      <c r="A633" s="16" t="s">
        <v>319</v>
      </c>
      <c r="B633" s="16">
        <v>8</v>
      </c>
      <c r="C633" s="16" t="s">
        <v>686</v>
      </c>
      <c r="D633" s="16" t="s">
        <v>3015</v>
      </c>
      <c r="E633" s="16" t="s">
        <v>3016</v>
      </c>
      <c r="F633" s="16" t="s">
        <v>3017</v>
      </c>
      <c r="G633" s="17">
        <v>37046</v>
      </c>
      <c r="H633" s="16" t="s">
        <v>1890</v>
      </c>
      <c r="I633" s="16">
        <v>173</v>
      </c>
      <c r="J633" s="16">
        <v>49</v>
      </c>
      <c r="K633" s="16">
        <v>7</v>
      </c>
      <c r="L633" s="16" t="s">
        <v>3017</v>
      </c>
    </row>
    <row r="634" spans="1:12" x14ac:dyDescent="0.4">
      <c r="A634" s="16" t="s">
        <v>319</v>
      </c>
      <c r="B634" s="16">
        <v>9</v>
      </c>
      <c r="C634" s="16" t="s">
        <v>691</v>
      </c>
      <c r="D634" s="16" t="s">
        <v>3018</v>
      </c>
      <c r="E634" s="16" t="s">
        <v>3019</v>
      </c>
      <c r="F634" s="16" t="s">
        <v>3020</v>
      </c>
      <c r="G634" s="17">
        <v>38506</v>
      </c>
      <c r="H634" s="16" t="s">
        <v>3000</v>
      </c>
      <c r="I634" s="16">
        <v>191</v>
      </c>
      <c r="J634" s="16">
        <v>4</v>
      </c>
      <c r="K634" s="16">
        <v>0</v>
      </c>
      <c r="L634" s="16" t="s">
        <v>3020</v>
      </c>
    </row>
    <row r="635" spans="1:12" x14ac:dyDescent="0.4">
      <c r="A635" s="16" t="s">
        <v>319</v>
      </c>
      <c r="B635" s="16">
        <v>10</v>
      </c>
      <c r="C635" s="16" t="s">
        <v>686</v>
      </c>
      <c r="D635" s="16" t="s">
        <v>3021</v>
      </c>
      <c r="E635" s="16" t="s">
        <v>3022</v>
      </c>
      <c r="F635" s="16" t="s">
        <v>3023</v>
      </c>
      <c r="G635" s="17">
        <v>35962</v>
      </c>
      <c r="H635" s="16" t="s">
        <v>707</v>
      </c>
      <c r="I635" s="16">
        <v>172</v>
      </c>
      <c r="J635" s="16">
        <v>65</v>
      </c>
      <c r="K635" s="16">
        <v>11</v>
      </c>
      <c r="L635" s="16" t="s">
        <v>3023</v>
      </c>
    </row>
    <row r="636" spans="1:12" x14ac:dyDescent="0.4">
      <c r="A636" s="16" t="s">
        <v>319</v>
      </c>
      <c r="B636" s="16">
        <v>11</v>
      </c>
      <c r="C636" s="16" t="s">
        <v>686</v>
      </c>
      <c r="D636" s="16" t="s">
        <v>3024</v>
      </c>
      <c r="E636" s="16" t="s">
        <v>3025</v>
      </c>
      <c r="F636" s="16" t="s">
        <v>3026</v>
      </c>
      <c r="G636" s="17">
        <v>35723</v>
      </c>
      <c r="H636" s="16" t="s">
        <v>1382</v>
      </c>
      <c r="I636" s="16">
        <v>173</v>
      </c>
      <c r="J636" s="16">
        <v>27</v>
      </c>
      <c r="K636" s="16">
        <v>4</v>
      </c>
      <c r="L636" s="16" t="s">
        <v>3027</v>
      </c>
    </row>
    <row r="637" spans="1:12" x14ac:dyDescent="0.4">
      <c r="A637" s="16" t="s">
        <v>319</v>
      </c>
      <c r="B637" s="16">
        <v>12</v>
      </c>
      <c r="C637" s="16" t="s">
        <v>664</v>
      </c>
      <c r="D637" s="16" t="s">
        <v>3028</v>
      </c>
      <c r="E637" s="16" t="s">
        <v>3019</v>
      </c>
      <c r="F637" s="16" t="s">
        <v>3029</v>
      </c>
      <c r="G637" s="17">
        <v>36369</v>
      </c>
      <c r="H637" s="16" t="s">
        <v>3030</v>
      </c>
      <c r="I637" s="16">
        <v>188</v>
      </c>
      <c r="J637" s="16">
        <v>11</v>
      </c>
      <c r="K637" s="16">
        <v>0</v>
      </c>
      <c r="L637" s="16" t="s">
        <v>3029</v>
      </c>
    </row>
    <row r="638" spans="1:12" x14ac:dyDescent="0.4">
      <c r="A638" s="16" t="s">
        <v>319</v>
      </c>
      <c r="B638" s="16">
        <v>13</v>
      </c>
      <c r="C638" s="16" t="s">
        <v>686</v>
      </c>
      <c r="D638" s="16" t="s">
        <v>3031</v>
      </c>
      <c r="E638" s="16" t="s">
        <v>3032</v>
      </c>
      <c r="F638" s="16" t="s">
        <v>3033</v>
      </c>
      <c r="G638" s="17">
        <v>36735</v>
      </c>
      <c r="H638" s="16" t="s">
        <v>3034</v>
      </c>
      <c r="I638" s="16">
        <v>180</v>
      </c>
      <c r="J638" s="16">
        <v>25</v>
      </c>
      <c r="K638" s="16">
        <v>10</v>
      </c>
      <c r="L638" s="16" t="s">
        <v>3033</v>
      </c>
    </row>
    <row r="639" spans="1:12" x14ac:dyDescent="0.4">
      <c r="A639" s="16" t="s">
        <v>319</v>
      </c>
      <c r="B639" s="16">
        <v>14</v>
      </c>
      <c r="C639" s="16" t="s">
        <v>686</v>
      </c>
      <c r="D639" s="16" t="s">
        <v>3035</v>
      </c>
      <c r="E639" s="16" t="s">
        <v>3036</v>
      </c>
      <c r="F639" s="16" t="s">
        <v>3037</v>
      </c>
      <c r="G639" s="17">
        <v>34037</v>
      </c>
      <c r="H639" s="16" t="s">
        <v>1725</v>
      </c>
      <c r="I639" s="16">
        <v>177</v>
      </c>
      <c r="J639" s="16">
        <v>69</v>
      </c>
      <c r="K639" s="16">
        <v>15</v>
      </c>
      <c r="L639" s="16" t="s">
        <v>3037</v>
      </c>
    </row>
    <row r="640" spans="1:12" x14ac:dyDescent="0.4">
      <c r="A640" s="16" t="s">
        <v>319</v>
      </c>
      <c r="B640" s="16">
        <v>15</v>
      </c>
      <c r="C640" s="16" t="s">
        <v>686</v>
      </c>
      <c r="D640" s="16" t="s">
        <v>3038</v>
      </c>
      <c r="E640" s="16" t="s">
        <v>3039</v>
      </c>
      <c r="F640" s="16" t="s">
        <v>3040</v>
      </c>
      <c r="G640" s="17">
        <v>35282</v>
      </c>
      <c r="H640" s="16" t="s">
        <v>1570</v>
      </c>
      <c r="I640" s="16">
        <v>180</v>
      </c>
      <c r="J640" s="16">
        <v>49</v>
      </c>
      <c r="K640" s="16">
        <v>12</v>
      </c>
      <c r="L640" s="16" t="s">
        <v>3040</v>
      </c>
    </row>
    <row r="641" spans="1:12" x14ac:dyDescent="0.4">
      <c r="A641" s="16" t="s">
        <v>319</v>
      </c>
      <c r="B641" s="16">
        <v>16</v>
      </c>
      <c r="C641" s="16" t="s">
        <v>669</v>
      </c>
      <c r="D641" s="16" t="s">
        <v>3041</v>
      </c>
      <c r="E641" s="16" t="s">
        <v>3042</v>
      </c>
      <c r="F641" s="16" t="s">
        <v>3043</v>
      </c>
      <c r="G641" s="17">
        <v>35466</v>
      </c>
      <c r="H641" s="16" t="s">
        <v>711</v>
      </c>
      <c r="I641" s="16">
        <v>184</v>
      </c>
      <c r="J641" s="16">
        <v>11</v>
      </c>
      <c r="K641" s="16">
        <v>0</v>
      </c>
      <c r="L641" s="16" t="s">
        <v>3043</v>
      </c>
    </row>
    <row r="642" spans="1:12" x14ac:dyDescent="0.4">
      <c r="A642" s="16" t="s">
        <v>319</v>
      </c>
      <c r="B642" s="16">
        <v>17</v>
      </c>
      <c r="C642" s="16" t="s">
        <v>686</v>
      </c>
      <c r="D642" s="16" t="s">
        <v>3044</v>
      </c>
      <c r="E642" s="16" t="s">
        <v>3045</v>
      </c>
      <c r="F642" s="16" t="s">
        <v>3046</v>
      </c>
      <c r="G642" s="17">
        <v>37189</v>
      </c>
      <c r="H642" s="16" t="s">
        <v>925</v>
      </c>
      <c r="I642" s="16">
        <v>175</v>
      </c>
      <c r="J642" s="16">
        <v>6</v>
      </c>
      <c r="K642" s="16">
        <v>0</v>
      </c>
      <c r="L642" s="16" t="s">
        <v>2993</v>
      </c>
    </row>
    <row r="643" spans="1:12" x14ac:dyDescent="0.4">
      <c r="A643" s="16" t="s">
        <v>319</v>
      </c>
      <c r="B643" s="16">
        <v>18</v>
      </c>
      <c r="C643" s="16" t="s">
        <v>691</v>
      </c>
      <c r="D643" s="16" t="s">
        <v>3047</v>
      </c>
      <c r="E643" s="16" t="s">
        <v>3048</v>
      </c>
      <c r="F643" s="16" t="s">
        <v>3049</v>
      </c>
      <c r="G643" s="17">
        <v>36035</v>
      </c>
      <c r="H643" s="16" t="s">
        <v>711</v>
      </c>
      <c r="I643" s="16">
        <v>182</v>
      </c>
      <c r="J643" s="16">
        <v>39</v>
      </c>
      <c r="K643" s="16">
        <v>16</v>
      </c>
      <c r="L643" s="16" t="s">
        <v>3050</v>
      </c>
    </row>
    <row r="644" spans="1:12" x14ac:dyDescent="0.4">
      <c r="A644" s="16" t="s">
        <v>319</v>
      </c>
      <c r="B644" s="16">
        <v>19</v>
      </c>
      <c r="C644" s="16" t="s">
        <v>691</v>
      </c>
      <c r="D644" s="16" t="s">
        <v>3051</v>
      </c>
      <c r="E644" s="16" t="s">
        <v>3052</v>
      </c>
      <c r="F644" s="16" t="s">
        <v>3053</v>
      </c>
      <c r="G644" s="17">
        <v>35650</v>
      </c>
      <c r="H644" s="16" t="s">
        <v>2039</v>
      </c>
      <c r="I644" s="16">
        <v>186</v>
      </c>
      <c r="J644" s="16">
        <v>15</v>
      </c>
      <c r="K644" s="16">
        <v>11</v>
      </c>
      <c r="L644" s="16" t="s">
        <v>3053</v>
      </c>
    </row>
    <row r="645" spans="1:12" x14ac:dyDescent="0.4">
      <c r="A645" s="16" t="s">
        <v>319</v>
      </c>
      <c r="B645" s="16">
        <v>20</v>
      </c>
      <c r="C645" s="16" t="s">
        <v>669</v>
      </c>
      <c r="D645" s="16" t="s">
        <v>3054</v>
      </c>
      <c r="E645" s="16" t="s">
        <v>3055</v>
      </c>
      <c r="F645" s="16" t="s">
        <v>3056</v>
      </c>
      <c r="G645" s="17">
        <v>36684</v>
      </c>
      <c r="H645" s="16" t="s">
        <v>1683</v>
      </c>
      <c r="I645" s="16">
        <v>186</v>
      </c>
      <c r="J645" s="16">
        <v>14</v>
      </c>
      <c r="K645" s="16">
        <v>0</v>
      </c>
      <c r="L645" s="16" t="s">
        <v>3056</v>
      </c>
    </row>
    <row r="646" spans="1:12" x14ac:dyDescent="0.4">
      <c r="A646" s="16" t="s">
        <v>319</v>
      </c>
      <c r="B646" s="16">
        <v>21</v>
      </c>
      <c r="C646" s="16" t="s">
        <v>669</v>
      </c>
      <c r="D646" s="16" t="s">
        <v>3057</v>
      </c>
      <c r="E646" s="16" t="s">
        <v>3058</v>
      </c>
      <c r="F646" s="16" t="s">
        <v>3059</v>
      </c>
      <c r="G646" s="17">
        <v>36292</v>
      </c>
      <c r="H646" s="16" t="s">
        <v>944</v>
      </c>
      <c r="I646" s="16">
        <v>188</v>
      </c>
      <c r="J646" s="16">
        <v>24</v>
      </c>
      <c r="K646" s="16">
        <v>1</v>
      </c>
      <c r="L646" s="16" t="s">
        <v>3037</v>
      </c>
    </row>
    <row r="647" spans="1:12" x14ac:dyDescent="0.4">
      <c r="A647" s="16" t="s">
        <v>319</v>
      </c>
      <c r="B647" s="16">
        <v>22</v>
      </c>
      <c r="C647" s="16" t="s">
        <v>669</v>
      </c>
      <c r="D647" s="16" t="s">
        <v>3060</v>
      </c>
      <c r="E647" s="16" t="s">
        <v>3061</v>
      </c>
      <c r="F647" s="16" t="s">
        <v>3062</v>
      </c>
      <c r="G647" s="17">
        <v>36104</v>
      </c>
      <c r="H647" s="16" t="s">
        <v>1893</v>
      </c>
      <c r="I647" s="16">
        <v>187</v>
      </c>
      <c r="J647" s="16">
        <v>43</v>
      </c>
      <c r="K647" s="16">
        <v>1</v>
      </c>
      <c r="L647" s="16" t="s">
        <v>3062</v>
      </c>
    </row>
    <row r="648" spans="1:12" x14ac:dyDescent="0.4">
      <c r="A648" s="16" t="s">
        <v>319</v>
      </c>
      <c r="B648" s="16">
        <v>23</v>
      </c>
      <c r="C648" s="16" t="s">
        <v>664</v>
      </c>
      <c r="D648" s="16" t="s">
        <v>3063</v>
      </c>
      <c r="E648" s="16" t="s">
        <v>3064</v>
      </c>
      <c r="F648" s="16" t="s">
        <v>3065</v>
      </c>
      <c r="G648" s="17">
        <v>36222</v>
      </c>
      <c r="H648" s="16" t="s">
        <v>3066</v>
      </c>
      <c r="I648" s="16">
        <v>187</v>
      </c>
      <c r="J648" s="16">
        <v>4</v>
      </c>
      <c r="K648" s="16">
        <v>0</v>
      </c>
      <c r="L648" s="16" t="s">
        <v>3065</v>
      </c>
    </row>
    <row r="649" spans="1:12" x14ac:dyDescent="0.4">
      <c r="A649" s="16" t="s">
        <v>319</v>
      </c>
      <c r="B649" s="16">
        <v>24</v>
      </c>
      <c r="C649" s="16" t="s">
        <v>686</v>
      </c>
      <c r="D649" s="16" t="s">
        <v>3067</v>
      </c>
      <c r="E649" s="16" t="s">
        <v>3068</v>
      </c>
      <c r="F649" s="16" t="s">
        <v>3069</v>
      </c>
      <c r="G649" s="17">
        <v>36890</v>
      </c>
      <c r="H649" s="16" t="s">
        <v>887</v>
      </c>
      <c r="I649" s="16">
        <v>176</v>
      </c>
      <c r="J649" s="16">
        <v>13</v>
      </c>
      <c r="K649" s="16">
        <v>0</v>
      </c>
      <c r="L649" s="16" t="s">
        <v>3069</v>
      </c>
    </row>
    <row r="650" spans="1:12" x14ac:dyDescent="0.4">
      <c r="A650" s="16" t="s">
        <v>319</v>
      </c>
      <c r="B650" s="16">
        <v>25</v>
      </c>
      <c r="C650" s="16" t="s">
        <v>669</v>
      </c>
      <c r="D650" s="16" t="s">
        <v>3070</v>
      </c>
      <c r="E650" s="16" t="s">
        <v>3071</v>
      </c>
      <c r="F650" s="16" t="s">
        <v>3072</v>
      </c>
      <c r="G650" s="17">
        <v>37814</v>
      </c>
      <c r="H650" s="16" t="s">
        <v>1941</v>
      </c>
      <c r="I650" s="16">
        <v>180</v>
      </c>
      <c r="J650" s="16">
        <v>6</v>
      </c>
      <c r="K650" s="16">
        <v>0</v>
      </c>
      <c r="L650" s="16" t="s">
        <v>2993</v>
      </c>
    </row>
    <row r="651" spans="1:12" x14ac:dyDescent="0.4">
      <c r="A651" s="16" t="s">
        <v>319</v>
      </c>
      <c r="B651" s="16">
        <v>26</v>
      </c>
      <c r="C651" s="16" t="s">
        <v>691</v>
      </c>
      <c r="D651" s="16" t="s">
        <v>3073</v>
      </c>
      <c r="E651" s="16" t="s">
        <v>3074</v>
      </c>
      <c r="F651" s="16" t="s">
        <v>3075</v>
      </c>
      <c r="G651" s="17">
        <v>38437</v>
      </c>
      <c r="H651" s="16" t="s">
        <v>738</v>
      </c>
      <c r="I651" s="16">
        <v>180</v>
      </c>
      <c r="J651" s="16">
        <v>2</v>
      </c>
      <c r="K651" s="16">
        <v>0</v>
      </c>
      <c r="L651" s="16" t="s">
        <v>3075</v>
      </c>
    </row>
    <row r="652" spans="1:12" x14ac:dyDescent="0.4">
      <c r="A652" s="16" t="s">
        <v>312</v>
      </c>
      <c r="B652" s="16">
        <v>1</v>
      </c>
      <c r="C652" s="16" t="s">
        <v>664</v>
      </c>
      <c r="D652" s="16" t="s">
        <v>3076</v>
      </c>
      <c r="E652" s="16" t="s">
        <v>3077</v>
      </c>
      <c r="F652" s="16" t="s">
        <v>3078</v>
      </c>
      <c r="G652" s="17">
        <v>33977</v>
      </c>
      <c r="H652" s="16" t="s">
        <v>3079</v>
      </c>
      <c r="I652" s="16">
        <v>188</v>
      </c>
      <c r="J652" s="16">
        <v>76</v>
      </c>
      <c r="K652" s="16">
        <v>0</v>
      </c>
      <c r="L652" s="16" t="s">
        <v>3080</v>
      </c>
    </row>
    <row r="653" spans="1:12" x14ac:dyDescent="0.4">
      <c r="A653" s="16" t="s">
        <v>312</v>
      </c>
      <c r="B653" s="16">
        <v>2</v>
      </c>
      <c r="C653" s="16" t="s">
        <v>669</v>
      </c>
      <c r="D653" s="16" t="s">
        <v>3081</v>
      </c>
      <c r="E653" s="16" t="s">
        <v>3082</v>
      </c>
      <c r="F653" s="16" t="s">
        <v>3083</v>
      </c>
      <c r="G653" s="17">
        <v>34828</v>
      </c>
      <c r="H653" s="16" t="s">
        <v>2943</v>
      </c>
      <c r="I653" s="16">
        <v>179</v>
      </c>
      <c r="J653" s="16">
        <v>56</v>
      </c>
      <c r="K653" s="16">
        <v>1</v>
      </c>
      <c r="L653" s="16" t="s">
        <v>3084</v>
      </c>
    </row>
    <row r="654" spans="1:12" x14ac:dyDescent="0.4">
      <c r="A654" s="16" t="s">
        <v>312</v>
      </c>
      <c r="B654" s="16">
        <v>3</v>
      </c>
      <c r="C654" s="16" t="s">
        <v>669</v>
      </c>
      <c r="D654" s="16" t="s">
        <v>3085</v>
      </c>
      <c r="E654" s="16" t="s">
        <v>3086</v>
      </c>
      <c r="F654" s="16" t="s">
        <v>3087</v>
      </c>
      <c r="G654" s="17">
        <v>34390</v>
      </c>
      <c r="H654" s="16" t="s">
        <v>2897</v>
      </c>
      <c r="I654" s="16">
        <v>184</v>
      </c>
      <c r="J654" s="16">
        <v>65</v>
      </c>
      <c r="K654" s="16">
        <v>3</v>
      </c>
      <c r="L654" s="16" t="s">
        <v>3087</v>
      </c>
    </row>
    <row r="655" spans="1:12" x14ac:dyDescent="0.4">
      <c r="A655" s="16" t="s">
        <v>312</v>
      </c>
      <c r="B655" s="16">
        <v>4</v>
      </c>
      <c r="C655" s="16" t="s">
        <v>669</v>
      </c>
      <c r="D655" s="16" t="s">
        <v>3088</v>
      </c>
      <c r="E655" s="16" t="s">
        <v>3089</v>
      </c>
      <c r="F655" s="16" t="s">
        <v>3090</v>
      </c>
      <c r="G655" s="17">
        <v>36659</v>
      </c>
      <c r="H655" s="16" t="s">
        <v>3091</v>
      </c>
      <c r="I655" s="16">
        <v>186</v>
      </c>
      <c r="J655" s="16">
        <v>18</v>
      </c>
      <c r="K655" s="16">
        <v>0</v>
      </c>
      <c r="L655" s="16" t="s">
        <v>3092</v>
      </c>
    </row>
    <row r="656" spans="1:12" x14ac:dyDescent="0.4">
      <c r="A656" s="16" t="s">
        <v>312</v>
      </c>
      <c r="B656" s="16">
        <v>5</v>
      </c>
      <c r="C656" s="16" t="s">
        <v>669</v>
      </c>
      <c r="D656" s="16" t="s">
        <v>3093</v>
      </c>
      <c r="E656" s="16" t="s">
        <v>3094</v>
      </c>
      <c r="F656" s="16" t="s">
        <v>3095</v>
      </c>
      <c r="G656" s="17">
        <v>35095</v>
      </c>
      <c r="H656" s="16" t="s">
        <v>3096</v>
      </c>
      <c r="I656" s="16">
        <v>185</v>
      </c>
      <c r="J656" s="16">
        <v>80</v>
      </c>
      <c r="K656" s="16">
        <v>3</v>
      </c>
      <c r="L656" s="16" t="s">
        <v>3095</v>
      </c>
    </row>
    <row r="657" spans="1:12" x14ac:dyDescent="0.4">
      <c r="A657" s="16" t="s">
        <v>312</v>
      </c>
      <c r="B657" s="16">
        <v>6</v>
      </c>
      <c r="C657" s="16" t="s">
        <v>686</v>
      </c>
      <c r="D657" s="16" t="s">
        <v>3097</v>
      </c>
      <c r="E657" s="16" t="s">
        <v>3098</v>
      </c>
      <c r="F657" s="16" t="s">
        <v>3099</v>
      </c>
      <c r="G657" s="17">
        <v>37440</v>
      </c>
      <c r="H657" s="16" t="s">
        <v>2897</v>
      </c>
      <c r="I657" s="16">
        <v>177</v>
      </c>
      <c r="J657" s="16">
        <v>19</v>
      </c>
      <c r="K657" s="16">
        <v>1</v>
      </c>
      <c r="L657" s="16" t="s">
        <v>3099</v>
      </c>
    </row>
    <row r="658" spans="1:12" x14ac:dyDescent="0.4">
      <c r="A658" s="16" t="s">
        <v>312</v>
      </c>
      <c r="B658" s="16">
        <v>7</v>
      </c>
      <c r="C658" s="16" t="s">
        <v>691</v>
      </c>
      <c r="D658" s="16" t="s">
        <v>3100</v>
      </c>
      <c r="E658" s="16" t="s">
        <v>3101</v>
      </c>
      <c r="F658" s="16" t="s">
        <v>3102</v>
      </c>
      <c r="G658" s="17">
        <v>35794</v>
      </c>
      <c r="H658" s="16" t="s">
        <v>3103</v>
      </c>
      <c r="I658" s="16">
        <v>170</v>
      </c>
      <c r="J658" s="16">
        <v>41</v>
      </c>
      <c r="K658" s="16">
        <v>5</v>
      </c>
      <c r="L658" s="16" t="s">
        <v>3102</v>
      </c>
    </row>
    <row r="659" spans="1:12" x14ac:dyDescent="0.4">
      <c r="A659" s="16" t="s">
        <v>312</v>
      </c>
      <c r="B659" s="16">
        <v>8</v>
      </c>
      <c r="C659" s="16" t="s">
        <v>686</v>
      </c>
      <c r="D659" s="16" t="s">
        <v>3104</v>
      </c>
      <c r="E659" s="16" t="s">
        <v>3105</v>
      </c>
      <c r="F659" s="16" t="s">
        <v>3106</v>
      </c>
      <c r="G659" s="17">
        <v>35485</v>
      </c>
      <c r="H659" s="16" t="s">
        <v>3107</v>
      </c>
      <c r="I659" s="16">
        <v>182</v>
      </c>
      <c r="J659" s="16">
        <v>68</v>
      </c>
      <c r="K659" s="16">
        <v>3</v>
      </c>
      <c r="L659" s="16" t="s">
        <v>3108</v>
      </c>
    </row>
    <row r="660" spans="1:12" x14ac:dyDescent="0.4">
      <c r="A660" s="16" t="s">
        <v>312</v>
      </c>
      <c r="B660" s="16">
        <v>9</v>
      </c>
      <c r="C660" s="16" t="s">
        <v>691</v>
      </c>
      <c r="D660" s="16" t="s">
        <v>3109</v>
      </c>
      <c r="E660" s="16" t="s">
        <v>3110</v>
      </c>
      <c r="F660" s="16" t="s">
        <v>3111</v>
      </c>
      <c r="G660" s="17">
        <v>36611</v>
      </c>
      <c r="H660" s="16" t="s">
        <v>3112</v>
      </c>
      <c r="I660" s="16">
        <v>182</v>
      </c>
      <c r="J660" s="16">
        <v>66</v>
      </c>
      <c r="K660" s="16">
        <v>29</v>
      </c>
      <c r="L660" s="16" t="s">
        <v>3111</v>
      </c>
    </row>
    <row r="661" spans="1:12" x14ac:dyDescent="0.4">
      <c r="A661" s="16" t="s">
        <v>312</v>
      </c>
      <c r="B661" s="16">
        <v>10</v>
      </c>
      <c r="C661" s="16" t="s">
        <v>691</v>
      </c>
      <c r="D661" s="16" t="s">
        <v>3113</v>
      </c>
      <c r="E661" s="16" t="s">
        <v>3114</v>
      </c>
      <c r="F661" s="16" t="s">
        <v>3115</v>
      </c>
      <c r="G661" s="17">
        <v>35591</v>
      </c>
      <c r="H661" s="16" t="s">
        <v>2419</v>
      </c>
      <c r="I661" s="16">
        <v>176</v>
      </c>
      <c r="J661" s="16">
        <v>92</v>
      </c>
      <c r="K661" s="16">
        <v>24</v>
      </c>
      <c r="L661" s="16" t="s">
        <v>3116</v>
      </c>
    </row>
    <row r="662" spans="1:12" x14ac:dyDescent="0.4">
      <c r="A662" s="16" t="s">
        <v>312</v>
      </c>
      <c r="B662" s="16">
        <v>11</v>
      </c>
      <c r="C662" s="16" t="s">
        <v>691</v>
      </c>
      <c r="D662" s="16" t="s">
        <v>3117</v>
      </c>
      <c r="E662" s="16" t="s">
        <v>3118</v>
      </c>
      <c r="F662" s="16" t="s">
        <v>3119</v>
      </c>
      <c r="G662" s="17">
        <v>38678</v>
      </c>
      <c r="H662" s="16" t="s">
        <v>1755</v>
      </c>
      <c r="I662" s="16">
        <v>180</v>
      </c>
      <c r="J662" s="16">
        <v>10</v>
      </c>
      <c r="K662" s="16">
        <v>1</v>
      </c>
      <c r="L662" s="16" t="s">
        <v>3120</v>
      </c>
    </row>
    <row r="663" spans="1:12" x14ac:dyDescent="0.4">
      <c r="A663" s="16" t="s">
        <v>312</v>
      </c>
      <c r="B663" s="16">
        <v>12</v>
      </c>
      <c r="C663" s="16" t="s">
        <v>664</v>
      </c>
      <c r="D663" s="16" t="s">
        <v>3121</v>
      </c>
      <c r="E663" s="16" t="s">
        <v>3122</v>
      </c>
      <c r="F663" s="16" t="s">
        <v>3123</v>
      </c>
      <c r="G663" s="17">
        <v>33994</v>
      </c>
      <c r="H663" s="16" t="s">
        <v>3091</v>
      </c>
      <c r="I663" s="16">
        <v>179</v>
      </c>
      <c r="J663" s="16">
        <v>5</v>
      </c>
      <c r="K663" s="16">
        <v>0</v>
      </c>
      <c r="L663" s="16" t="s">
        <v>3123</v>
      </c>
    </row>
    <row r="664" spans="1:12" x14ac:dyDescent="0.4">
      <c r="A664" s="16" t="s">
        <v>312</v>
      </c>
      <c r="B664" s="16">
        <v>13</v>
      </c>
      <c r="C664" s="16" t="s">
        <v>691</v>
      </c>
      <c r="D664" s="16" t="s">
        <v>3124</v>
      </c>
      <c r="E664" s="16" t="s">
        <v>3125</v>
      </c>
      <c r="F664" s="16" t="s">
        <v>3126</v>
      </c>
      <c r="G664" s="17">
        <v>34248</v>
      </c>
      <c r="H664" s="16" t="s">
        <v>3079</v>
      </c>
      <c r="I664" s="16">
        <v>173</v>
      </c>
      <c r="J664" s="16">
        <v>89</v>
      </c>
      <c r="K664" s="16">
        <v>9</v>
      </c>
      <c r="L664" s="16" t="s">
        <v>3126</v>
      </c>
    </row>
    <row r="665" spans="1:12" x14ac:dyDescent="0.4">
      <c r="A665" s="16" t="s">
        <v>312</v>
      </c>
      <c r="B665" s="16">
        <v>14</v>
      </c>
      <c r="C665" s="16" t="s">
        <v>686</v>
      </c>
      <c r="D665" s="16" t="s">
        <v>3127</v>
      </c>
      <c r="E665" s="16" t="s">
        <v>3128</v>
      </c>
      <c r="F665" s="16" t="s">
        <v>3129</v>
      </c>
      <c r="G665" s="17">
        <v>34175</v>
      </c>
      <c r="H665" s="16" t="s">
        <v>3079</v>
      </c>
      <c r="I665" s="16">
        <v>175</v>
      </c>
      <c r="J665" s="16">
        <v>72</v>
      </c>
      <c r="K665" s="16">
        <v>0</v>
      </c>
      <c r="L665" s="16" t="s">
        <v>3130</v>
      </c>
    </row>
    <row r="666" spans="1:12" x14ac:dyDescent="0.4">
      <c r="A666" s="16" t="s">
        <v>312</v>
      </c>
      <c r="B666" s="16">
        <v>15</v>
      </c>
      <c r="C666" s="16" t="s">
        <v>686</v>
      </c>
      <c r="D666" s="16" t="s">
        <v>3131</v>
      </c>
      <c r="E666" s="16" t="s">
        <v>3132</v>
      </c>
      <c r="F666" s="16" t="s">
        <v>3133</v>
      </c>
      <c r="G666" s="17">
        <v>36643</v>
      </c>
      <c r="H666" s="16" t="s">
        <v>2943</v>
      </c>
      <c r="I666" s="16">
        <v>175</v>
      </c>
      <c r="J666" s="16">
        <v>57</v>
      </c>
      <c r="K666" s="16">
        <v>3</v>
      </c>
      <c r="L666" s="16" t="s">
        <v>3133</v>
      </c>
    </row>
    <row r="667" spans="1:12" x14ac:dyDescent="0.4">
      <c r="A667" s="16" t="s">
        <v>312</v>
      </c>
      <c r="B667" s="16">
        <v>16</v>
      </c>
      <c r="C667" s="16" t="s">
        <v>669</v>
      </c>
      <c r="D667" s="16" t="s">
        <v>3134</v>
      </c>
      <c r="E667" s="16" t="s">
        <v>3135</v>
      </c>
      <c r="F667" s="16" t="s">
        <v>3136</v>
      </c>
      <c r="G667" s="17">
        <v>36930</v>
      </c>
      <c r="H667" s="16" t="s">
        <v>3107</v>
      </c>
      <c r="I667" s="16">
        <v>185</v>
      </c>
      <c r="J667" s="16">
        <v>18</v>
      </c>
      <c r="K667" s="16">
        <v>0</v>
      </c>
      <c r="L667" s="16" t="s">
        <v>3137</v>
      </c>
    </row>
    <row r="668" spans="1:12" x14ac:dyDescent="0.4">
      <c r="A668" s="16" t="s">
        <v>312</v>
      </c>
      <c r="B668" s="16">
        <v>17</v>
      </c>
      <c r="C668" s="16" t="s">
        <v>669</v>
      </c>
      <c r="D668" s="16" t="s">
        <v>3138</v>
      </c>
      <c r="E668" s="16" t="s">
        <v>3139</v>
      </c>
      <c r="F668" s="16" t="s">
        <v>3140</v>
      </c>
      <c r="G668" s="17">
        <v>33620</v>
      </c>
      <c r="H668" s="16" t="s">
        <v>3079</v>
      </c>
      <c r="I668" s="16">
        <v>187</v>
      </c>
      <c r="J668" s="16">
        <v>11</v>
      </c>
      <c r="K668" s="16">
        <v>0</v>
      </c>
      <c r="L668" s="16" t="s">
        <v>3141</v>
      </c>
    </row>
    <row r="669" spans="1:12" x14ac:dyDescent="0.4">
      <c r="A669" s="16" t="s">
        <v>312</v>
      </c>
      <c r="B669" s="16">
        <v>18</v>
      </c>
      <c r="C669" s="16" t="s">
        <v>686</v>
      </c>
      <c r="D669" s="16" t="s">
        <v>3142</v>
      </c>
      <c r="E669" s="16" t="s">
        <v>3143</v>
      </c>
      <c r="F669" s="16" t="s">
        <v>3144</v>
      </c>
      <c r="G669" s="17">
        <v>38546</v>
      </c>
      <c r="H669" s="16" t="s">
        <v>3079</v>
      </c>
      <c r="I669" s="16">
        <v>182</v>
      </c>
      <c r="J669" s="16">
        <v>2</v>
      </c>
      <c r="K669" s="16">
        <v>0</v>
      </c>
      <c r="L669" s="16" t="s">
        <v>3145</v>
      </c>
    </row>
    <row r="670" spans="1:12" x14ac:dyDescent="0.4">
      <c r="A670" s="16" t="s">
        <v>312</v>
      </c>
      <c r="B670" s="16">
        <v>19</v>
      </c>
      <c r="C670" s="16" t="s">
        <v>669</v>
      </c>
      <c r="D670" s="16" t="s">
        <v>3146</v>
      </c>
      <c r="E670" s="16" t="s">
        <v>3147</v>
      </c>
      <c r="F670" s="16" t="s">
        <v>3148</v>
      </c>
      <c r="G670" s="17">
        <v>35462</v>
      </c>
      <c r="H670" s="16" t="s">
        <v>3079</v>
      </c>
      <c r="I670" s="16">
        <v>186</v>
      </c>
      <c r="J670" s="16">
        <v>21</v>
      </c>
      <c r="K670" s="16">
        <v>2</v>
      </c>
      <c r="L670" s="16" t="s">
        <v>3149</v>
      </c>
    </row>
    <row r="671" spans="1:12" x14ac:dyDescent="0.4">
      <c r="A671" s="16" t="s">
        <v>312</v>
      </c>
      <c r="B671" s="16">
        <v>20</v>
      </c>
      <c r="C671" s="16" t="s">
        <v>686</v>
      </c>
      <c r="D671" s="16" t="s">
        <v>3150</v>
      </c>
      <c r="E671" s="16" t="s">
        <v>3151</v>
      </c>
      <c r="F671" s="16" t="s">
        <v>3152</v>
      </c>
      <c r="G671" s="17">
        <v>37654</v>
      </c>
      <c r="H671" s="16" t="s">
        <v>3153</v>
      </c>
      <c r="I671" s="16">
        <v>173</v>
      </c>
      <c r="J671" s="16">
        <v>29</v>
      </c>
      <c r="K671" s="16">
        <v>1</v>
      </c>
      <c r="L671" s="16" t="s">
        <v>3152</v>
      </c>
    </row>
    <row r="672" spans="1:12" x14ac:dyDescent="0.4">
      <c r="A672" s="16" t="s">
        <v>312</v>
      </c>
      <c r="B672" s="16">
        <v>21</v>
      </c>
      <c r="C672" s="16" t="s">
        <v>686</v>
      </c>
      <c r="D672" s="16" t="s">
        <v>3154</v>
      </c>
      <c r="E672" s="16" t="s">
        <v>3155</v>
      </c>
      <c r="F672" s="16" t="s">
        <v>3156</v>
      </c>
      <c r="G672" s="17">
        <v>36242</v>
      </c>
      <c r="H672" s="16" t="s">
        <v>3157</v>
      </c>
      <c r="I672" s="16">
        <v>183</v>
      </c>
      <c r="J672" s="16">
        <v>47</v>
      </c>
      <c r="K672" s="16">
        <v>4</v>
      </c>
      <c r="L672" s="16" t="s">
        <v>3158</v>
      </c>
    </row>
    <row r="673" spans="1:12" x14ac:dyDescent="0.4">
      <c r="A673" s="16" t="s">
        <v>312</v>
      </c>
      <c r="B673" s="16">
        <v>22</v>
      </c>
      <c r="C673" s="16" t="s">
        <v>664</v>
      </c>
      <c r="D673" s="16" t="s">
        <v>3159</v>
      </c>
      <c r="E673" s="16" t="s">
        <v>3160</v>
      </c>
      <c r="F673" s="16" t="s">
        <v>3161</v>
      </c>
      <c r="G673" s="17">
        <v>36547</v>
      </c>
      <c r="H673" s="16" t="s">
        <v>3162</v>
      </c>
      <c r="I673" s="16">
        <v>190</v>
      </c>
      <c r="J673" s="16">
        <v>11</v>
      </c>
      <c r="K673" s="16">
        <v>0</v>
      </c>
      <c r="L673" s="16" t="s">
        <v>3161</v>
      </c>
    </row>
    <row r="674" spans="1:12" x14ac:dyDescent="0.4">
      <c r="A674" s="16" t="s">
        <v>312</v>
      </c>
      <c r="B674" s="16">
        <v>23</v>
      </c>
      <c r="C674" s="16" t="s">
        <v>669</v>
      </c>
      <c r="D674" s="16" t="s">
        <v>3163</v>
      </c>
      <c r="E674" s="16" t="s">
        <v>3164</v>
      </c>
      <c r="F674" s="16" t="s">
        <v>3165</v>
      </c>
      <c r="G674" s="17">
        <v>34370</v>
      </c>
      <c r="H674" s="16" t="s">
        <v>3079</v>
      </c>
      <c r="I674" s="16">
        <v>174</v>
      </c>
      <c r="J674" s="16">
        <v>92</v>
      </c>
      <c r="K674" s="16">
        <v>2</v>
      </c>
      <c r="L674" s="16" t="s">
        <v>2990</v>
      </c>
    </row>
    <row r="675" spans="1:12" x14ac:dyDescent="0.4">
      <c r="A675" s="16" t="s">
        <v>312</v>
      </c>
      <c r="B675" s="16">
        <v>24</v>
      </c>
      <c r="C675" s="16" t="s">
        <v>691</v>
      </c>
      <c r="D675" s="16" t="s">
        <v>3166</v>
      </c>
      <c r="E675" s="16" t="s">
        <v>3167</v>
      </c>
      <c r="F675" s="16" t="s">
        <v>3168</v>
      </c>
      <c r="G675" s="17">
        <v>38090</v>
      </c>
      <c r="H675" s="16" t="s">
        <v>3169</v>
      </c>
      <c r="I675" s="16">
        <v>178</v>
      </c>
      <c r="J675" s="16">
        <v>4</v>
      </c>
      <c r="K675" s="16">
        <v>0</v>
      </c>
      <c r="L675" s="16" t="s">
        <v>3168</v>
      </c>
    </row>
    <row r="676" spans="1:12" x14ac:dyDescent="0.4">
      <c r="A676" s="16" t="s">
        <v>312</v>
      </c>
      <c r="B676" s="16">
        <v>25</v>
      </c>
      <c r="C676" s="16" t="s">
        <v>686</v>
      </c>
      <c r="D676" s="16" t="s">
        <v>3170</v>
      </c>
      <c r="E676" s="16" t="s">
        <v>3171</v>
      </c>
      <c r="F676" s="16" t="s">
        <v>3172</v>
      </c>
      <c r="G676" s="17">
        <v>33706</v>
      </c>
      <c r="H676" s="16" t="s">
        <v>3162</v>
      </c>
      <c r="I676" s="16">
        <v>185</v>
      </c>
      <c r="J676" s="16">
        <v>13</v>
      </c>
      <c r="K676" s="16">
        <v>1</v>
      </c>
      <c r="L676" s="16" t="s">
        <v>3172</v>
      </c>
    </row>
    <row r="677" spans="1:12" x14ac:dyDescent="0.4">
      <c r="A677" s="16" t="s">
        <v>312</v>
      </c>
      <c r="B677" s="16">
        <v>26</v>
      </c>
      <c r="C677" s="16" t="s">
        <v>669</v>
      </c>
      <c r="D677" s="16" t="s">
        <v>3173</v>
      </c>
      <c r="E677" s="16" t="s">
        <v>3174</v>
      </c>
      <c r="F677" s="16" t="s">
        <v>3175</v>
      </c>
      <c r="G677" s="17">
        <v>35686</v>
      </c>
      <c r="H677" s="16" t="s">
        <v>3091</v>
      </c>
      <c r="I677" s="16">
        <v>174</v>
      </c>
      <c r="J677" s="16">
        <v>1</v>
      </c>
      <c r="K677" s="16">
        <v>0</v>
      </c>
      <c r="L677" s="16" t="s">
        <v>3175</v>
      </c>
    </row>
    <row r="678" spans="1:12" x14ac:dyDescent="0.4">
      <c r="A678" s="16" t="s">
        <v>281</v>
      </c>
      <c r="B678" s="16">
        <v>1</v>
      </c>
      <c r="C678" s="16" t="s">
        <v>664</v>
      </c>
      <c r="D678" s="16" t="s">
        <v>3176</v>
      </c>
      <c r="E678" s="16" t="s">
        <v>3177</v>
      </c>
      <c r="F678" s="16" t="s">
        <v>3178</v>
      </c>
      <c r="G678" s="17">
        <v>33146</v>
      </c>
      <c r="H678" s="16" t="s">
        <v>3007</v>
      </c>
      <c r="I678" s="16">
        <v>187</v>
      </c>
      <c r="J678" s="16">
        <v>87</v>
      </c>
      <c r="K678" s="16">
        <v>0</v>
      </c>
      <c r="L678" s="16" t="s">
        <v>3179</v>
      </c>
    </row>
    <row r="679" spans="1:12" x14ac:dyDescent="0.4">
      <c r="A679" s="16" t="s">
        <v>281</v>
      </c>
      <c r="B679" s="16">
        <v>2</v>
      </c>
      <c r="C679" s="16" t="s">
        <v>669</v>
      </c>
      <c r="D679" s="16" t="s">
        <v>3180</v>
      </c>
      <c r="E679" s="16" t="s">
        <v>3181</v>
      </c>
      <c r="F679" s="16" t="s">
        <v>3182</v>
      </c>
      <c r="G679" s="17">
        <v>37424</v>
      </c>
      <c r="H679" s="16" t="s">
        <v>1946</v>
      </c>
      <c r="I679" s="16">
        <v>188</v>
      </c>
      <c r="J679" s="16">
        <v>8</v>
      </c>
      <c r="K679" s="16">
        <v>0</v>
      </c>
      <c r="L679" s="16" t="s">
        <v>3183</v>
      </c>
    </row>
    <row r="680" spans="1:12" x14ac:dyDescent="0.4">
      <c r="A680" s="16" t="s">
        <v>281</v>
      </c>
      <c r="B680" s="16">
        <v>3</v>
      </c>
      <c r="C680" s="16" t="s">
        <v>686</v>
      </c>
      <c r="D680" s="16" t="s">
        <v>3184</v>
      </c>
      <c r="E680" s="16" t="s">
        <v>3185</v>
      </c>
      <c r="F680" s="16" t="s">
        <v>3186</v>
      </c>
      <c r="G680" s="17">
        <v>36714</v>
      </c>
      <c r="H680" s="16" t="s">
        <v>3187</v>
      </c>
      <c r="I680" s="16">
        <v>184</v>
      </c>
      <c r="J680" s="16">
        <v>3</v>
      </c>
      <c r="K680" s="16">
        <v>0</v>
      </c>
      <c r="L680" s="16" t="s">
        <v>3183</v>
      </c>
    </row>
    <row r="681" spans="1:12" x14ac:dyDescent="0.4">
      <c r="A681" s="16" t="s">
        <v>281</v>
      </c>
      <c r="B681" s="16">
        <v>4</v>
      </c>
      <c r="C681" s="16" t="s">
        <v>669</v>
      </c>
      <c r="D681" s="16" t="s">
        <v>3188</v>
      </c>
      <c r="E681" s="16" t="s">
        <v>3189</v>
      </c>
      <c r="F681" s="16" t="s">
        <v>3190</v>
      </c>
      <c r="G681" s="17">
        <v>35384</v>
      </c>
      <c r="H681" s="16" t="s">
        <v>944</v>
      </c>
      <c r="I681" s="16">
        <v>190</v>
      </c>
      <c r="J681" s="16">
        <v>79</v>
      </c>
      <c r="K681" s="16">
        <v>4</v>
      </c>
      <c r="L681" s="16" t="s">
        <v>3179</v>
      </c>
    </row>
    <row r="682" spans="1:12" x14ac:dyDescent="0.4">
      <c r="A682" s="16" t="s">
        <v>281</v>
      </c>
      <c r="B682" s="16">
        <v>5</v>
      </c>
      <c r="C682" s="16" t="s">
        <v>669</v>
      </c>
      <c r="D682" s="16" t="s">
        <v>3191</v>
      </c>
      <c r="E682" s="16" t="s">
        <v>3192</v>
      </c>
      <c r="F682" s="16" t="s">
        <v>3193</v>
      </c>
      <c r="G682" s="17">
        <v>36786</v>
      </c>
      <c r="H682" s="16" t="s">
        <v>3066</v>
      </c>
      <c r="I682" s="16">
        <v>186</v>
      </c>
      <c r="J682" s="16">
        <v>7</v>
      </c>
      <c r="K682" s="16">
        <v>0</v>
      </c>
      <c r="L682" s="16" t="s">
        <v>3179</v>
      </c>
    </row>
    <row r="683" spans="1:12" x14ac:dyDescent="0.4">
      <c r="A683" s="16" t="s">
        <v>281</v>
      </c>
      <c r="B683" s="16">
        <v>6</v>
      </c>
      <c r="C683" s="16" t="s">
        <v>686</v>
      </c>
      <c r="D683" s="16" t="s">
        <v>3194</v>
      </c>
      <c r="E683" s="16" t="s">
        <v>3195</v>
      </c>
      <c r="F683" s="16" t="s">
        <v>3196</v>
      </c>
      <c r="G683" s="17">
        <v>35328</v>
      </c>
      <c r="H683" s="16" t="s">
        <v>711</v>
      </c>
      <c r="I683" s="16">
        <v>177</v>
      </c>
      <c r="J683" s="16">
        <v>73</v>
      </c>
      <c r="K683" s="16">
        <v>6</v>
      </c>
      <c r="L683" s="16" t="s">
        <v>3197</v>
      </c>
    </row>
    <row r="684" spans="1:12" x14ac:dyDescent="0.4">
      <c r="A684" s="16" t="s">
        <v>281</v>
      </c>
      <c r="B684" s="16">
        <v>7</v>
      </c>
      <c r="C684" s="16" t="s">
        <v>691</v>
      </c>
      <c r="D684" s="16" t="s">
        <v>3198</v>
      </c>
      <c r="E684" s="16" t="s">
        <v>3199</v>
      </c>
      <c r="F684" s="16" t="s">
        <v>3200</v>
      </c>
      <c r="G684" s="17">
        <v>33793</v>
      </c>
      <c r="H684" s="16" t="s">
        <v>1399</v>
      </c>
      <c r="I684" s="16">
        <v>183</v>
      </c>
      <c r="J684" s="16">
        <v>144</v>
      </c>
      <c r="K684" s="16">
        <v>56</v>
      </c>
      <c r="L684" s="16" t="s">
        <v>3201</v>
      </c>
    </row>
    <row r="685" spans="1:12" x14ac:dyDescent="0.4">
      <c r="A685" s="16" t="s">
        <v>281</v>
      </c>
      <c r="B685" s="16">
        <v>8</v>
      </c>
      <c r="C685" s="16" t="s">
        <v>686</v>
      </c>
      <c r="D685" s="16" t="s">
        <v>3202</v>
      </c>
      <c r="E685" s="16" t="s">
        <v>3203</v>
      </c>
      <c r="F685" s="16" t="s">
        <v>3204</v>
      </c>
      <c r="G685" s="17">
        <v>35506</v>
      </c>
      <c r="H685" s="16" t="s">
        <v>3205</v>
      </c>
      <c r="I685" s="16">
        <v>182</v>
      </c>
      <c r="J685" s="16">
        <v>27</v>
      </c>
      <c r="K685" s="16">
        <v>3</v>
      </c>
      <c r="L685" s="16" t="s">
        <v>3206</v>
      </c>
    </row>
    <row r="686" spans="1:12" x14ac:dyDescent="0.4">
      <c r="A686" s="16" t="s">
        <v>281</v>
      </c>
      <c r="B686" s="16">
        <v>9</v>
      </c>
      <c r="C686" s="16" t="s">
        <v>691</v>
      </c>
      <c r="D686" s="16" t="s">
        <v>3207</v>
      </c>
      <c r="E686" s="16" t="s">
        <v>3208</v>
      </c>
      <c r="F686" s="16" t="s">
        <v>3209</v>
      </c>
      <c r="G686" s="17">
        <v>35820</v>
      </c>
      <c r="H686" s="16" t="s">
        <v>1946</v>
      </c>
      <c r="I686" s="16">
        <v>188</v>
      </c>
      <c r="J686" s="16">
        <v>44</v>
      </c>
      <c r="K686" s="16">
        <v>12</v>
      </c>
      <c r="L686" s="16" t="s">
        <v>3210</v>
      </c>
    </row>
    <row r="687" spans="1:12" x14ac:dyDescent="0.4">
      <c r="A687" s="16" t="s">
        <v>281</v>
      </c>
      <c r="B687" s="16">
        <v>10</v>
      </c>
      <c r="C687" s="16" t="s">
        <v>686</v>
      </c>
      <c r="D687" s="16" t="s">
        <v>3211</v>
      </c>
      <c r="E687" s="16" t="s">
        <v>3212</v>
      </c>
      <c r="F687" s="16" t="s">
        <v>3213</v>
      </c>
      <c r="G687" s="17">
        <v>33826</v>
      </c>
      <c r="H687" s="16" t="s">
        <v>887</v>
      </c>
      <c r="I687" s="16">
        <v>180</v>
      </c>
      <c r="J687" s="16">
        <v>105</v>
      </c>
      <c r="K687" s="16">
        <v>15</v>
      </c>
      <c r="L687" s="16" t="s">
        <v>3183</v>
      </c>
    </row>
    <row r="688" spans="1:12" x14ac:dyDescent="0.4">
      <c r="A688" s="16" t="s">
        <v>281</v>
      </c>
      <c r="B688" s="16">
        <v>11</v>
      </c>
      <c r="C688" s="16" t="s">
        <v>686</v>
      </c>
      <c r="D688" s="16" t="s">
        <v>3214</v>
      </c>
      <c r="E688" s="16" t="s">
        <v>3215</v>
      </c>
      <c r="F688" s="16" t="s">
        <v>3216</v>
      </c>
      <c r="G688" s="17">
        <v>35090</v>
      </c>
      <c r="H688" s="16" t="s">
        <v>2068</v>
      </c>
      <c r="I688" s="16">
        <v>177</v>
      </c>
      <c r="J688" s="16">
        <v>79</v>
      </c>
      <c r="K688" s="16">
        <v>17</v>
      </c>
      <c r="L688" s="16" t="s">
        <v>3197</v>
      </c>
    </row>
    <row r="689" spans="1:12" x14ac:dyDescent="0.4">
      <c r="A689" s="16" t="s">
        <v>281</v>
      </c>
      <c r="B689" s="16">
        <v>12</v>
      </c>
      <c r="C689" s="16" t="s">
        <v>664</v>
      </c>
      <c r="D689" s="16" t="s">
        <v>3217</v>
      </c>
      <c r="E689" s="16" t="s">
        <v>3218</v>
      </c>
      <c r="F689" s="16" t="s">
        <v>3219</v>
      </c>
      <c r="G689" s="17">
        <v>35718</v>
      </c>
      <c r="H689" s="16" t="s">
        <v>3220</v>
      </c>
      <c r="I689" s="16">
        <v>196</v>
      </c>
      <c r="J689" s="16">
        <v>3</v>
      </c>
      <c r="K689" s="16">
        <v>0</v>
      </c>
      <c r="L689" s="16" t="s">
        <v>3221</v>
      </c>
    </row>
    <row r="690" spans="1:12" x14ac:dyDescent="0.4">
      <c r="A690" s="16" t="s">
        <v>281</v>
      </c>
      <c r="B690" s="16">
        <v>13</v>
      </c>
      <c r="C690" s="16" t="s">
        <v>669</v>
      </c>
      <c r="D690" s="16" t="s">
        <v>3222</v>
      </c>
      <c r="E690" s="16" t="s">
        <v>3223</v>
      </c>
      <c r="F690" s="16" t="s">
        <v>3224</v>
      </c>
      <c r="G690" s="17">
        <v>37465</v>
      </c>
      <c r="H690" s="16" t="s">
        <v>3225</v>
      </c>
      <c r="I690" s="16">
        <v>174</v>
      </c>
      <c r="J690" s="16">
        <v>15</v>
      </c>
      <c r="K690" s="16">
        <v>1</v>
      </c>
      <c r="L690" s="16" t="s">
        <v>3183</v>
      </c>
    </row>
    <row r="691" spans="1:12" x14ac:dyDescent="0.4">
      <c r="A691" s="16" t="s">
        <v>281</v>
      </c>
      <c r="B691" s="16">
        <v>14</v>
      </c>
      <c r="C691" s="16" t="s">
        <v>669</v>
      </c>
      <c r="D691" s="16" t="s">
        <v>3226</v>
      </c>
      <c r="E691" s="16" t="s">
        <v>3227</v>
      </c>
      <c r="F691" s="16" t="s">
        <v>3228</v>
      </c>
      <c r="G691" s="17">
        <v>37128</v>
      </c>
      <c r="H691" s="16" t="s">
        <v>3220</v>
      </c>
      <c r="I691" s="16">
        <v>190</v>
      </c>
      <c r="J691" s="16">
        <v>1</v>
      </c>
      <c r="K691" s="16">
        <v>0</v>
      </c>
      <c r="L691" s="16" t="s">
        <v>3210</v>
      </c>
    </row>
    <row r="692" spans="1:12" x14ac:dyDescent="0.4">
      <c r="A692" s="16" t="s">
        <v>281</v>
      </c>
      <c r="B692" s="16">
        <v>15</v>
      </c>
      <c r="C692" s="16" t="s">
        <v>669</v>
      </c>
      <c r="D692" s="16" t="s">
        <v>3229</v>
      </c>
      <c r="E692" s="16" t="s">
        <v>3230</v>
      </c>
      <c r="F692" s="16" t="s">
        <v>3231</v>
      </c>
      <c r="G692" s="17">
        <v>34912</v>
      </c>
      <c r="H692" s="16" t="s">
        <v>3232</v>
      </c>
      <c r="I692" s="16">
        <v>173</v>
      </c>
      <c r="J692" s="16">
        <v>35</v>
      </c>
      <c r="K692" s="16">
        <v>0</v>
      </c>
      <c r="L692" s="16" t="s">
        <v>3179</v>
      </c>
    </row>
    <row r="693" spans="1:12" x14ac:dyDescent="0.4">
      <c r="A693" s="16" t="s">
        <v>281</v>
      </c>
      <c r="B693" s="16">
        <v>16</v>
      </c>
      <c r="C693" s="16" t="s">
        <v>669</v>
      </c>
      <c r="D693" s="16" t="s">
        <v>3233</v>
      </c>
      <c r="E693" s="16" t="s">
        <v>3234</v>
      </c>
      <c r="F693" s="16" t="s">
        <v>3235</v>
      </c>
      <c r="G693" s="17">
        <v>34995</v>
      </c>
      <c r="H693" s="16" t="s">
        <v>3236</v>
      </c>
      <c r="I693" s="16">
        <v>183</v>
      </c>
      <c r="J693" s="16">
        <v>14</v>
      </c>
      <c r="K693" s="16">
        <v>1</v>
      </c>
      <c r="L693" s="16" t="s">
        <v>3237</v>
      </c>
    </row>
    <row r="694" spans="1:12" x14ac:dyDescent="0.4">
      <c r="A694" s="16" t="s">
        <v>281</v>
      </c>
      <c r="B694" s="16">
        <v>17</v>
      </c>
      <c r="C694" s="16" t="s">
        <v>686</v>
      </c>
      <c r="D694" s="16" t="s">
        <v>3238</v>
      </c>
      <c r="E694" s="16" t="s">
        <v>3239</v>
      </c>
      <c r="F694" s="16" t="s">
        <v>3240</v>
      </c>
      <c r="G694" s="17">
        <v>37854</v>
      </c>
      <c r="H694" s="16" t="s">
        <v>3241</v>
      </c>
      <c r="I694" s="16">
        <v>180</v>
      </c>
      <c r="J694" s="16">
        <v>13</v>
      </c>
      <c r="K694" s="16">
        <v>2</v>
      </c>
      <c r="L694" s="16" t="s">
        <v>3242</v>
      </c>
    </row>
    <row r="695" spans="1:12" x14ac:dyDescent="0.4">
      <c r="A695" s="16" t="s">
        <v>281</v>
      </c>
      <c r="B695" s="16">
        <v>18</v>
      </c>
      <c r="C695" s="16" t="s">
        <v>691</v>
      </c>
      <c r="D695" s="16" t="s">
        <v>3243</v>
      </c>
      <c r="E695" s="16" t="s">
        <v>3244</v>
      </c>
      <c r="F695" s="16" t="s">
        <v>3245</v>
      </c>
      <c r="G695" s="17">
        <v>36993</v>
      </c>
      <c r="H695" s="16" t="s">
        <v>1852</v>
      </c>
      <c r="I695" s="16">
        <v>183</v>
      </c>
      <c r="J695" s="16">
        <v>27</v>
      </c>
      <c r="K695" s="16">
        <v>6</v>
      </c>
      <c r="L695" s="16" t="s">
        <v>3246</v>
      </c>
    </row>
    <row r="696" spans="1:12" x14ac:dyDescent="0.4">
      <c r="A696" s="16" t="s">
        <v>281</v>
      </c>
      <c r="B696" s="16">
        <v>19</v>
      </c>
      <c r="C696" s="16" t="s">
        <v>686</v>
      </c>
      <c r="D696" s="16" t="s">
        <v>3247</v>
      </c>
      <c r="E696" s="16" t="s">
        <v>3248</v>
      </c>
      <c r="F696" s="16" t="s">
        <v>3249</v>
      </c>
      <c r="G696" s="17">
        <v>36941</v>
      </c>
      <c r="H696" s="16" t="s">
        <v>1165</v>
      </c>
      <c r="I696" s="16">
        <v>174</v>
      </c>
      <c r="J696" s="16">
        <v>47</v>
      </c>
      <c r="K696" s="16">
        <v>11</v>
      </c>
      <c r="L696" s="16" t="s">
        <v>3183</v>
      </c>
    </row>
    <row r="697" spans="1:12" x14ac:dyDescent="0.4">
      <c r="A697" s="16" t="s">
        <v>281</v>
      </c>
      <c r="B697" s="16">
        <v>20</v>
      </c>
      <c r="C697" s="16" t="s">
        <v>686</v>
      </c>
      <c r="D697" s="16" t="s">
        <v>3250</v>
      </c>
      <c r="E697" s="16" t="s">
        <v>3251</v>
      </c>
      <c r="F697" s="16" t="s">
        <v>3252</v>
      </c>
      <c r="G697" s="17">
        <v>37401</v>
      </c>
      <c r="H697" s="16" t="s">
        <v>1382</v>
      </c>
      <c r="I697" s="16">
        <v>179</v>
      </c>
      <c r="J697" s="16">
        <v>9</v>
      </c>
      <c r="K697" s="16">
        <v>0</v>
      </c>
      <c r="L697" s="16" t="s">
        <v>3253</v>
      </c>
    </row>
    <row r="698" spans="1:12" x14ac:dyDescent="0.4">
      <c r="A698" s="16" t="s">
        <v>281</v>
      </c>
      <c r="B698" s="16">
        <v>21</v>
      </c>
      <c r="C698" s="16" t="s">
        <v>664</v>
      </c>
      <c r="D698" s="16" t="s">
        <v>3254</v>
      </c>
      <c r="E698" s="16" t="s">
        <v>3255</v>
      </c>
      <c r="F698" s="16" t="s">
        <v>3256</v>
      </c>
      <c r="G698" s="17">
        <v>33506</v>
      </c>
      <c r="H698" s="16" t="s">
        <v>3257</v>
      </c>
      <c r="I698" s="16">
        <v>189</v>
      </c>
      <c r="J698" s="16">
        <v>48</v>
      </c>
      <c r="K698" s="16">
        <v>0</v>
      </c>
      <c r="L698" s="16" t="s">
        <v>3258</v>
      </c>
    </row>
    <row r="699" spans="1:12" x14ac:dyDescent="0.4">
      <c r="A699" s="16" t="s">
        <v>281</v>
      </c>
      <c r="B699" s="16">
        <v>22</v>
      </c>
      <c r="C699" s="16" t="s">
        <v>669</v>
      </c>
      <c r="D699" s="16" t="s">
        <v>3259</v>
      </c>
      <c r="E699" s="16" t="s">
        <v>3260</v>
      </c>
      <c r="F699" s="16" t="s">
        <v>3261</v>
      </c>
      <c r="G699" s="17">
        <v>36134</v>
      </c>
      <c r="H699" s="16" t="s">
        <v>894</v>
      </c>
      <c r="I699" s="16">
        <v>180</v>
      </c>
      <c r="J699" s="16">
        <v>34</v>
      </c>
      <c r="K699" s="16">
        <v>0</v>
      </c>
      <c r="L699" s="16" t="s">
        <v>3262</v>
      </c>
    </row>
    <row r="700" spans="1:12" x14ac:dyDescent="0.4">
      <c r="A700" s="16" t="s">
        <v>281</v>
      </c>
      <c r="B700" s="16">
        <v>23</v>
      </c>
      <c r="C700" s="16" t="s">
        <v>669</v>
      </c>
      <c r="D700" s="16" t="s">
        <v>3263</v>
      </c>
      <c r="E700" s="16" t="s">
        <v>3264</v>
      </c>
      <c r="F700" s="16" t="s">
        <v>3265</v>
      </c>
      <c r="G700" s="17">
        <v>37831</v>
      </c>
      <c r="H700" s="16" t="s">
        <v>1137</v>
      </c>
      <c r="I700" s="16">
        <v>178</v>
      </c>
      <c r="J700" s="16">
        <v>7</v>
      </c>
      <c r="K700" s="16">
        <v>0</v>
      </c>
      <c r="L700" s="16" t="s">
        <v>3266</v>
      </c>
    </row>
    <row r="701" spans="1:12" x14ac:dyDescent="0.4">
      <c r="A701" s="16" t="s">
        <v>281</v>
      </c>
      <c r="B701" s="16">
        <v>24</v>
      </c>
      <c r="C701" s="16" t="s">
        <v>686</v>
      </c>
      <c r="D701" s="16" t="s">
        <v>3267</v>
      </c>
      <c r="E701" s="16" t="s">
        <v>3268</v>
      </c>
      <c r="F701" s="16" t="s">
        <v>3269</v>
      </c>
      <c r="G701" s="17">
        <v>35485</v>
      </c>
      <c r="H701" s="16" t="s">
        <v>3220</v>
      </c>
      <c r="I701" s="16">
        <v>177</v>
      </c>
      <c r="J701" s="16">
        <v>22</v>
      </c>
      <c r="K701" s="16">
        <v>3</v>
      </c>
      <c r="L701" s="16" t="s">
        <v>3179</v>
      </c>
    </row>
    <row r="702" spans="1:12" x14ac:dyDescent="0.4">
      <c r="A702" s="16" t="s">
        <v>281</v>
      </c>
      <c r="B702" s="16">
        <v>25</v>
      </c>
      <c r="C702" s="16" t="s">
        <v>686</v>
      </c>
      <c r="D702" s="16" t="s">
        <v>3270</v>
      </c>
      <c r="E702" s="16" t="s">
        <v>3271</v>
      </c>
      <c r="F702" s="16" t="s">
        <v>3272</v>
      </c>
      <c r="G702" s="17">
        <v>37385</v>
      </c>
      <c r="H702" s="16" t="s">
        <v>848</v>
      </c>
      <c r="I702" s="16">
        <v>177</v>
      </c>
      <c r="J702" s="16">
        <v>9</v>
      </c>
      <c r="K702" s="16">
        <v>2</v>
      </c>
      <c r="L702" s="16" t="s">
        <v>3273</v>
      </c>
    </row>
    <row r="703" spans="1:12" x14ac:dyDescent="0.4">
      <c r="A703" s="16" t="s">
        <v>281</v>
      </c>
      <c r="B703" s="16">
        <v>26</v>
      </c>
      <c r="C703" s="16" t="s">
        <v>686</v>
      </c>
      <c r="D703" s="16" t="s">
        <v>3274</v>
      </c>
      <c r="E703" s="16" t="s">
        <v>3275</v>
      </c>
      <c r="F703" s="16" t="s">
        <v>3276</v>
      </c>
      <c r="G703" s="17">
        <v>35693</v>
      </c>
      <c r="H703" s="16" t="s">
        <v>3257</v>
      </c>
      <c r="I703" s="16">
        <v>175</v>
      </c>
      <c r="J703" s="16">
        <v>18</v>
      </c>
      <c r="K703" s="16">
        <v>4</v>
      </c>
      <c r="L703" s="16" t="s">
        <v>3183</v>
      </c>
    </row>
    <row r="704" spans="1:12" x14ac:dyDescent="0.4">
      <c r="A704" s="16" t="s">
        <v>280</v>
      </c>
      <c r="B704" s="16">
        <v>1</v>
      </c>
      <c r="C704" s="16" t="s">
        <v>664</v>
      </c>
      <c r="D704" s="16" t="s">
        <v>3277</v>
      </c>
      <c r="E704" s="16" t="s">
        <v>3278</v>
      </c>
      <c r="F704" s="16" t="s">
        <v>3279</v>
      </c>
      <c r="G704" s="17">
        <v>36581</v>
      </c>
      <c r="H704" s="16" t="s">
        <v>3280</v>
      </c>
      <c r="I704" s="16">
        <v>190</v>
      </c>
      <c r="J704" s="16">
        <v>14</v>
      </c>
      <c r="K704" s="16">
        <v>0</v>
      </c>
      <c r="L704" s="16" t="s">
        <v>3281</v>
      </c>
    </row>
    <row r="705" spans="1:12" x14ac:dyDescent="0.4">
      <c r="A705" s="16" t="s">
        <v>280</v>
      </c>
      <c r="B705" s="16">
        <v>2</v>
      </c>
      <c r="C705" s="16" t="s">
        <v>669</v>
      </c>
      <c r="D705" s="16" t="s">
        <v>3282</v>
      </c>
      <c r="E705" s="16" t="s">
        <v>3283</v>
      </c>
      <c r="F705" s="16" t="s">
        <v>3284</v>
      </c>
      <c r="G705" s="17">
        <v>35774</v>
      </c>
      <c r="H705" s="16" t="s">
        <v>2637</v>
      </c>
      <c r="I705" s="16">
        <v>176</v>
      </c>
      <c r="J705" s="16">
        <v>59</v>
      </c>
      <c r="K705" s="16">
        <v>3</v>
      </c>
      <c r="L705" s="16" t="s">
        <v>3285</v>
      </c>
    </row>
    <row r="706" spans="1:12" x14ac:dyDescent="0.4">
      <c r="A706" s="16" t="s">
        <v>280</v>
      </c>
      <c r="B706" s="16">
        <v>3</v>
      </c>
      <c r="C706" s="16" t="s">
        <v>669</v>
      </c>
      <c r="D706" s="16" t="s">
        <v>3286</v>
      </c>
      <c r="E706" s="16" t="s">
        <v>3287</v>
      </c>
      <c r="F706" s="16" t="s">
        <v>3288</v>
      </c>
      <c r="G706" s="17">
        <v>35485</v>
      </c>
      <c r="H706" s="16" t="s">
        <v>3289</v>
      </c>
      <c r="I706" s="16">
        <v>191</v>
      </c>
      <c r="J706" s="16">
        <v>67</v>
      </c>
      <c r="K706" s="16">
        <v>4</v>
      </c>
      <c r="L706" s="16" t="s">
        <v>3290</v>
      </c>
    </row>
    <row r="707" spans="1:12" x14ac:dyDescent="0.4">
      <c r="A707" s="16" t="s">
        <v>280</v>
      </c>
      <c r="B707" s="16">
        <v>4</v>
      </c>
      <c r="C707" s="16" t="s">
        <v>669</v>
      </c>
      <c r="D707" s="16" t="s">
        <v>3291</v>
      </c>
      <c r="E707" s="16" t="s">
        <v>3292</v>
      </c>
      <c r="F707" s="16" t="s">
        <v>3293</v>
      </c>
      <c r="G707" s="17">
        <v>35727</v>
      </c>
      <c r="H707" s="16" t="s">
        <v>1239</v>
      </c>
      <c r="I707" s="16">
        <v>180</v>
      </c>
      <c r="J707" s="16">
        <v>98</v>
      </c>
      <c r="K707" s="16">
        <v>7</v>
      </c>
      <c r="L707" s="16" t="s">
        <v>3294</v>
      </c>
    </row>
    <row r="708" spans="1:12" x14ac:dyDescent="0.4">
      <c r="A708" s="16" t="s">
        <v>280</v>
      </c>
      <c r="B708" s="16">
        <v>5</v>
      </c>
      <c r="C708" s="16" t="s">
        <v>669</v>
      </c>
      <c r="D708" s="16" t="s">
        <v>3295</v>
      </c>
      <c r="E708" s="16" t="s">
        <v>3296</v>
      </c>
      <c r="F708" s="16" t="s">
        <v>3297</v>
      </c>
      <c r="G708" s="17">
        <v>36090</v>
      </c>
      <c r="H708" s="16" t="s">
        <v>3298</v>
      </c>
      <c r="I708" s="16">
        <v>182</v>
      </c>
      <c r="J708" s="16">
        <v>46</v>
      </c>
      <c r="K708" s="16">
        <v>3</v>
      </c>
      <c r="L708" s="16" t="s">
        <v>3299</v>
      </c>
    </row>
    <row r="709" spans="1:12" x14ac:dyDescent="0.4">
      <c r="A709" s="16" t="s">
        <v>280</v>
      </c>
      <c r="B709" s="16">
        <v>6</v>
      </c>
      <c r="C709" s="16" t="s">
        <v>686</v>
      </c>
      <c r="D709" s="16" t="s">
        <v>3300</v>
      </c>
      <c r="E709" s="16" t="s">
        <v>3301</v>
      </c>
      <c r="F709" s="16" t="s">
        <v>3302</v>
      </c>
      <c r="G709" s="17">
        <v>36654</v>
      </c>
      <c r="H709" s="16" t="s">
        <v>1643</v>
      </c>
      <c r="I709" s="16">
        <v>172</v>
      </c>
      <c r="J709" s="16">
        <v>25</v>
      </c>
      <c r="K709" s="16">
        <v>0</v>
      </c>
      <c r="L709" s="16" t="s">
        <v>3303</v>
      </c>
    </row>
    <row r="710" spans="1:12" x14ac:dyDescent="0.4">
      <c r="A710" s="16" t="s">
        <v>280</v>
      </c>
      <c r="B710" s="16">
        <v>7</v>
      </c>
      <c r="C710" s="16" t="s">
        <v>686</v>
      </c>
      <c r="D710" s="16" t="s">
        <v>3304</v>
      </c>
      <c r="E710" s="16" t="s">
        <v>3305</v>
      </c>
      <c r="F710" s="16" t="s">
        <v>3306</v>
      </c>
      <c r="G710" s="17">
        <v>34855</v>
      </c>
      <c r="H710" s="16" t="s">
        <v>3280</v>
      </c>
      <c r="I710" s="16">
        <v>183</v>
      </c>
      <c r="J710" s="16">
        <v>63</v>
      </c>
      <c r="K710" s="16">
        <v>4</v>
      </c>
      <c r="L710" s="16" t="s">
        <v>3307</v>
      </c>
    </row>
    <row r="711" spans="1:12" x14ac:dyDescent="0.4">
      <c r="A711" s="16" t="s">
        <v>280</v>
      </c>
      <c r="B711" s="16">
        <v>8</v>
      </c>
      <c r="C711" s="16" t="s">
        <v>686</v>
      </c>
      <c r="D711" s="16" t="s">
        <v>3308</v>
      </c>
      <c r="E711" s="16" t="s">
        <v>3309</v>
      </c>
      <c r="F711" s="16" t="s">
        <v>3310</v>
      </c>
      <c r="G711" s="17">
        <v>35529</v>
      </c>
      <c r="H711" s="16" t="s">
        <v>1510</v>
      </c>
      <c r="I711" s="16">
        <v>175</v>
      </c>
      <c r="J711" s="16">
        <v>4</v>
      </c>
      <c r="K711" s="16">
        <v>0</v>
      </c>
      <c r="L711" s="16" t="s">
        <v>3311</v>
      </c>
    </row>
    <row r="712" spans="1:12" x14ac:dyDescent="0.4">
      <c r="A712" s="16" t="s">
        <v>280</v>
      </c>
      <c r="B712" s="16">
        <v>9</v>
      </c>
      <c r="C712" s="16" t="s">
        <v>691</v>
      </c>
      <c r="D712" s="16" t="s">
        <v>3312</v>
      </c>
      <c r="E712" s="16" t="s">
        <v>3313</v>
      </c>
      <c r="F712" s="16" t="s">
        <v>3314</v>
      </c>
      <c r="G712" s="17">
        <v>33363</v>
      </c>
      <c r="H712" s="16" t="s">
        <v>1041</v>
      </c>
      <c r="I712" s="16">
        <v>188</v>
      </c>
      <c r="J712" s="16">
        <v>124</v>
      </c>
      <c r="K712" s="16">
        <v>44</v>
      </c>
      <c r="L712" s="16" t="s">
        <v>3315</v>
      </c>
    </row>
    <row r="713" spans="1:12" x14ac:dyDescent="0.4">
      <c r="A713" s="16" t="s">
        <v>280</v>
      </c>
      <c r="B713" s="16">
        <v>10</v>
      </c>
      <c r="C713" s="16" t="s">
        <v>691</v>
      </c>
      <c r="D713" s="16" t="s">
        <v>3316</v>
      </c>
      <c r="E713" s="16" t="s">
        <v>3317</v>
      </c>
      <c r="F713" s="16" t="s">
        <v>3318</v>
      </c>
      <c r="G713" s="17">
        <v>35759</v>
      </c>
      <c r="H713" s="16" t="s">
        <v>3319</v>
      </c>
      <c r="I713" s="16">
        <v>175</v>
      </c>
      <c r="J713" s="16">
        <v>52</v>
      </c>
      <c r="K713" s="16">
        <v>7</v>
      </c>
      <c r="L713" s="16" t="s">
        <v>3320</v>
      </c>
    </row>
    <row r="714" spans="1:12" x14ac:dyDescent="0.4">
      <c r="A714" s="16" t="s">
        <v>280</v>
      </c>
      <c r="B714" s="16">
        <v>11</v>
      </c>
      <c r="C714" s="16" t="s">
        <v>691</v>
      </c>
      <c r="D714" s="16" t="s">
        <v>3321</v>
      </c>
      <c r="E714" s="16" t="s">
        <v>3322</v>
      </c>
      <c r="F714" s="16" t="s">
        <v>3323</v>
      </c>
      <c r="G714" s="17">
        <v>36999</v>
      </c>
      <c r="H714" s="16" t="s">
        <v>1023</v>
      </c>
      <c r="I714" s="16">
        <v>180</v>
      </c>
      <c r="J714" s="16">
        <v>47</v>
      </c>
      <c r="K714" s="16">
        <v>6</v>
      </c>
      <c r="L714" s="16" t="s">
        <v>3324</v>
      </c>
    </row>
    <row r="715" spans="1:12" x14ac:dyDescent="0.4">
      <c r="A715" s="16" t="s">
        <v>280</v>
      </c>
      <c r="B715" s="16">
        <v>12</v>
      </c>
      <c r="C715" s="16" t="s">
        <v>664</v>
      </c>
      <c r="D715" s="16" t="s">
        <v>3325</v>
      </c>
      <c r="E715" s="16" t="s">
        <v>3326</v>
      </c>
      <c r="F715" s="16" t="s">
        <v>3327</v>
      </c>
      <c r="G715" s="17">
        <v>35174</v>
      </c>
      <c r="H715" s="16" t="s">
        <v>3328</v>
      </c>
      <c r="I715" s="16">
        <v>185</v>
      </c>
      <c r="J715" s="16">
        <v>7</v>
      </c>
      <c r="K715" s="16">
        <v>0</v>
      </c>
      <c r="L715" s="16" t="s">
        <v>3329</v>
      </c>
    </row>
    <row r="716" spans="1:12" x14ac:dyDescent="0.4">
      <c r="A716" s="16" t="s">
        <v>280</v>
      </c>
      <c r="B716" s="16">
        <v>13</v>
      </c>
      <c r="C716" s="16" t="s">
        <v>664</v>
      </c>
      <c r="D716" s="16" t="s">
        <v>3330</v>
      </c>
      <c r="E716" s="16" t="s">
        <v>3331</v>
      </c>
      <c r="F716" s="16" t="s">
        <v>3332</v>
      </c>
      <c r="G716" s="17">
        <v>31241</v>
      </c>
      <c r="H716" s="16" t="s">
        <v>3333</v>
      </c>
      <c r="I716" s="16">
        <v>185</v>
      </c>
      <c r="J716" s="16">
        <v>152</v>
      </c>
      <c r="K716" s="16">
        <v>0</v>
      </c>
      <c r="L716" s="16" t="s">
        <v>3334</v>
      </c>
    </row>
    <row r="717" spans="1:12" x14ac:dyDescent="0.4">
      <c r="A717" s="16" t="s">
        <v>280</v>
      </c>
      <c r="B717" s="16">
        <v>14</v>
      </c>
      <c r="C717" s="16" t="s">
        <v>691</v>
      </c>
      <c r="D717" s="16" t="s">
        <v>3335</v>
      </c>
      <c r="E717" s="16" t="s">
        <v>3336</v>
      </c>
      <c r="F717" s="16" t="s">
        <v>3337</v>
      </c>
      <c r="G717" s="17">
        <v>37731</v>
      </c>
      <c r="H717" s="16" t="s">
        <v>3280</v>
      </c>
      <c r="I717" s="16">
        <v>182</v>
      </c>
      <c r="J717" s="16">
        <v>7</v>
      </c>
      <c r="K717" s="16">
        <v>1</v>
      </c>
      <c r="L717" s="16" t="s">
        <v>3338</v>
      </c>
    </row>
    <row r="718" spans="1:12" x14ac:dyDescent="0.4">
      <c r="A718" s="16" t="s">
        <v>280</v>
      </c>
      <c r="B718" s="16">
        <v>15</v>
      </c>
      <c r="C718" s="16" t="s">
        <v>669</v>
      </c>
      <c r="D718" s="16" t="s">
        <v>3339</v>
      </c>
      <c r="E718" s="16" t="s">
        <v>549</v>
      </c>
      <c r="F718" s="16" t="s">
        <v>3340</v>
      </c>
      <c r="G718" s="17">
        <v>36669</v>
      </c>
      <c r="H718" s="16" t="s">
        <v>3341</v>
      </c>
      <c r="I718" s="16">
        <v>181</v>
      </c>
      <c r="J718" s="16">
        <v>34</v>
      </c>
      <c r="K718" s="16">
        <v>2</v>
      </c>
      <c r="L718" s="16" t="s">
        <v>3342</v>
      </c>
    </row>
    <row r="719" spans="1:12" x14ac:dyDescent="0.4">
      <c r="A719" s="16" t="s">
        <v>280</v>
      </c>
      <c r="B719" s="16">
        <v>16</v>
      </c>
      <c r="C719" s="16" t="s">
        <v>691</v>
      </c>
      <c r="D719" s="16" t="s">
        <v>3343</v>
      </c>
      <c r="E719" s="16" t="s">
        <v>3344</v>
      </c>
      <c r="F719" s="16" t="s">
        <v>3345</v>
      </c>
      <c r="G719" s="17">
        <v>35513</v>
      </c>
      <c r="H719" s="16" t="s">
        <v>2621</v>
      </c>
      <c r="I719" s="16">
        <v>177</v>
      </c>
      <c r="J719" s="16">
        <v>22</v>
      </c>
      <c r="K719" s="16">
        <v>2</v>
      </c>
      <c r="L719" s="16" t="s">
        <v>3346</v>
      </c>
    </row>
    <row r="720" spans="1:12" x14ac:dyDescent="0.4">
      <c r="A720" s="16" t="s">
        <v>280</v>
      </c>
      <c r="B720" s="16">
        <v>17</v>
      </c>
      <c r="C720" s="16" t="s">
        <v>686</v>
      </c>
      <c r="D720" s="16" t="s">
        <v>3347</v>
      </c>
      <c r="E720" s="16" t="s">
        <v>3348</v>
      </c>
      <c r="F720" s="16" t="s">
        <v>3349</v>
      </c>
      <c r="G720" s="17">
        <v>35148</v>
      </c>
      <c r="H720" s="16" t="s">
        <v>3350</v>
      </c>
      <c r="I720" s="16">
        <v>169</v>
      </c>
      <c r="J720" s="16">
        <v>92</v>
      </c>
      <c r="K720" s="16">
        <v>12</v>
      </c>
      <c r="L720" s="16" t="s">
        <v>3351</v>
      </c>
    </row>
    <row r="721" spans="1:12" x14ac:dyDescent="0.4">
      <c r="A721" s="16" t="s">
        <v>280</v>
      </c>
      <c r="B721" s="16">
        <v>18</v>
      </c>
      <c r="C721" s="16" t="s">
        <v>686</v>
      </c>
      <c r="D721" s="16" t="s">
        <v>3352</v>
      </c>
      <c r="E721" s="16" t="s">
        <v>3353</v>
      </c>
      <c r="F721" s="16" t="s">
        <v>3354</v>
      </c>
      <c r="G721" s="17">
        <v>38569</v>
      </c>
      <c r="H721" s="16" t="s">
        <v>1475</v>
      </c>
      <c r="I721" s="16">
        <v>175</v>
      </c>
      <c r="J721" s="16">
        <v>6</v>
      </c>
      <c r="K721" s="16">
        <v>0</v>
      </c>
      <c r="L721" s="16" t="s">
        <v>3355</v>
      </c>
    </row>
    <row r="722" spans="1:12" x14ac:dyDescent="0.4">
      <c r="A722" s="16" t="s">
        <v>280</v>
      </c>
      <c r="B722" s="16">
        <v>19</v>
      </c>
      <c r="C722" s="16" t="s">
        <v>686</v>
      </c>
      <c r="D722" s="16" t="s">
        <v>3356</v>
      </c>
      <c r="E722" s="16" t="s">
        <v>3357</v>
      </c>
      <c r="F722" s="16" t="s">
        <v>3358</v>
      </c>
      <c r="G722" s="17">
        <v>39735</v>
      </c>
      <c r="H722" s="16" t="s">
        <v>2227</v>
      </c>
      <c r="I722" s="16">
        <v>175</v>
      </c>
      <c r="J722" s="16">
        <v>8</v>
      </c>
      <c r="K722" s="16">
        <v>0</v>
      </c>
      <c r="L722" s="16" t="s">
        <v>3359</v>
      </c>
    </row>
    <row r="723" spans="1:12" x14ac:dyDescent="0.4">
      <c r="A723" s="16" t="s">
        <v>280</v>
      </c>
      <c r="B723" s="16">
        <v>20</v>
      </c>
      <c r="C723" s="16" t="s">
        <v>669</v>
      </c>
      <c r="D723" s="16" t="s">
        <v>3360</v>
      </c>
      <c r="E723" s="16" t="s">
        <v>1897</v>
      </c>
      <c r="F723" s="16" t="s">
        <v>3361</v>
      </c>
      <c r="G723" s="17">
        <v>38119</v>
      </c>
      <c r="H723" s="16" t="s">
        <v>3362</v>
      </c>
      <c r="I723" s="16">
        <v>178</v>
      </c>
      <c r="J723" s="16">
        <v>10</v>
      </c>
      <c r="K723" s="16">
        <v>0</v>
      </c>
      <c r="L723" s="16" t="s">
        <v>3363</v>
      </c>
    </row>
    <row r="724" spans="1:12" x14ac:dyDescent="0.4">
      <c r="A724" s="16" t="s">
        <v>280</v>
      </c>
      <c r="B724" s="16">
        <v>21</v>
      </c>
      <c r="C724" s="16" t="s">
        <v>691</v>
      </c>
      <c r="D724" s="16" t="s">
        <v>3364</v>
      </c>
      <c r="E724" s="16" t="s">
        <v>3365</v>
      </c>
      <c r="F724" s="16" t="s">
        <v>3366</v>
      </c>
      <c r="G724" s="17">
        <v>36863</v>
      </c>
      <c r="H724" s="16" t="s">
        <v>1467</v>
      </c>
      <c r="I724" s="16">
        <v>171</v>
      </c>
      <c r="J724" s="16">
        <v>26</v>
      </c>
      <c r="K724" s="16">
        <v>3</v>
      </c>
      <c r="L724" s="16" t="s">
        <v>3367</v>
      </c>
    </row>
    <row r="725" spans="1:12" x14ac:dyDescent="0.4">
      <c r="A725" s="16" t="s">
        <v>280</v>
      </c>
      <c r="B725" s="16">
        <v>22</v>
      </c>
      <c r="C725" s="16" t="s">
        <v>691</v>
      </c>
      <c r="D725" s="16" t="s">
        <v>3368</v>
      </c>
      <c r="E725" s="16" t="s">
        <v>3369</v>
      </c>
      <c r="F725" s="16" t="s">
        <v>3370</v>
      </c>
      <c r="G725" s="17">
        <v>34773</v>
      </c>
      <c r="H725" s="16" t="s">
        <v>2185</v>
      </c>
      <c r="I725" s="16">
        <v>191</v>
      </c>
      <c r="J725" s="16">
        <v>12</v>
      </c>
      <c r="K725" s="16">
        <v>3</v>
      </c>
      <c r="L725" s="16" t="s">
        <v>3371</v>
      </c>
    </row>
    <row r="726" spans="1:12" x14ac:dyDescent="0.4">
      <c r="A726" s="16" t="s">
        <v>280</v>
      </c>
      <c r="B726" s="16">
        <v>23</v>
      </c>
      <c r="C726" s="16" t="s">
        <v>669</v>
      </c>
      <c r="D726" s="16" t="s">
        <v>3372</v>
      </c>
      <c r="E726" s="16" t="s">
        <v>3373</v>
      </c>
      <c r="F726" s="16" t="s">
        <v>3374</v>
      </c>
      <c r="G726" s="17">
        <v>34561</v>
      </c>
      <c r="H726" s="16" t="s">
        <v>3319</v>
      </c>
      <c r="I726" s="16">
        <v>174</v>
      </c>
      <c r="J726" s="16">
        <v>121</v>
      </c>
      <c r="K726" s="16">
        <v>3</v>
      </c>
      <c r="L726" s="16" t="s">
        <v>3375</v>
      </c>
    </row>
    <row r="727" spans="1:12" x14ac:dyDescent="0.4">
      <c r="A727" s="16" t="s">
        <v>280</v>
      </c>
      <c r="B727" s="16">
        <v>24</v>
      </c>
      <c r="C727" s="16" t="s">
        <v>686</v>
      </c>
      <c r="D727" s="16" t="s">
        <v>3376</v>
      </c>
      <c r="E727" s="16" t="s">
        <v>3377</v>
      </c>
      <c r="F727" s="16" t="s">
        <v>3378</v>
      </c>
      <c r="G727" s="17">
        <v>35079</v>
      </c>
      <c r="H727" s="16" t="s">
        <v>3379</v>
      </c>
      <c r="I727" s="16">
        <v>178</v>
      </c>
      <c r="J727" s="16">
        <v>45</v>
      </c>
      <c r="K727" s="16">
        <v>5</v>
      </c>
      <c r="L727" s="16" t="s">
        <v>3380</v>
      </c>
    </row>
    <row r="728" spans="1:12" x14ac:dyDescent="0.4">
      <c r="A728" s="16" t="s">
        <v>280</v>
      </c>
      <c r="B728" s="16">
        <v>25</v>
      </c>
      <c r="C728" s="16" t="s">
        <v>691</v>
      </c>
      <c r="D728" s="16" t="s">
        <v>3381</v>
      </c>
      <c r="E728" s="16" t="s">
        <v>1268</v>
      </c>
      <c r="F728" s="16" t="s">
        <v>3382</v>
      </c>
      <c r="G728" s="17">
        <v>36045</v>
      </c>
      <c r="H728" s="16" t="s">
        <v>3280</v>
      </c>
      <c r="I728" s="16">
        <v>176</v>
      </c>
      <c r="J728" s="16">
        <v>67</v>
      </c>
      <c r="K728" s="16">
        <v>5</v>
      </c>
      <c r="L728" s="16" t="s">
        <v>3383</v>
      </c>
    </row>
    <row r="729" spans="1:12" x14ac:dyDescent="0.4">
      <c r="A729" s="16" t="s">
        <v>280</v>
      </c>
      <c r="B729" s="16">
        <v>26</v>
      </c>
      <c r="C729" s="16" t="s">
        <v>686</v>
      </c>
      <c r="D729" s="16" t="s">
        <v>3384</v>
      </c>
      <c r="E729" s="16" t="s">
        <v>3385</v>
      </c>
      <c r="F729" s="16" t="s">
        <v>3386</v>
      </c>
      <c r="G729" s="17">
        <v>37789</v>
      </c>
      <c r="H729" s="16" t="s">
        <v>3280</v>
      </c>
      <c r="I729" s="16">
        <v>178</v>
      </c>
      <c r="J729" s="16">
        <v>7</v>
      </c>
      <c r="K729" s="16">
        <v>2</v>
      </c>
      <c r="L729" s="16" t="s">
        <v>3387</v>
      </c>
    </row>
    <row r="730" spans="1:12" x14ac:dyDescent="0.4">
      <c r="A730" s="16" t="s">
        <v>313</v>
      </c>
      <c r="B730" s="16">
        <v>1</v>
      </c>
      <c r="C730" s="16" t="s">
        <v>664</v>
      </c>
      <c r="D730" s="16" t="s">
        <v>3388</v>
      </c>
      <c r="E730" s="16" t="s">
        <v>3389</v>
      </c>
      <c r="F730" s="16" t="s">
        <v>3390</v>
      </c>
      <c r="G730" s="17">
        <v>33333</v>
      </c>
      <c r="H730" s="16" t="s">
        <v>2475</v>
      </c>
      <c r="I730" s="16">
        <v>192</v>
      </c>
      <c r="J730" s="16">
        <v>90</v>
      </c>
      <c r="K730" s="16">
        <v>0</v>
      </c>
      <c r="L730" s="16" t="s">
        <v>3391</v>
      </c>
    </row>
    <row r="731" spans="1:12" x14ac:dyDescent="0.4">
      <c r="A731" s="16" t="s">
        <v>313</v>
      </c>
      <c r="B731" s="16">
        <v>2</v>
      </c>
      <c r="C731" s="16" t="s">
        <v>669</v>
      </c>
      <c r="D731" s="16" t="s">
        <v>3392</v>
      </c>
      <c r="E731" s="16" t="s">
        <v>3393</v>
      </c>
      <c r="F731" s="16" t="s">
        <v>3394</v>
      </c>
      <c r="G731" s="17">
        <v>36103</v>
      </c>
      <c r="H731" s="16" t="s">
        <v>1165</v>
      </c>
      <c r="I731" s="16">
        <v>180</v>
      </c>
      <c r="J731" s="16">
        <v>96</v>
      </c>
      <c r="K731" s="16">
        <v>11</v>
      </c>
      <c r="L731" s="16" t="s">
        <v>3394</v>
      </c>
    </row>
    <row r="732" spans="1:12" x14ac:dyDescent="0.4">
      <c r="A732" s="16" t="s">
        <v>313</v>
      </c>
      <c r="B732" s="16">
        <v>3</v>
      </c>
      <c r="C732" s="16" t="s">
        <v>669</v>
      </c>
      <c r="D732" s="16" t="s">
        <v>3395</v>
      </c>
      <c r="E732" s="16" t="s">
        <v>3396</v>
      </c>
      <c r="F732" s="16" t="s">
        <v>3397</v>
      </c>
      <c r="G732" s="17">
        <v>35748</v>
      </c>
      <c r="H732" s="16" t="s">
        <v>1007</v>
      </c>
      <c r="I732" s="16">
        <v>183</v>
      </c>
      <c r="J732" s="16">
        <v>45</v>
      </c>
      <c r="K732" s="16">
        <v>2</v>
      </c>
      <c r="L732" s="16" t="s">
        <v>3397</v>
      </c>
    </row>
    <row r="733" spans="1:12" x14ac:dyDescent="0.4">
      <c r="A733" s="16" t="s">
        <v>313</v>
      </c>
      <c r="B733" s="16">
        <v>4</v>
      </c>
      <c r="C733" s="16" t="s">
        <v>686</v>
      </c>
      <c r="D733" s="16" t="s">
        <v>3398</v>
      </c>
      <c r="E733" s="16" t="s">
        <v>3399</v>
      </c>
      <c r="F733" s="16" t="s">
        <v>3400</v>
      </c>
      <c r="G733" s="17">
        <v>35298</v>
      </c>
      <c r="H733" s="16" t="s">
        <v>1510</v>
      </c>
      <c r="I733" s="16">
        <v>185</v>
      </c>
      <c r="J733" s="16">
        <v>75</v>
      </c>
      <c r="K733" s="16">
        <v>0</v>
      </c>
      <c r="L733" s="16" t="s">
        <v>3400</v>
      </c>
    </row>
    <row r="734" spans="1:12" x14ac:dyDescent="0.4">
      <c r="A734" s="16" t="s">
        <v>313</v>
      </c>
      <c r="B734" s="16">
        <v>5</v>
      </c>
      <c r="C734" s="16" t="s">
        <v>669</v>
      </c>
      <c r="D734" s="16" t="s">
        <v>3401</v>
      </c>
      <c r="E734" s="16" t="s">
        <v>3402</v>
      </c>
      <c r="F734" s="16" t="s">
        <v>3403</v>
      </c>
      <c r="G734" s="17">
        <v>33620</v>
      </c>
      <c r="H734" s="16" t="s">
        <v>3404</v>
      </c>
      <c r="I734" s="16">
        <v>185</v>
      </c>
      <c r="J734" s="16">
        <v>8</v>
      </c>
      <c r="K734" s="16">
        <v>0</v>
      </c>
      <c r="L734" s="16" t="s">
        <v>3403</v>
      </c>
    </row>
    <row r="735" spans="1:12" x14ac:dyDescent="0.4">
      <c r="A735" s="16" t="s">
        <v>313</v>
      </c>
      <c r="B735" s="16">
        <v>6</v>
      </c>
      <c r="C735" s="16" t="s">
        <v>686</v>
      </c>
      <c r="D735" s="16" t="s">
        <v>3405</v>
      </c>
      <c r="E735" s="16" t="s">
        <v>3406</v>
      </c>
      <c r="F735" s="16" t="s">
        <v>3407</v>
      </c>
      <c r="G735" s="17">
        <v>39357</v>
      </c>
      <c r="H735" s="16" t="s">
        <v>673</v>
      </c>
      <c r="I735" s="16">
        <v>185</v>
      </c>
      <c r="J735" s="16">
        <v>3</v>
      </c>
      <c r="K735" s="16">
        <v>0</v>
      </c>
      <c r="L735" s="16" t="s">
        <v>3407</v>
      </c>
    </row>
    <row r="736" spans="1:12" x14ac:dyDescent="0.4">
      <c r="A736" s="16" t="s">
        <v>313</v>
      </c>
      <c r="B736" s="16">
        <v>7</v>
      </c>
      <c r="C736" s="16" t="s">
        <v>686</v>
      </c>
      <c r="D736" s="16" t="s">
        <v>3408</v>
      </c>
      <c r="E736" s="16" t="s">
        <v>3409</v>
      </c>
      <c r="F736" s="16" t="s">
        <v>3410</v>
      </c>
      <c r="G736" s="17">
        <v>38481</v>
      </c>
      <c r="H736" s="16" t="s">
        <v>1735</v>
      </c>
      <c r="I736" s="16">
        <v>175</v>
      </c>
      <c r="J736" s="16">
        <v>5</v>
      </c>
      <c r="K736" s="16">
        <v>0</v>
      </c>
      <c r="L736" s="16" t="s">
        <v>3410</v>
      </c>
    </row>
    <row r="737" spans="1:12" x14ac:dyDescent="0.4">
      <c r="A737" s="16" t="s">
        <v>313</v>
      </c>
      <c r="B737" s="16">
        <v>8</v>
      </c>
      <c r="C737" s="16" t="s">
        <v>686</v>
      </c>
      <c r="D737" s="16" t="s">
        <v>3411</v>
      </c>
      <c r="E737" s="16" t="s">
        <v>3412</v>
      </c>
      <c r="F737" s="16" t="s">
        <v>3413</v>
      </c>
      <c r="G737" s="17">
        <v>36635</v>
      </c>
      <c r="H737" s="16" t="s">
        <v>985</v>
      </c>
      <c r="I737" s="16">
        <v>182</v>
      </c>
      <c r="J737" s="16">
        <v>49</v>
      </c>
      <c r="K737" s="16">
        <v>9</v>
      </c>
      <c r="L737" s="16" t="s">
        <v>3413</v>
      </c>
    </row>
    <row r="738" spans="1:12" x14ac:dyDescent="0.4">
      <c r="A738" s="16" t="s">
        <v>313</v>
      </c>
      <c r="B738" s="16">
        <v>9</v>
      </c>
      <c r="C738" s="16" t="s">
        <v>691</v>
      </c>
      <c r="D738" s="16" t="s">
        <v>3414</v>
      </c>
      <c r="E738" s="16" t="s">
        <v>3415</v>
      </c>
      <c r="F738" s="16" t="s">
        <v>3416</v>
      </c>
      <c r="G738" s="17">
        <v>35218</v>
      </c>
      <c r="H738" s="16" t="s">
        <v>2253</v>
      </c>
      <c r="I738" s="16">
        <v>180</v>
      </c>
      <c r="J738" s="16">
        <v>37</v>
      </c>
      <c r="K738" s="16">
        <v>12</v>
      </c>
      <c r="L738" s="16" t="s">
        <v>3416</v>
      </c>
    </row>
    <row r="739" spans="1:12" x14ac:dyDescent="0.4">
      <c r="A739" s="16" t="s">
        <v>313</v>
      </c>
      <c r="B739" s="16">
        <v>10</v>
      </c>
      <c r="C739" s="16" t="s">
        <v>691</v>
      </c>
      <c r="D739" s="16" t="s">
        <v>3417</v>
      </c>
      <c r="E739" s="16" t="s">
        <v>3418</v>
      </c>
      <c r="F739" s="16" t="s">
        <v>3419</v>
      </c>
      <c r="G739" s="17">
        <v>36375</v>
      </c>
      <c r="H739" s="16" t="s">
        <v>898</v>
      </c>
      <c r="I739" s="16">
        <v>170</v>
      </c>
      <c r="J739" s="16">
        <v>26</v>
      </c>
      <c r="K739" s="16">
        <v>14</v>
      </c>
      <c r="L739" s="16" t="s">
        <v>3420</v>
      </c>
    </row>
    <row r="740" spans="1:12" x14ac:dyDescent="0.4">
      <c r="A740" s="16" t="s">
        <v>313</v>
      </c>
      <c r="B740" s="16">
        <v>11</v>
      </c>
      <c r="C740" s="16" t="s">
        <v>686</v>
      </c>
      <c r="D740" s="16" t="s">
        <v>3421</v>
      </c>
      <c r="E740" s="16" t="s">
        <v>3422</v>
      </c>
      <c r="F740" s="16" t="s">
        <v>3423</v>
      </c>
      <c r="G740" s="17">
        <v>36919</v>
      </c>
      <c r="H740" s="16" t="s">
        <v>956</v>
      </c>
      <c r="I740" s="16">
        <v>185</v>
      </c>
      <c r="J740" s="16">
        <v>30</v>
      </c>
      <c r="K740" s="16">
        <v>9</v>
      </c>
      <c r="L740" s="16" t="s">
        <v>3423</v>
      </c>
    </row>
    <row r="741" spans="1:12" x14ac:dyDescent="0.4">
      <c r="A741" s="16" t="s">
        <v>313</v>
      </c>
      <c r="B741" s="16">
        <v>12</v>
      </c>
      <c r="C741" s="16" t="s">
        <v>664</v>
      </c>
      <c r="D741" s="16" t="s">
        <v>3424</v>
      </c>
      <c r="E741" s="16" t="s">
        <v>3425</v>
      </c>
      <c r="F741" s="16" t="s">
        <v>3426</v>
      </c>
      <c r="G741" s="17">
        <v>32638</v>
      </c>
      <c r="H741" s="16" t="s">
        <v>3427</v>
      </c>
      <c r="I741" s="16">
        <v>190</v>
      </c>
      <c r="J741" s="16">
        <v>52</v>
      </c>
      <c r="K741" s="16">
        <v>0</v>
      </c>
      <c r="L741" s="16" t="s">
        <v>3426</v>
      </c>
    </row>
    <row r="742" spans="1:12" x14ac:dyDescent="0.4">
      <c r="A742" s="16" t="s">
        <v>313</v>
      </c>
      <c r="B742" s="16">
        <v>13</v>
      </c>
      <c r="C742" s="16" t="s">
        <v>669</v>
      </c>
      <c r="D742" s="16" t="s">
        <v>3428</v>
      </c>
      <c r="E742" s="16" t="s">
        <v>3429</v>
      </c>
      <c r="F742" s="16" t="s">
        <v>3430</v>
      </c>
      <c r="G742" s="17">
        <v>37256</v>
      </c>
      <c r="H742" s="16" t="s">
        <v>1725</v>
      </c>
      <c r="I742" s="16">
        <v>171</v>
      </c>
      <c r="J742" s="16">
        <v>3</v>
      </c>
      <c r="K742" s="16">
        <v>0</v>
      </c>
      <c r="L742" s="16" t="s">
        <v>3430</v>
      </c>
    </row>
    <row r="743" spans="1:12" x14ac:dyDescent="0.4">
      <c r="A743" s="16" t="s">
        <v>313</v>
      </c>
      <c r="B743" s="16">
        <v>14</v>
      </c>
      <c r="C743" s="16" t="s">
        <v>669</v>
      </c>
      <c r="D743" s="16" t="s">
        <v>3431</v>
      </c>
      <c r="E743" s="16" t="s">
        <v>3432</v>
      </c>
      <c r="F743" s="16" t="s">
        <v>3433</v>
      </c>
      <c r="G743" s="17">
        <v>35439</v>
      </c>
      <c r="H743" s="16" t="s">
        <v>1041</v>
      </c>
      <c r="I743" s="16">
        <v>194</v>
      </c>
      <c r="J743" s="16">
        <v>4</v>
      </c>
      <c r="K743" s="16">
        <v>0</v>
      </c>
      <c r="L743" s="16" t="s">
        <v>3434</v>
      </c>
    </row>
    <row r="744" spans="1:12" x14ac:dyDescent="0.4">
      <c r="A744" s="16" t="s">
        <v>313</v>
      </c>
      <c r="B744" s="16">
        <v>15</v>
      </c>
      <c r="C744" s="16" t="s">
        <v>686</v>
      </c>
      <c r="D744" s="16" t="s">
        <v>3435</v>
      </c>
      <c r="E744" s="16" t="s">
        <v>3436</v>
      </c>
      <c r="F744" s="16" t="s">
        <v>3437</v>
      </c>
      <c r="G744" s="17">
        <v>38631</v>
      </c>
      <c r="H744" s="16" t="s">
        <v>1011</v>
      </c>
      <c r="I744" s="16">
        <v>187</v>
      </c>
      <c r="J744" s="16">
        <v>4</v>
      </c>
      <c r="K744" s="16">
        <v>0</v>
      </c>
      <c r="L744" s="16" t="s">
        <v>3437</v>
      </c>
    </row>
    <row r="745" spans="1:12" x14ac:dyDescent="0.4">
      <c r="A745" s="16" t="s">
        <v>313</v>
      </c>
      <c r="B745" s="16">
        <v>16</v>
      </c>
      <c r="C745" s="16" t="s">
        <v>686</v>
      </c>
      <c r="D745" s="16" t="s">
        <v>3438</v>
      </c>
      <c r="E745" s="16" t="s">
        <v>3439</v>
      </c>
      <c r="F745" s="16" t="s">
        <v>3440</v>
      </c>
      <c r="G745" s="17">
        <v>38678</v>
      </c>
      <c r="H745" s="16" t="s">
        <v>1011</v>
      </c>
      <c r="I745" s="16">
        <v>172</v>
      </c>
      <c r="J745" s="16">
        <v>4</v>
      </c>
      <c r="K745" s="16">
        <v>0</v>
      </c>
      <c r="L745" s="16" t="s">
        <v>3440</v>
      </c>
    </row>
    <row r="746" spans="1:12" x14ac:dyDescent="0.4">
      <c r="A746" s="16" t="s">
        <v>313</v>
      </c>
      <c r="B746" s="16">
        <v>17</v>
      </c>
      <c r="C746" s="16" t="s">
        <v>691</v>
      </c>
      <c r="D746" s="16" t="s">
        <v>3441</v>
      </c>
      <c r="E746" s="16" t="s">
        <v>679</v>
      </c>
      <c r="F746" s="16" t="s">
        <v>3442</v>
      </c>
      <c r="G746" s="17">
        <v>36835</v>
      </c>
      <c r="H746" s="16" t="s">
        <v>2679</v>
      </c>
      <c r="I746" s="16">
        <v>175</v>
      </c>
      <c r="J746" s="16">
        <v>2</v>
      </c>
      <c r="K746" s="16">
        <v>0</v>
      </c>
      <c r="L746" s="16" t="s">
        <v>3443</v>
      </c>
    </row>
    <row r="747" spans="1:12" x14ac:dyDescent="0.4">
      <c r="A747" s="16" t="s">
        <v>313</v>
      </c>
      <c r="B747" s="16">
        <v>18</v>
      </c>
      <c r="C747" s="16" t="s">
        <v>669</v>
      </c>
      <c r="D747" s="16" t="s">
        <v>3444</v>
      </c>
      <c r="E747" s="16" t="s">
        <v>3445</v>
      </c>
      <c r="F747" s="16" t="s">
        <v>3446</v>
      </c>
      <c r="G747" s="17">
        <v>37789</v>
      </c>
      <c r="H747" s="16" t="s">
        <v>1570</v>
      </c>
      <c r="I747" s="16">
        <v>186</v>
      </c>
      <c r="J747" s="16">
        <v>6</v>
      </c>
      <c r="K747" s="16">
        <v>1</v>
      </c>
      <c r="L747" s="16" t="s">
        <v>3446</v>
      </c>
    </row>
    <row r="748" spans="1:12" x14ac:dyDescent="0.4">
      <c r="A748" s="16" t="s">
        <v>313</v>
      </c>
      <c r="B748" s="16">
        <v>19</v>
      </c>
      <c r="C748" s="16" t="s">
        <v>669</v>
      </c>
      <c r="D748" s="16" t="s">
        <v>3447</v>
      </c>
      <c r="E748" s="16" t="s">
        <v>3448</v>
      </c>
      <c r="F748" s="16" t="s">
        <v>3449</v>
      </c>
      <c r="G748" s="17">
        <v>36058</v>
      </c>
      <c r="H748" s="16" t="s">
        <v>2235</v>
      </c>
      <c r="I748" s="16">
        <v>175</v>
      </c>
      <c r="J748" s="16">
        <v>18</v>
      </c>
      <c r="K748" s="16">
        <v>0</v>
      </c>
      <c r="L748" s="16" t="s">
        <v>3449</v>
      </c>
    </row>
    <row r="749" spans="1:12" x14ac:dyDescent="0.4">
      <c r="A749" s="16" t="s">
        <v>313</v>
      </c>
      <c r="B749" s="16">
        <v>20</v>
      </c>
      <c r="C749" s="16" t="s">
        <v>691</v>
      </c>
      <c r="D749" s="16" t="s">
        <v>3450</v>
      </c>
      <c r="E749" s="16" t="s">
        <v>3451</v>
      </c>
      <c r="F749" s="16" t="s">
        <v>3452</v>
      </c>
      <c r="G749" s="17">
        <v>34145</v>
      </c>
      <c r="H749" s="16" t="s">
        <v>2808</v>
      </c>
      <c r="I749" s="16">
        <v>182</v>
      </c>
      <c r="J749" s="16">
        <v>71</v>
      </c>
      <c r="K749" s="16">
        <v>35</v>
      </c>
      <c r="L749" s="16" t="s">
        <v>3452</v>
      </c>
    </row>
    <row r="750" spans="1:12" x14ac:dyDescent="0.4">
      <c r="A750" s="16" t="s">
        <v>313</v>
      </c>
      <c r="B750" s="16">
        <v>21</v>
      </c>
      <c r="C750" s="16" t="s">
        <v>691</v>
      </c>
      <c r="D750" s="16" t="s">
        <v>3453</v>
      </c>
      <c r="E750" s="16" t="s">
        <v>3454</v>
      </c>
      <c r="F750" s="16" t="s">
        <v>3455</v>
      </c>
      <c r="G750" s="17">
        <v>38321</v>
      </c>
      <c r="H750" s="16" t="s">
        <v>707</v>
      </c>
      <c r="I750" s="16">
        <v>179</v>
      </c>
      <c r="J750" s="16">
        <v>2</v>
      </c>
      <c r="K750" s="16">
        <v>0</v>
      </c>
      <c r="L750" s="16" t="s">
        <v>3455</v>
      </c>
    </row>
    <row r="751" spans="1:12" x14ac:dyDescent="0.4">
      <c r="A751" s="16" t="s">
        <v>313</v>
      </c>
      <c r="B751" s="16">
        <v>22</v>
      </c>
      <c r="C751" s="16" t="s">
        <v>664</v>
      </c>
      <c r="D751" s="16" t="s">
        <v>3456</v>
      </c>
      <c r="E751" s="16" t="s">
        <v>3457</v>
      </c>
      <c r="F751" s="16" t="s">
        <v>3458</v>
      </c>
      <c r="G751" s="17">
        <v>35160</v>
      </c>
      <c r="H751" s="16" t="s">
        <v>3459</v>
      </c>
      <c r="I751" s="16">
        <v>194</v>
      </c>
      <c r="J751" s="16">
        <v>3</v>
      </c>
      <c r="K751" s="16">
        <v>0</v>
      </c>
      <c r="L751" s="16" t="s">
        <v>3458</v>
      </c>
    </row>
    <row r="752" spans="1:12" x14ac:dyDescent="0.4">
      <c r="A752" s="16" t="s">
        <v>313</v>
      </c>
      <c r="B752" s="16">
        <v>23</v>
      </c>
      <c r="C752" s="16" t="s">
        <v>686</v>
      </c>
      <c r="D752" s="16" t="s">
        <v>3460</v>
      </c>
      <c r="E752" s="16" t="s">
        <v>3461</v>
      </c>
      <c r="F752" s="16" t="s">
        <v>3462</v>
      </c>
      <c r="G752" s="17">
        <v>38117</v>
      </c>
      <c r="H752" s="16" t="s">
        <v>1094</v>
      </c>
      <c r="I752" s="16">
        <v>180</v>
      </c>
      <c r="J752" s="16">
        <v>37</v>
      </c>
      <c r="K752" s="16">
        <v>3</v>
      </c>
      <c r="L752" s="16" t="s">
        <v>3462</v>
      </c>
    </row>
    <row r="753" spans="1:12" x14ac:dyDescent="0.4">
      <c r="A753" s="16" t="s">
        <v>313</v>
      </c>
      <c r="B753" s="16">
        <v>24</v>
      </c>
      <c r="C753" s="16" t="s">
        <v>686</v>
      </c>
      <c r="D753" s="16" t="s">
        <v>3463</v>
      </c>
      <c r="E753" s="16" t="s">
        <v>3464</v>
      </c>
      <c r="F753" s="16" t="s">
        <v>3465</v>
      </c>
      <c r="G753" s="17">
        <v>37074</v>
      </c>
      <c r="H753" s="16" t="s">
        <v>1856</v>
      </c>
      <c r="I753" s="16">
        <v>185</v>
      </c>
      <c r="J753" s="16">
        <v>16</v>
      </c>
      <c r="K753" s="16">
        <v>2</v>
      </c>
      <c r="L753" s="16" t="s">
        <v>3465</v>
      </c>
    </row>
    <row r="754" spans="1:12" x14ac:dyDescent="0.4">
      <c r="A754" s="16" t="s">
        <v>313</v>
      </c>
      <c r="B754" s="16">
        <v>25</v>
      </c>
      <c r="C754" s="16" t="s">
        <v>669</v>
      </c>
      <c r="D754" s="16" t="s">
        <v>3466</v>
      </c>
      <c r="E754" s="16" t="s">
        <v>3467</v>
      </c>
      <c r="F754" s="16" t="s">
        <v>3468</v>
      </c>
      <c r="G754" s="17">
        <v>37685</v>
      </c>
      <c r="H754" s="16" t="s">
        <v>3469</v>
      </c>
      <c r="I754" s="16">
        <v>189</v>
      </c>
      <c r="J754" s="16">
        <v>3</v>
      </c>
      <c r="K754" s="16">
        <v>0</v>
      </c>
      <c r="L754" s="16" t="s">
        <v>3468</v>
      </c>
    </row>
    <row r="755" spans="1:12" x14ac:dyDescent="0.4">
      <c r="A755" s="16" t="s">
        <v>313</v>
      </c>
      <c r="B755" s="16">
        <v>26</v>
      </c>
      <c r="C755" s="16" t="s">
        <v>669</v>
      </c>
      <c r="D755" s="16" t="s">
        <v>3470</v>
      </c>
      <c r="E755" s="16" t="s">
        <v>3471</v>
      </c>
      <c r="F755" s="16" t="s">
        <v>3472</v>
      </c>
      <c r="G755" s="17">
        <v>37274</v>
      </c>
      <c r="H755" s="16" t="s">
        <v>956</v>
      </c>
      <c r="I755" s="16">
        <v>181</v>
      </c>
      <c r="J755" s="16">
        <v>9</v>
      </c>
      <c r="K755" s="16">
        <v>0</v>
      </c>
      <c r="L755" s="16" t="s">
        <v>3473</v>
      </c>
    </row>
    <row r="756" spans="1:12" x14ac:dyDescent="0.4">
      <c r="A756" s="16" t="s">
        <v>288</v>
      </c>
      <c r="B756" s="16">
        <v>1</v>
      </c>
      <c r="C756" s="16" t="s">
        <v>664</v>
      </c>
      <c r="D756" s="16" t="s">
        <v>3474</v>
      </c>
      <c r="E756" s="16" t="s">
        <v>3475</v>
      </c>
      <c r="F756" s="16" t="s">
        <v>3476</v>
      </c>
      <c r="G756" s="17">
        <v>37486</v>
      </c>
      <c r="H756" s="16" t="s">
        <v>981</v>
      </c>
      <c r="I756" s="16">
        <v>193</v>
      </c>
      <c r="J756" s="16">
        <v>29</v>
      </c>
      <c r="K756" s="16">
        <v>0</v>
      </c>
      <c r="L756" s="16" t="s">
        <v>3476</v>
      </c>
    </row>
    <row r="757" spans="1:12" x14ac:dyDescent="0.4">
      <c r="A757" s="16" t="s">
        <v>288</v>
      </c>
      <c r="B757" s="16">
        <v>2</v>
      </c>
      <c r="C757" s="16" t="s">
        <v>669</v>
      </c>
      <c r="D757" s="16" t="s">
        <v>3477</v>
      </c>
      <c r="E757" s="16" t="s">
        <v>3478</v>
      </c>
      <c r="F757" s="16" t="s">
        <v>3479</v>
      </c>
      <c r="G757" s="17">
        <v>36725</v>
      </c>
      <c r="H757" s="16" t="s">
        <v>1735</v>
      </c>
      <c r="I757" s="16">
        <v>185</v>
      </c>
      <c r="J757" s="16">
        <v>21</v>
      </c>
      <c r="K757" s="16">
        <v>0</v>
      </c>
      <c r="L757" s="16" t="s">
        <v>3479</v>
      </c>
    </row>
    <row r="758" spans="1:12" x14ac:dyDescent="0.4">
      <c r="A758" s="16" t="s">
        <v>288</v>
      </c>
      <c r="B758" s="16">
        <v>3</v>
      </c>
      <c r="C758" s="16" t="s">
        <v>686</v>
      </c>
      <c r="D758" s="16" t="s">
        <v>3480</v>
      </c>
      <c r="E758" s="16" t="s">
        <v>3481</v>
      </c>
      <c r="F758" s="16" t="s">
        <v>3482</v>
      </c>
      <c r="G758" s="17">
        <v>33326</v>
      </c>
      <c r="H758" s="16" t="s">
        <v>1027</v>
      </c>
      <c r="I758" s="16">
        <v>186</v>
      </c>
      <c r="J758" s="16">
        <v>43</v>
      </c>
      <c r="K758" s="16">
        <v>1</v>
      </c>
      <c r="L758" s="16" t="s">
        <v>3482</v>
      </c>
    </row>
    <row r="759" spans="1:12" x14ac:dyDescent="0.4">
      <c r="A759" s="16" t="s">
        <v>288</v>
      </c>
      <c r="B759" s="16">
        <v>4</v>
      </c>
      <c r="C759" s="16" t="s">
        <v>669</v>
      </c>
      <c r="D759" s="16" t="s">
        <v>3483</v>
      </c>
      <c r="E759" s="16" t="s">
        <v>3484</v>
      </c>
      <c r="F759" s="16" t="s">
        <v>3485</v>
      </c>
      <c r="G759" s="17">
        <v>33427</v>
      </c>
      <c r="H759" s="16" t="s">
        <v>1153</v>
      </c>
      <c r="I759" s="16">
        <v>195</v>
      </c>
      <c r="J759" s="16">
        <v>92</v>
      </c>
      <c r="K759" s="16">
        <v>12</v>
      </c>
      <c r="L759" s="16" t="s">
        <v>3486</v>
      </c>
    </row>
    <row r="760" spans="1:12" x14ac:dyDescent="0.4">
      <c r="A760" s="16" t="s">
        <v>288</v>
      </c>
      <c r="B760" s="16">
        <v>5</v>
      </c>
      <c r="C760" s="16" t="s">
        <v>669</v>
      </c>
      <c r="D760" s="16" t="s">
        <v>3487</v>
      </c>
      <c r="E760" s="16" t="s">
        <v>3488</v>
      </c>
      <c r="F760" s="16" t="s">
        <v>3489</v>
      </c>
      <c r="G760" s="17">
        <v>34748</v>
      </c>
      <c r="H760" s="16" t="s">
        <v>727</v>
      </c>
      <c r="I760" s="16">
        <v>180</v>
      </c>
      <c r="J760" s="16">
        <v>59</v>
      </c>
      <c r="K760" s="16">
        <v>5</v>
      </c>
      <c r="L760" s="16" t="s">
        <v>3490</v>
      </c>
    </row>
    <row r="761" spans="1:12" x14ac:dyDescent="0.4">
      <c r="A761" s="16" t="s">
        <v>288</v>
      </c>
      <c r="B761" s="16">
        <v>6</v>
      </c>
      <c r="C761" s="16" t="s">
        <v>669</v>
      </c>
      <c r="D761" s="16" t="s">
        <v>3491</v>
      </c>
      <c r="E761" s="16" t="s">
        <v>3492</v>
      </c>
      <c r="F761" s="16" t="s">
        <v>3493</v>
      </c>
      <c r="G761" s="17">
        <v>36685</v>
      </c>
      <c r="H761" s="16" t="s">
        <v>981</v>
      </c>
      <c r="I761" s="16">
        <v>189</v>
      </c>
      <c r="J761" s="16">
        <v>12</v>
      </c>
      <c r="K761" s="16">
        <v>0</v>
      </c>
      <c r="L761" s="16" t="s">
        <v>3493</v>
      </c>
    </row>
    <row r="762" spans="1:12" x14ac:dyDescent="0.4">
      <c r="A762" s="16" t="s">
        <v>288</v>
      </c>
      <c r="B762" s="16">
        <v>7</v>
      </c>
      <c r="C762" s="16" t="s">
        <v>686</v>
      </c>
      <c r="D762" s="16" t="s">
        <v>3494</v>
      </c>
      <c r="E762" s="16" t="s">
        <v>3495</v>
      </c>
      <c r="F762" s="16" t="s">
        <v>3496</v>
      </c>
      <c r="G762" s="17">
        <v>36285</v>
      </c>
      <c r="H762" s="16" t="s">
        <v>1252</v>
      </c>
      <c r="I762" s="16">
        <v>173</v>
      </c>
      <c r="J762" s="16">
        <v>12</v>
      </c>
      <c r="K762" s="16">
        <v>0</v>
      </c>
      <c r="L762" s="16" t="s">
        <v>3496</v>
      </c>
    </row>
    <row r="763" spans="1:12" x14ac:dyDescent="0.4">
      <c r="A763" s="16" t="s">
        <v>288</v>
      </c>
      <c r="B763" s="16">
        <v>8</v>
      </c>
      <c r="C763" s="16" t="s">
        <v>686</v>
      </c>
      <c r="D763" s="16" t="s">
        <v>3497</v>
      </c>
      <c r="E763" s="16" t="s">
        <v>3498</v>
      </c>
      <c r="F763" s="16" t="s">
        <v>3499</v>
      </c>
      <c r="G763" s="17">
        <v>37392</v>
      </c>
      <c r="H763" s="16" t="s">
        <v>1153</v>
      </c>
      <c r="I763" s="16">
        <v>190</v>
      </c>
      <c r="J763" s="16">
        <v>27</v>
      </c>
      <c r="K763" s="16">
        <v>1</v>
      </c>
      <c r="L763" s="16" t="s">
        <v>3499</v>
      </c>
    </row>
    <row r="764" spans="1:12" x14ac:dyDescent="0.4">
      <c r="A764" s="16" t="s">
        <v>288</v>
      </c>
      <c r="B764" s="16">
        <v>9</v>
      </c>
      <c r="C764" s="16" t="s">
        <v>691</v>
      </c>
      <c r="D764" s="16" t="s">
        <v>3500</v>
      </c>
      <c r="E764" s="16" t="s">
        <v>3501</v>
      </c>
      <c r="F764" s="16" t="s">
        <v>3502</v>
      </c>
      <c r="G764" s="17">
        <v>33823</v>
      </c>
      <c r="H764" s="16" t="s">
        <v>1893</v>
      </c>
      <c r="I764" s="16">
        <v>197</v>
      </c>
      <c r="J764" s="16">
        <v>52</v>
      </c>
      <c r="K764" s="16">
        <v>14</v>
      </c>
      <c r="L764" s="16" t="s">
        <v>3502</v>
      </c>
    </row>
    <row r="765" spans="1:12" x14ac:dyDescent="0.4">
      <c r="A765" s="16" t="s">
        <v>288</v>
      </c>
      <c r="B765" s="16">
        <v>10</v>
      </c>
      <c r="C765" s="16" t="s">
        <v>691</v>
      </c>
      <c r="D765" s="16" t="s">
        <v>3503</v>
      </c>
      <c r="E765" s="16" t="s">
        <v>3504</v>
      </c>
      <c r="F765" s="16" t="s">
        <v>3505</v>
      </c>
      <c r="G765" s="17">
        <v>34378</v>
      </c>
      <c r="H765" s="16" t="s">
        <v>3506</v>
      </c>
      <c r="I765" s="16">
        <v>178</v>
      </c>
      <c r="J765" s="16">
        <v>109</v>
      </c>
      <c r="K765" s="16">
        <v>55</v>
      </c>
      <c r="L765" s="16" t="s">
        <v>3507</v>
      </c>
    </row>
    <row r="766" spans="1:12" x14ac:dyDescent="0.4">
      <c r="A766" s="16" t="s">
        <v>288</v>
      </c>
      <c r="B766" s="16">
        <v>11</v>
      </c>
      <c r="C766" s="16" t="s">
        <v>691</v>
      </c>
      <c r="D766" s="16" t="s">
        <v>3508</v>
      </c>
      <c r="E766" s="16" t="s">
        <v>3509</v>
      </c>
      <c r="F766" s="16" t="s">
        <v>3510</v>
      </c>
      <c r="G766" s="17">
        <v>36287</v>
      </c>
      <c r="H766" s="16" t="s">
        <v>1153</v>
      </c>
      <c r="I766" s="16">
        <v>193</v>
      </c>
      <c r="J766" s="16">
        <v>50</v>
      </c>
      <c r="K766" s="16">
        <v>21</v>
      </c>
      <c r="L766" s="16" t="s">
        <v>3510</v>
      </c>
    </row>
    <row r="767" spans="1:12" x14ac:dyDescent="0.4">
      <c r="A767" s="16" t="s">
        <v>288</v>
      </c>
      <c r="B767" s="16">
        <v>12</v>
      </c>
      <c r="C767" s="16" t="s">
        <v>669</v>
      </c>
      <c r="D767" s="16" t="s">
        <v>3511</v>
      </c>
      <c r="E767" s="16" t="s">
        <v>3512</v>
      </c>
      <c r="F767" s="16" t="s">
        <v>3513</v>
      </c>
      <c r="G767" s="17">
        <v>36480</v>
      </c>
      <c r="H767" s="16" t="s">
        <v>981</v>
      </c>
      <c r="I767" s="16">
        <v>189</v>
      </c>
      <c r="J767" s="16">
        <v>15</v>
      </c>
      <c r="K767" s="16">
        <v>1</v>
      </c>
      <c r="L767" s="16" t="s">
        <v>3513</v>
      </c>
    </row>
    <row r="768" spans="1:12" x14ac:dyDescent="0.4">
      <c r="A768" s="16" t="s">
        <v>288</v>
      </c>
      <c r="B768" s="16">
        <v>13</v>
      </c>
      <c r="C768" s="16" t="s">
        <v>664</v>
      </c>
      <c r="D768" s="16" t="s">
        <v>3514</v>
      </c>
      <c r="E768" s="16" t="s">
        <v>3515</v>
      </c>
      <c r="F768" s="16" t="s">
        <v>3516</v>
      </c>
      <c r="G768" s="17">
        <v>37638</v>
      </c>
      <c r="H768" s="16" t="s">
        <v>1735</v>
      </c>
      <c r="I768" s="16">
        <v>193</v>
      </c>
      <c r="J768" s="16">
        <v>1</v>
      </c>
      <c r="K768" s="16">
        <v>0</v>
      </c>
      <c r="L768" s="16" t="s">
        <v>3516</v>
      </c>
    </row>
    <row r="769" spans="1:12" x14ac:dyDescent="0.4">
      <c r="A769" s="16" t="s">
        <v>288</v>
      </c>
      <c r="B769" s="16">
        <v>14</v>
      </c>
      <c r="C769" s="16" t="s">
        <v>686</v>
      </c>
      <c r="D769" s="16" t="s">
        <v>3517</v>
      </c>
      <c r="E769" s="16" t="s">
        <v>3518</v>
      </c>
      <c r="F769" s="16" t="s">
        <v>3519</v>
      </c>
      <c r="G769" s="17">
        <v>36005</v>
      </c>
      <c r="H769" s="16" t="s">
        <v>727</v>
      </c>
      <c r="I769" s="16">
        <v>178</v>
      </c>
      <c r="J769" s="16">
        <v>32</v>
      </c>
      <c r="K769" s="16">
        <v>7</v>
      </c>
      <c r="L769" s="16" t="s">
        <v>3519</v>
      </c>
    </row>
    <row r="770" spans="1:12" x14ac:dyDescent="0.4">
      <c r="A770" s="16" t="s">
        <v>288</v>
      </c>
      <c r="B770" s="16">
        <v>15</v>
      </c>
      <c r="C770" s="16" t="s">
        <v>669</v>
      </c>
      <c r="D770" s="16" t="s">
        <v>3520</v>
      </c>
      <c r="E770" s="16" t="s">
        <v>3521</v>
      </c>
      <c r="F770" s="16" t="s">
        <v>3522</v>
      </c>
      <c r="G770" s="17">
        <v>37000</v>
      </c>
      <c r="H770" s="16" t="s">
        <v>879</v>
      </c>
      <c r="I770" s="16">
        <v>193</v>
      </c>
      <c r="J770" s="16">
        <v>21</v>
      </c>
      <c r="K770" s="16">
        <v>1</v>
      </c>
      <c r="L770" s="16" t="s">
        <v>3522</v>
      </c>
    </row>
    <row r="771" spans="1:12" x14ac:dyDescent="0.4">
      <c r="A771" s="16" t="s">
        <v>288</v>
      </c>
      <c r="B771" s="16">
        <v>16</v>
      </c>
      <c r="C771" s="16" t="s">
        <v>686</v>
      </c>
      <c r="D771" s="16" t="s">
        <v>3523</v>
      </c>
      <c r="E771" s="16" t="s">
        <v>3524</v>
      </c>
      <c r="F771" s="16" t="s">
        <v>3525</v>
      </c>
      <c r="G771" s="17">
        <v>35786</v>
      </c>
      <c r="H771" s="16" t="s">
        <v>956</v>
      </c>
      <c r="I771" s="16">
        <v>188</v>
      </c>
      <c r="J771" s="16">
        <v>7</v>
      </c>
      <c r="K771" s="16">
        <v>1</v>
      </c>
      <c r="L771" s="16" t="s">
        <v>3525</v>
      </c>
    </row>
    <row r="772" spans="1:12" x14ac:dyDescent="0.4">
      <c r="A772" s="16" t="s">
        <v>288</v>
      </c>
      <c r="B772" s="16">
        <v>17</v>
      </c>
      <c r="C772" s="16" t="s">
        <v>691</v>
      </c>
      <c r="D772" s="16" t="s">
        <v>3526</v>
      </c>
      <c r="E772" s="16" t="s">
        <v>3527</v>
      </c>
      <c r="F772" s="16" t="s">
        <v>3528</v>
      </c>
      <c r="G772" s="17">
        <v>36328</v>
      </c>
      <c r="H772" s="16" t="s">
        <v>1664</v>
      </c>
      <c r="I772" s="16">
        <v>176</v>
      </c>
      <c r="J772" s="16">
        <v>15</v>
      </c>
      <c r="K772" s="16">
        <v>3</v>
      </c>
      <c r="L772" s="16" t="s">
        <v>3528</v>
      </c>
    </row>
    <row r="773" spans="1:12" x14ac:dyDescent="0.4">
      <c r="A773" s="16" t="s">
        <v>288</v>
      </c>
      <c r="B773" s="16">
        <v>18</v>
      </c>
      <c r="C773" s="16" t="s">
        <v>691</v>
      </c>
      <c r="D773" s="16" t="s">
        <v>3529</v>
      </c>
      <c r="E773" s="16" t="s">
        <v>3530</v>
      </c>
      <c r="F773" s="16" t="s">
        <v>3531</v>
      </c>
      <c r="G773" s="17">
        <v>36179</v>
      </c>
      <c r="H773" s="16" t="s">
        <v>1856</v>
      </c>
      <c r="I773" s="16">
        <v>178</v>
      </c>
      <c r="J773" s="16">
        <v>53</v>
      </c>
      <c r="K773" s="16">
        <v>13</v>
      </c>
      <c r="L773" s="16" t="s">
        <v>3531</v>
      </c>
    </row>
    <row r="774" spans="1:12" x14ac:dyDescent="0.4">
      <c r="A774" s="16" t="s">
        <v>288</v>
      </c>
      <c r="B774" s="16">
        <v>19</v>
      </c>
      <c r="C774" s="16" t="s">
        <v>691</v>
      </c>
      <c r="D774" s="16" t="s">
        <v>3532</v>
      </c>
      <c r="E774" s="16" t="s">
        <v>3533</v>
      </c>
      <c r="F774" s="16" t="s">
        <v>3534</v>
      </c>
      <c r="G774" s="17">
        <v>37288</v>
      </c>
      <c r="H774" s="16" t="s">
        <v>1735</v>
      </c>
      <c r="I774" s="16">
        <v>181</v>
      </c>
      <c r="J774" s="16">
        <v>12</v>
      </c>
      <c r="K774" s="16">
        <v>1</v>
      </c>
      <c r="L774" s="16" t="s">
        <v>3534</v>
      </c>
    </row>
    <row r="775" spans="1:12" x14ac:dyDescent="0.4">
      <c r="A775" s="16" t="s">
        <v>288</v>
      </c>
      <c r="B775" s="16">
        <v>20</v>
      </c>
      <c r="C775" s="16" t="s">
        <v>686</v>
      </c>
      <c r="D775" s="16" t="s">
        <v>3535</v>
      </c>
      <c r="E775" s="16" t="s">
        <v>3536</v>
      </c>
      <c r="F775" s="16" t="s">
        <v>3537</v>
      </c>
      <c r="G775" s="17">
        <v>35854</v>
      </c>
      <c r="H775" s="16" t="s">
        <v>1204</v>
      </c>
      <c r="I775" s="16">
        <v>185</v>
      </c>
      <c r="J775" s="16">
        <v>28</v>
      </c>
      <c r="K775" s="16">
        <v>3</v>
      </c>
      <c r="L775" s="16" t="s">
        <v>3537</v>
      </c>
    </row>
    <row r="776" spans="1:12" x14ac:dyDescent="0.4">
      <c r="A776" s="16" t="s">
        <v>288</v>
      </c>
      <c r="B776" s="16">
        <v>21</v>
      </c>
      <c r="C776" s="16" t="s">
        <v>686</v>
      </c>
      <c r="D776" s="16" t="s">
        <v>3538</v>
      </c>
      <c r="E776" s="16" t="s">
        <v>3539</v>
      </c>
      <c r="F776" s="16" t="s">
        <v>3540</v>
      </c>
      <c r="G776" s="17">
        <v>35562</v>
      </c>
      <c r="H776" s="16" t="s">
        <v>1193</v>
      </c>
      <c r="I776" s="16">
        <v>181</v>
      </c>
      <c r="J776" s="16">
        <v>66</v>
      </c>
      <c r="K776" s="16">
        <v>2</v>
      </c>
      <c r="L776" s="16" t="s">
        <v>3541</v>
      </c>
    </row>
    <row r="777" spans="1:12" x14ac:dyDescent="0.4">
      <c r="A777" s="16" t="s">
        <v>288</v>
      </c>
      <c r="B777" s="16">
        <v>22</v>
      </c>
      <c r="C777" s="16" t="s">
        <v>669</v>
      </c>
      <c r="D777" s="16" t="s">
        <v>3542</v>
      </c>
      <c r="E777" s="16" t="s">
        <v>3543</v>
      </c>
      <c r="F777" s="16" t="s">
        <v>3544</v>
      </c>
      <c r="G777" s="17">
        <v>35173</v>
      </c>
      <c r="H777" s="16" t="s">
        <v>1547</v>
      </c>
      <c r="I777" s="16">
        <v>188</v>
      </c>
      <c r="J777" s="16">
        <v>72</v>
      </c>
      <c r="K777" s="16">
        <v>11</v>
      </c>
      <c r="L777" s="16" t="s">
        <v>3544</v>
      </c>
    </row>
    <row r="778" spans="1:12" x14ac:dyDescent="0.4">
      <c r="A778" s="16" t="s">
        <v>288</v>
      </c>
      <c r="B778" s="16">
        <v>23</v>
      </c>
      <c r="C778" s="16" t="s">
        <v>664</v>
      </c>
      <c r="D778" s="16" t="s">
        <v>3545</v>
      </c>
      <c r="E778" s="16" t="s">
        <v>3546</v>
      </c>
      <c r="F778" s="16" t="s">
        <v>3547</v>
      </c>
      <c r="G778" s="17">
        <v>34133</v>
      </c>
      <c r="H778" s="16" t="s">
        <v>753</v>
      </c>
      <c r="I778" s="16">
        <v>195</v>
      </c>
      <c r="J778" s="16">
        <v>12</v>
      </c>
      <c r="K778" s="16">
        <v>0</v>
      </c>
      <c r="L778" s="16" t="s">
        <v>3547</v>
      </c>
    </row>
    <row r="779" spans="1:12" x14ac:dyDescent="0.4">
      <c r="A779" s="16" t="s">
        <v>288</v>
      </c>
      <c r="B779" s="16">
        <v>24</v>
      </c>
      <c r="C779" s="16" t="s">
        <v>691</v>
      </c>
      <c r="D779" s="16" t="s">
        <v>3548</v>
      </c>
      <c r="E779" s="16" t="s">
        <v>3549</v>
      </c>
      <c r="F779" s="16" t="s">
        <v>3550</v>
      </c>
      <c r="G779" s="17">
        <v>37194</v>
      </c>
      <c r="H779" s="16" t="s">
        <v>1687</v>
      </c>
      <c r="I779" s="16">
        <v>172</v>
      </c>
      <c r="J779" s="16">
        <v>2</v>
      </c>
      <c r="K779" s="16">
        <v>0</v>
      </c>
      <c r="L779" s="16" t="s">
        <v>3550</v>
      </c>
    </row>
    <row r="780" spans="1:12" x14ac:dyDescent="0.4">
      <c r="A780" s="16" t="s">
        <v>288</v>
      </c>
      <c r="B780" s="16">
        <v>25</v>
      </c>
      <c r="C780" s="16" t="s">
        <v>669</v>
      </c>
      <c r="D780" s="16" t="s">
        <v>3551</v>
      </c>
      <c r="E780" s="16" t="s">
        <v>3552</v>
      </c>
      <c r="F780" s="16" t="s">
        <v>3553</v>
      </c>
      <c r="G780" s="17">
        <v>38783</v>
      </c>
      <c r="H780" s="16" t="s">
        <v>1554</v>
      </c>
      <c r="I780" s="16">
        <v>182</v>
      </c>
      <c r="J780" s="16">
        <v>8</v>
      </c>
      <c r="K780" s="16">
        <v>0</v>
      </c>
      <c r="L780" s="16" t="s">
        <v>3553</v>
      </c>
    </row>
    <row r="781" spans="1:12" x14ac:dyDescent="0.4">
      <c r="A781" s="16" t="s">
        <v>288</v>
      </c>
      <c r="B781" s="16">
        <v>26</v>
      </c>
      <c r="C781" s="16" t="s">
        <v>686</v>
      </c>
      <c r="D781" s="16" t="s">
        <v>3554</v>
      </c>
      <c r="E781" s="16" t="s">
        <v>3555</v>
      </c>
      <c r="F781" s="16" t="s">
        <v>3556</v>
      </c>
      <c r="G781" s="17">
        <v>37059</v>
      </c>
      <c r="H781" s="16" t="s">
        <v>703</v>
      </c>
      <c r="I781" s="16">
        <v>176</v>
      </c>
      <c r="J781" s="16">
        <v>11</v>
      </c>
      <c r="K781" s="16">
        <v>1</v>
      </c>
      <c r="L781" s="16" t="s">
        <v>3557</v>
      </c>
    </row>
    <row r="782" spans="1:12" x14ac:dyDescent="0.4">
      <c r="A782" s="16" t="s">
        <v>310</v>
      </c>
      <c r="B782" s="16">
        <v>1</v>
      </c>
      <c r="C782" s="16" t="s">
        <v>664</v>
      </c>
      <c r="D782" s="16" t="s">
        <v>3558</v>
      </c>
      <c r="E782" s="16" t="s">
        <v>3559</v>
      </c>
      <c r="F782" s="16" t="s">
        <v>3560</v>
      </c>
      <c r="G782" s="17">
        <v>34193</v>
      </c>
      <c r="H782" s="16" t="s">
        <v>3561</v>
      </c>
      <c r="I782" s="16">
        <v>190</v>
      </c>
      <c r="J782" s="16">
        <v>24</v>
      </c>
      <c r="K782" s="16">
        <v>0</v>
      </c>
      <c r="L782" s="16" t="s">
        <v>3560</v>
      </c>
    </row>
    <row r="783" spans="1:12" x14ac:dyDescent="0.4">
      <c r="A783" s="16" t="s">
        <v>310</v>
      </c>
      <c r="B783" s="16">
        <v>2</v>
      </c>
      <c r="C783" s="16" t="s">
        <v>669</v>
      </c>
      <c r="D783" s="16" t="s">
        <v>3562</v>
      </c>
      <c r="E783" s="16" t="s">
        <v>3563</v>
      </c>
      <c r="F783" s="16" t="s">
        <v>3564</v>
      </c>
      <c r="G783" s="17">
        <v>34344</v>
      </c>
      <c r="H783" s="16" t="s">
        <v>3565</v>
      </c>
      <c r="I783" s="16">
        <v>179</v>
      </c>
      <c r="J783" s="16">
        <v>51</v>
      </c>
      <c r="K783" s="16">
        <v>3</v>
      </c>
      <c r="L783" s="16" t="s">
        <v>3564</v>
      </c>
    </row>
    <row r="784" spans="1:12" x14ac:dyDescent="0.4">
      <c r="A784" s="16" t="s">
        <v>310</v>
      </c>
      <c r="B784" s="16">
        <v>3</v>
      </c>
      <c r="C784" s="16" t="s">
        <v>669</v>
      </c>
      <c r="D784" s="16" t="s">
        <v>3566</v>
      </c>
      <c r="E784" s="16" t="s">
        <v>3567</v>
      </c>
      <c r="F784" s="16" t="s">
        <v>3568</v>
      </c>
      <c r="G784" s="17">
        <v>34666</v>
      </c>
      <c r="H784" s="16" t="s">
        <v>3569</v>
      </c>
      <c r="I784" s="16">
        <v>181</v>
      </c>
      <c r="J784" s="16">
        <v>20</v>
      </c>
      <c r="K784" s="16">
        <v>1</v>
      </c>
      <c r="L784" s="16" t="s">
        <v>3568</v>
      </c>
    </row>
    <row r="785" spans="1:12" x14ac:dyDescent="0.4">
      <c r="A785" s="16" t="s">
        <v>310</v>
      </c>
      <c r="B785" s="16">
        <v>4</v>
      </c>
      <c r="C785" s="16" t="s">
        <v>669</v>
      </c>
      <c r="D785" s="16" t="s">
        <v>3570</v>
      </c>
      <c r="E785" s="16" t="s">
        <v>3571</v>
      </c>
      <c r="F785" s="16" t="s">
        <v>3572</v>
      </c>
      <c r="G785" s="17">
        <v>38379</v>
      </c>
      <c r="H785" s="16" t="s">
        <v>2027</v>
      </c>
      <c r="I785" s="16">
        <v>190</v>
      </c>
      <c r="J785" s="16">
        <v>25</v>
      </c>
      <c r="K785" s="16">
        <v>3</v>
      </c>
      <c r="L785" s="16" t="s">
        <v>3572</v>
      </c>
    </row>
    <row r="786" spans="1:12" x14ac:dyDescent="0.4">
      <c r="A786" s="16" t="s">
        <v>310</v>
      </c>
      <c r="B786" s="16">
        <v>5</v>
      </c>
      <c r="C786" s="16" t="s">
        <v>669</v>
      </c>
      <c r="D786" s="16" t="s">
        <v>3573</v>
      </c>
      <c r="E786" s="16" t="s">
        <v>3574</v>
      </c>
      <c r="F786" s="16" t="s">
        <v>3575</v>
      </c>
      <c r="G786" s="17">
        <v>32373</v>
      </c>
      <c r="H786" s="16" t="s">
        <v>1605</v>
      </c>
      <c r="I786" s="16">
        <v>191</v>
      </c>
      <c r="J786" s="16">
        <v>63</v>
      </c>
      <c r="K786" s="16">
        <v>1</v>
      </c>
      <c r="L786" s="16" t="s">
        <v>3575</v>
      </c>
    </row>
    <row r="787" spans="1:12" x14ac:dyDescent="0.4">
      <c r="A787" s="16" t="s">
        <v>310</v>
      </c>
      <c r="B787" s="16">
        <v>6</v>
      </c>
      <c r="C787" s="16" t="s">
        <v>686</v>
      </c>
      <c r="D787" s="16" t="s">
        <v>3576</v>
      </c>
      <c r="E787" s="16" t="s">
        <v>3577</v>
      </c>
      <c r="F787" s="16" t="s">
        <v>3578</v>
      </c>
      <c r="G787" s="17">
        <v>36277</v>
      </c>
      <c r="H787" s="16" t="s">
        <v>3579</v>
      </c>
      <c r="I787" s="16">
        <v>182</v>
      </c>
      <c r="J787" s="16">
        <v>32</v>
      </c>
      <c r="K787" s="16">
        <v>1</v>
      </c>
      <c r="L787" s="16" t="s">
        <v>3578</v>
      </c>
    </row>
    <row r="788" spans="1:12" x14ac:dyDescent="0.4">
      <c r="A788" s="16" t="s">
        <v>310</v>
      </c>
      <c r="B788" s="16">
        <v>7</v>
      </c>
      <c r="C788" s="16" t="s">
        <v>691</v>
      </c>
      <c r="D788" s="16" t="s">
        <v>3580</v>
      </c>
      <c r="E788" s="16" t="s">
        <v>3581</v>
      </c>
      <c r="F788" s="16" t="s">
        <v>3582</v>
      </c>
      <c r="G788" s="17">
        <v>35943</v>
      </c>
      <c r="H788" s="16" t="s">
        <v>3569</v>
      </c>
      <c r="I788" s="16">
        <v>182</v>
      </c>
      <c r="J788" s="16">
        <v>18</v>
      </c>
      <c r="K788" s="16">
        <v>2</v>
      </c>
      <c r="L788" s="16" t="s">
        <v>3582</v>
      </c>
    </row>
    <row r="789" spans="1:12" x14ac:dyDescent="0.4">
      <c r="A789" s="16" t="s">
        <v>310</v>
      </c>
      <c r="B789" s="16">
        <v>8</v>
      </c>
      <c r="C789" s="16" t="s">
        <v>686</v>
      </c>
      <c r="D789" s="16" t="s">
        <v>3583</v>
      </c>
      <c r="E789" s="16" t="s">
        <v>3584</v>
      </c>
      <c r="F789" s="16" t="s">
        <v>3585</v>
      </c>
      <c r="G789" s="17">
        <v>37306</v>
      </c>
      <c r="H789" s="16" t="s">
        <v>848</v>
      </c>
      <c r="I789" s="16">
        <v>188</v>
      </c>
      <c r="J789" s="16">
        <v>39</v>
      </c>
      <c r="K789" s="16">
        <v>3</v>
      </c>
      <c r="L789" s="16" t="s">
        <v>3585</v>
      </c>
    </row>
    <row r="790" spans="1:12" x14ac:dyDescent="0.4">
      <c r="A790" s="16" t="s">
        <v>310</v>
      </c>
      <c r="B790" s="16">
        <v>9</v>
      </c>
      <c r="C790" s="16" t="s">
        <v>691</v>
      </c>
      <c r="D790" s="16" t="s">
        <v>3586</v>
      </c>
      <c r="E790" s="16" t="s">
        <v>3587</v>
      </c>
      <c r="F790" s="16" t="s">
        <v>3588</v>
      </c>
      <c r="G790" s="17">
        <v>33579</v>
      </c>
      <c r="H790" s="16" t="s">
        <v>1846</v>
      </c>
      <c r="I790" s="16">
        <v>191</v>
      </c>
      <c r="J790" s="16">
        <v>90</v>
      </c>
      <c r="K790" s="16">
        <v>45</v>
      </c>
      <c r="L790" s="16" t="s">
        <v>3588</v>
      </c>
    </row>
    <row r="791" spans="1:12" x14ac:dyDescent="0.4">
      <c r="A791" s="16" t="s">
        <v>310</v>
      </c>
      <c r="B791" s="16">
        <v>10</v>
      </c>
      <c r="C791" s="16" t="s">
        <v>686</v>
      </c>
      <c r="D791" s="16" t="s">
        <v>3589</v>
      </c>
      <c r="E791" s="16" t="s">
        <v>3590</v>
      </c>
      <c r="F791" s="16" t="s">
        <v>3591</v>
      </c>
      <c r="G791" s="17">
        <v>36211</v>
      </c>
      <c r="H791" s="16" t="s">
        <v>3565</v>
      </c>
      <c r="I791" s="16">
        <v>180</v>
      </c>
      <c r="J791" s="16">
        <v>28</v>
      </c>
      <c r="K791" s="16">
        <v>3</v>
      </c>
      <c r="L791" s="16" t="s">
        <v>3591</v>
      </c>
    </row>
    <row r="792" spans="1:12" x14ac:dyDescent="0.4">
      <c r="A792" s="16" t="s">
        <v>310</v>
      </c>
      <c r="B792" s="16">
        <v>11</v>
      </c>
      <c r="C792" s="16" t="s">
        <v>686</v>
      </c>
      <c r="D792" s="16" t="s">
        <v>3592</v>
      </c>
      <c r="E792" s="16" t="s">
        <v>3593</v>
      </c>
      <c r="F792" s="16" t="s">
        <v>3594</v>
      </c>
      <c r="G792" s="17">
        <v>36647</v>
      </c>
      <c r="H792" s="16" t="s">
        <v>3595</v>
      </c>
      <c r="I792" s="16">
        <v>176</v>
      </c>
      <c r="J792" s="16">
        <v>44</v>
      </c>
      <c r="K792" s="16">
        <v>9</v>
      </c>
      <c r="L792" s="16" t="s">
        <v>3594</v>
      </c>
    </row>
    <row r="793" spans="1:12" x14ac:dyDescent="0.4">
      <c r="A793" s="16" t="s">
        <v>310</v>
      </c>
      <c r="B793" s="16">
        <v>12</v>
      </c>
      <c r="C793" s="16" t="s">
        <v>664</v>
      </c>
      <c r="D793" s="16" t="s">
        <v>3596</v>
      </c>
      <c r="E793" s="16" t="s">
        <v>3597</v>
      </c>
      <c r="F793" s="16" t="s">
        <v>3598</v>
      </c>
      <c r="G793" s="17">
        <v>37441</v>
      </c>
      <c r="H793" s="16" t="s">
        <v>3599</v>
      </c>
      <c r="I793" s="16">
        <v>193</v>
      </c>
      <c r="J793" s="16">
        <v>8</v>
      </c>
      <c r="K793" s="16">
        <v>0</v>
      </c>
      <c r="L793" s="16" t="s">
        <v>3598</v>
      </c>
    </row>
    <row r="794" spans="1:12" x14ac:dyDescent="0.4">
      <c r="A794" s="16" t="s">
        <v>310</v>
      </c>
      <c r="B794" s="16">
        <v>13</v>
      </c>
      <c r="C794" s="16" t="s">
        <v>669</v>
      </c>
      <c r="D794" s="16" t="s">
        <v>3600</v>
      </c>
      <c r="E794" s="16" t="s">
        <v>3601</v>
      </c>
      <c r="F794" s="16" t="s">
        <v>3602</v>
      </c>
      <c r="G794" s="17">
        <v>36796</v>
      </c>
      <c r="H794" s="16" t="s">
        <v>3603</v>
      </c>
      <c r="I794" s="16">
        <v>182</v>
      </c>
      <c r="J794" s="16">
        <v>37</v>
      </c>
      <c r="K794" s="16">
        <v>1</v>
      </c>
      <c r="L794" s="16" t="s">
        <v>3602</v>
      </c>
    </row>
    <row r="795" spans="1:12" x14ac:dyDescent="0.4">
      <c r="A795" s="16" t="s">
        <v>310</v>
      </c>
      <c r="B795" s="16">
        <v>14</v>
      </c>
      <c r="C795" s="16" t="s">
        <v>686</v>
      </c>
      <c r="D795" s="16" t="s">
        <v>3604</v>
      </c>
      <c r="E795" s="16" t="s">
        <v>3605</v>
      </c>
      <c r="F795" s="16" t="s">
        <v>3606</v>
      </c>
      <c r="G795" s="17">
        <v>35228</v>
      </c>
      <c r="H795" s="16" t="s">
        <v>3565</v>
      </c>
      <c r="I795" s="16">
        <v>180</v>
      </c>
      <c r="J795" s="16">
        <v>26</v>
      </c>
      <c r="K795" s="16">
        <v>0</v>
      </c>
      <c r="L795" s="16" t="s">
        <v>3606</v>
      </c>
    </row>
    <row r="796" spans="1:12" x14ac:dyDescent="0.4">
      <c r="A796" s="16" t="s">
        <v>310</v>
      </c>
      <c r="B796" s="16">
        <v>15</v>
      </c>
      <c r="C796" s="16" t="s">
        <v>669</v>
      </c>
      <c r="D796" s="16" t="s">
        <v>3607</v>
      </c>
      <c r="E796" s="16" t="s">
        <v>3608</v>
      </c>
      <c r="F796" s="16" t="s">
        <v>3609</v>
      </c>
      <c r="G796" s="17">
        <v>36216</v>
      </c>
      <c r="H796" s="16" t="s">
        <v>3569</v>
      </c>
      <c r="I796" s="16">
        <v>185</v>
      </c>
      <c r="J796" s="16">
        <v>25</v>
      </c>
      <c r="K796" s="16">
        <v>0</v>
      </c>
      <c r="L796" s="16" t="s">
        <v>3609</v>
      </c>
    </row>
    <row r="797" spans="1:12" x14ac:dyDescent="0.4">
      <c r="A797" s="16" t="s">
        <v>310</v>
      </c>
      <c r="B797" s="16">
        <v>16</v>
      </c>
      <c r="C797" s="16" t="s">
        <v>669</v>
      </c>
      <c r="D797" s="16" t="s">
        <v>3610</v>
      </c>
      <c r="E797" s="16" t="s">
        <v>3611</v>
      </c>
      <c r="F797" s="16" t="s">
        <v>3612</v>
      </c>
      <c r="G797" s="17">
        <v>37887</v>
      </c>
      <c r="H797" s="16" t="s">
        <v>3613</v>
      </c>
      <c r="I797" s="16">
        <v>190</v>
      </c>
      <c r="J797" s="16">
        <v>19</v>
      </c>
      <c r="K797" s="16">
        <v>2</v>
      </c>
      <c r="L797" s="16" t="s">
        <v>3612</v>
      </c>
    </row>
    <row r="798" spans="1:12" x14ac:dyDescent="0.4">
      <c r="A798" s="16" t="s">
        <v>310</v>
      </c>
      <c r="B798" s="16">
        <v>17</v>
      </c>
      <c r="C798" s="16" t="s">
        <v>691</v>
      </c>
      <c r="D798" s="16" t="s">
        <v>3614</v>
      </c>
      <c r="E798" s="16" t="s">
        <v>3615</v>
      </c>
      <c r="F798" s="16" t="s">
        <v>3616</v>
      </c>
      <c r="G798" s="17">
        <v>32923</v>
      </c>
      <c r="H798" s="16" t="s">
        <v>3617</v>
      </c>
      <c r="I798" s="16">
        <v>171</v>
      </c>
      <c r="J798" s="16">
        <v>76</v>
      </c>
      <c r="K798" s="16">
        <v>10</v>
      </c>
      <c r="L798" s="16" t="s">
        <v>3616</v>
      </c>
    </row>
    <row r="799" spans="1:12" x14ac:dyDescent="0.4">
      <c r="A799" s="16" t="s">
        <v>310</v>
      </c>
      <c r="B799" s="16">
        <v>18</v>
      </c>
      <c r="C799" s="16" t="s">
        <v>691</v>
      </c>
      <c r="D799" s="16" t="s">
        <v>3618</v>
      </c>
      <c r="E799" s="16" t="s">
        <v>3619</v>
      </c>
      <c r="F799" s="16" t="s">
        <v>3620</v>
      </c>
      <c r="G799" s="17">
        <v>37053</v>
      </c>
      <c r="H799" s="16" t="s">
        <v>3621</v>
      </c>
      <c r="I799" s="16">
        <v>185</v>
      </c>
      <c r="J799" s="16">
        <v>31</v>
      </c>
      <c r="K799" s="16">
        <v>9</v>
      </c>
      <c r="L799" s="16" t="s">
        <v>3620</v>
      </c>
    </row>
    <row r="800" spans="1:12" x14ac:dyDescent="0.4">
      <c r="A800" s="16" t="s">
        <v>310</v>
      </c>
      <c r="B800" s="16">
        <v>19</v>
      </c>
      <c r="C800" s="16" t="s">
        <v>686</v>
      </c>
      <c r="D800" s="16" t="s">
        <v>3622</v>
      </c>
      <c r="E800" s="16" t="s">
        <v>3623</v>
      </c>
      <c r="F800" s="16" t="s">
        <v>3624</v>
      </c>
      <c r="G800" s="17">
        <v>37481</v>
      </c>
      <c r="H800" s="16" t="s">
        <v>2649</v>
      </c>
      <c r="I800" s="16">
        <v>173</v>
      </c>
      <c r="J800" s="16">
        <v>24</v>
      </c>
      <c r="K800" s="16">
        <v>2</v>
      </c>
      <c r="L800" s="16" t="s">
        <v>3624</v>
      </c>
    </row>
    <row r="801" spans="1:12" x14ac:dyDescent="0.4">
      <c r="A801" s="16" t="s">
        <v>310</v>
      </c>
      <c r="B801" s="16">
        <v>20</v>
      </c>
      <c r="C801" s="16" t="s">
        <v>686</v>
      </c>
      <c r="D801" s="16" t="s">
        <v>3625</v>
      </c>
      <c r="E801" s="16" t="s">
        <v>3626</v>
      </c>
      <c r="F801" s="16" t="s">
        <v>3627</v>
      </c>
      <c r="G801" s="17">
        <v>36280</v>
      </c>
      <c r="H801" s="16" t="s">
        <v>3628</v>
      </c>
      <c r="I801" s="16">
        <v>180</v>
      </c>
      <c r="J801" s="16">
        <v>32</v>
      </c>
      <c r="K801" s="16">
        <v>4</v>
      </c>
      <c r="L801" s="16" t="s">
        <v>3627</v>
      </c>
    </row>
    <row r="802" spans="1:12" x14ac:dyDescent="0.4">
      <c r="A802" s="16" t="s">
        <v>310</v>
      </c>
      <c r="B802" s="16">
        <v>21</v>
      </c>
      <c r="C802" s="16" t="s">
        <v>691</v>
      </c>
      <c r="D802" s="16" t="s">
        <v>3629</v>
      </c>
      <c r="E802" s="16" t="s">
        <v>3630</v>
      </c>
      <c r="F802" s="16" t="s">
        <v>3631</v>
      </c>
      <c r="G802" s="17">
        <v>37487</v>
      </c>
      <c r="H802" s="16" t="s">
        <v>3569</v>
      </c>
      <c r="I802" s="16">
        <v>176</v>
      </c>
      <c r="J802" s="16">
        <v>11</v>
      </c>
      <c r="K802" s="16">
        <v>2</v>
      </c>
      <c r="L802" s="16" t="s">
        <v>3631</v>
      </c>
    </row>
    <row r="803" spans="1:12" x14ac:dyDescent="0.4">
      <c r="A803" s="16" t="s">
        <v>310</v>
      </c>
      <c r="B803" s="16">
        <v>22</v>
      </c>
      <c r="C803" s="16" t="s">
        <v>664</v>
      </c>
      <c r="D803" s="16" t="s">
        <v>3632</v>
      </c>
      <c r="E803" s="16" t="s">
        <v>3633</v>
      </c>
      <c r="F803" s="16" t="s">
        <v>3634</v>
      </c>
      <c r="G803" s="17">
        <v>36176</v>
      </c>
      <c r="H803" s="16" t="s">
        <v>3569</v>
      </c>
      <c r="I803" s="16">
        <v>196</v>
      </c>
      <c r="J803" s="16">
        <v>6</v>
      </c>
      <c r="K803" s="16">
        <v>0</v>
      </c>
      <c r="L803" s="16" t="s">
        <v>3634</v>
      </c>
    </row>
    <row r="804" spans="1:12" x14ac:dyDescent="0.4">
      <c r="A804" s="16" t="s">
        <v>310</v>
      </c>
      <c r="B804" s="16">
        <v>23</v>
      </c>
      <c r="C804" s="16" t="s">
        <v>686</v>
      </c>
      <c r="D804" s="16" t="s">
        <v>3635</v>
      </c>
      <c r="E804" s="16" t="s">
        <v>3636</v>
      </c>
      <c r="F804" s="16" t="s">
        <v>3637</v>
      </c>
      <c r="G804" s="17">
        <v>34688</v>
      </c>
      <c r="H804" s="16" t="s">
        <v>1298</v>
      </c>
      <c r="I804" s="16">
        <v>176</v>
      </c>
      <c r="J804" s="16">
        <v>25</v>
      </c>
      <c r="K804" s="16">
        <v>3</v>
      </c>
      <c r="L804" s="16" t="s">
        <v>3637</v>
      </c>
    </row>
    <row r="805" spans="1:12" x14ac:dyDescent="0.4">
      <c r="A805" s="16" t="s">
        <v>310</v>
      </c>
      <c r="B805" s="16">
        <v>24</v>
      </c>
      <c r="C805" s="16" t="s">
        <v>669</v>
      </c>
      <c r="D805" s="16" t="s">
        <v>3638</v>
      </c>
      <c r="E805" s="16" t="s">
        <v>3639</v>
      </c>
      <c r="F805" s="16" t="s">
        <v>3640</v>
      </c>
      <c r="G805" s="17">
        <v>36348</v>
      </c>
      <c r="H805" s="16" t="s">
        <v>3569</v>
      </c>
      <c r="I805" s="16">
        <v>177</v>
      </c>
      <c r="J805" s="16">
        <v>11</v>
      </c>
      <c r="K805" s="16">
        <v>0</v>
      </c>
      <c r="L805" s="16" t="s">
        <v>3640</v>
      </c>
    </row>
    <row r="806" spans="1:12" x14ac:dyDescent="0.4">
      <c r="A806" s="16" t="s">
        <v>310</v>
      </c>
      <c r="B806" s="16">
        <v>25</v>
      </c>
      <c r="C806" s="16" t="s">
        <v>686</v>
      </c>
      <c r="D806" s="16" t="s">
        <v>3641</v>
      </c>
      <c r="E806" s="16" t="s">
        <v>3642</v>
      </c>
      <c r="F806" s="16" t="s">
        <v>3643</v>
      </c>
      <c r="G806" s="17">
        <v>37461</v>
      </c>
      <c r="H806" s="16" t="s">
        <v>3644</v>
      </c>
      <c r="I806" s="16">
        <v>178</v>
      </c>
      <c r="J806" s="16">
        <v>4</v>
      </c>
      <c r="K806" s="16">
        <v>0</v>
      </c>
      <c r="L806" s="16" t="s">
        <v>3643</v>
      </c>
    </row>
    <row r="807" spans="1:12" x14ac:dyDescent="0.4">
      <c r="A807" s="16" t="s">
        <v>310</v>
      </c>
      <c r="B807" s="16">
        <v>26</v>
      </c>
      <c r="C807" s="16" t="s">
        <v>669</v>
      </c>
      <c r="D807" s="16" t="s">
        <v>3645</v>
      </c>
      <c r="E807" s="16" t="s">
        <v>3646</v>
      </c>
      <c r="F807" s="16" t="s">
        <v>3647</v>
      </c>
      <c r="G807" s="17">
        <v>32963</v>
      </c>
      <c r="H807" s="16" t="s">
        <v>3648</v>
      </c>
      <c r="I807" s="16">
        <v>188</v>
      </c>
      <c r="J807" s="16">
        <v>56</v>
      </c>
      <c r="K807" s="16">
        <v>2</v>
      </c>
      <c r="L807" s="16" t="s">
        <v>3647</v>
      </c>
    </row>
    <row r="808" spans="1:12" x14ac:dyDescent="0.4">
      <c r="A808" s="16" t="s">
        <v>311</v>
      </c>
      <c r="B808" s="16">
        <v>1</v>
      </c>
      <c r="C808" s="16" t="s">
        <v>664</v>
      </c>
      <c r="D808" s="16" t="s">
        <v>3649</v>
      </c>
      <c r="E808" s="16" t="s">
        <v>3650</v>
      </c>
      <c r="F808" s="16" t="s">
        <v>3651</v>
      </c>
      <c r="G808" s="17">
        <v>33126</v>
      </c>
      <c r="H808" s="16" t="s">
        <v>3652</v>
      </c>
      <c r="I808" s="16">
        <v>192</v>
      </c>
      <c r="J808" s="16">
        <v>71</v>
      </c>
      <c r="K808" s="16">
        <v>0</v>
      </c>
      <c r="L808" s="16" t="s">
        <v>3651</v>
      </c>
    </row>
    <row r="809" spans="1:12" x14ac:dyDescent="0.4">
      <c r="A809" s="16" t="s">
        <v>311</v>
      </c>
      <c r="B809" s="16">
        <v>2</v>
      </c>
      <c r="C809" s="16" t="s">
        <v>686</v>
      </c>
      <c r="D809" s="16" t="s">
        <v>3653</v>
      </c>
      <c r="E809" s="16" t="s">
        <v>3654</v>
      </c>
      <c r="F809" s="16" t="s">
        <v>3655</v>
      </c>
      <c r="G809" s="17">
        <v>35190</v>
      </c>
      <c r="H809" s="16" t="s">
        <v>3656</v>
      </c>
      <c r="I809" s="16">
        <v>188</v>
      </c>
      <c r="J809" s="16">
        <v>31</v>
      </c>
      <c r="K809" s="16">
        <v>0</v>
      </c>
      <c r="L809" s="16" t="s">
        <v>3655</v>
      </c>
    </row>
    <row r="810" spans="1:12" x14ac:dyDescent="0.4">
      <c r="A810" s="16" t="s">
        <v>311</v>
      </c>
      <c r="B810" s="16">
        <v>3</v>
      </c>
      <c r="C810" s="16" t="s">
        <v>669</v>
      </c>
      <c r="D810" s="16" t="s">
        <v>3657</v>
      </c>
      <c r="E810" s="16" t="s">
        <v>3658</v>
      </c>
      <c r="F810" s="16" t="s">
        <v>3659</v>
      </c>
      <c r="G810" s="17">
        <v>35902</v>
      </c>
      <c r="H810" s="16" t="s">
        <v>1248</v>
      </c>
      <c r="I810" s="16">
        <v>198</v>
      </c>
      <c r="J810" s="16">
        <v>52</v>
      </c>
      <c r="K810" s="16">
        <v>2</v>
      </c>
      <c r="L810" s="16" t="s">
        <v>3660</v>
      </c>
    </row>
    <row r="811" spans="1:12" x14ac:dyDescent="0.4">
      <c r="A811" s="16" t="s">
        <v>311</v>
      </c>
      <c r="B811" s="16">
        <v>4</v>
      </c>
      <c r="C811" s="16" t="s">
        <v>669</v>
      </c>
      <c r="D811" s="16" t="s">
        <v>3661</v>
      </c>
      <c r="E811" s="16" t="s">
        <v>3662</v>
      </c>
      <c r="F811" s="16" t="s">
        <v>3663</v>
      </c>
      <c r="G811" s="17">
        <v>36492</v>
      </c>
      <c r="H811" s="16" t="s">
        <v>3298</v>
      </c>
      <c r="I811" s="16">
        <v>183</v>
      </c>
      <c r="J811" s="16">
        <v>38</v>
      </c>
      <c r="K811" s="16">
        <v>1</v>
      </c>
      <c r="L811" s="16" t="s">
        <v>3663</v>
      </c>
    </row>
    <row r="812" spans="1:12" x14ac:dyDescent="0.4">
      <c r="A812" s="16" t="s">
        <v>311</v>
      </c>
      <c r="B812" s="16">
        <v>5</v>
      </c>
      <c r="C812" s="16" t="s">
        <v>669</v>
      </c>
      <c r="D812" s="16" t="s">
        <v>3664</v>
      </c>
      <c r="E812" s="16" t="s">
        <v>3665</v>
      </c>
      <c r="F812" s="16" t="s">
        <v>3666</v>
      </c>
      <c r="G812" s="17">
        <v>37369</v>
      </c>
      <c r="H812" s="16" t="s">
        <v>2068</v>
      </c>
      <c r="I812" s="16">
        <v>185</v>
      </c>
      <c r="J812" s="16">
        <v>22</v>
      </c>
      <c r="K812" s="16">
        <v>1</v>
      </c>
      <c r="L812" s="16" t="s">
        <v>3667</v>
      </c>
    </row>
    <row r="813" spans="1:12" x14ac:dyDescent="0.4">
      <c r="A813" s="16" t="s">
        <v>311</v>
      </c>
      <c r="B813" s="16">
        <v>6</v>
      </c>
      <c r="C813" s="16" t="s">
        <v>686</v>
      </c>
      <c r="D813" s="16" t="s">
        <v>3668</v>
      </c>
      <c r="E813" s="16" t="s">
        <v>914</v>
      </c>
      <c r="F813" s="16" t="s">
        <v>3669</v>
      </c>
      <c r="G813" s="17">
        <v>35758</v>
      </c>
      <c r="H813" s="16" t="s">
        <v>3670</v>
      </c>
      <c r="I813" s="16">
        <v>178</v>
      </c>
      <c r="J813" s="16">
        <v>43</v>
      </c>
      <c r="K813" s="16">
        <v>0</v>
      </c>
      <c r="L813" s="16" t="s">
        <v>3669</v>
      </c>
    </row>
    <row r="814" spans="1:12" x14ac:dyDescent="0.4">
      <c r="A814" s="16" t="s">
        <v>311</v>
      </c>
      <c r="B814" s="16">
        <v>7</v>
      </c>
      <c r="C814" s="16" t="s">
        <v>691</v>
      </c>
      <c r="D814" s="16" t="s">
        <v>3671</v>
      </c>
      <c r="E814" s="16" t="s">
        <v>869</v>
      </c>
      <c r="F814" s="16" t="s">
        <v>3672</v>
      </c>
      <c r="G814" s="17">
        <v>35038</v>
      </c>
      <c r="H814" s="16" t="s">
        <v>1475</v>
      </c>
      <c r="I814" s="16">
        <v>196</v>
      </c>
      <c r="J814" s="16">
        <v>72</v>
      </c>
      <c r="K814" s="16">
        <v>26</v>
      </c>
      <c r="L814" s="16" t="s">
        <v>3672</v>
      </c>
    </row>
    <row r="815" spans="1:12" x14ac:dyDescent="0.4">
      <c r="A815" s="16" t="s">
        <v>311</v>
      </c>
      <c r="B815" s="16">
        <v>8</v>
      </c>
      <c r="C815" s="16" t="s">
        <v>686</v>
      </c>
      <c r="D815" s="16" t="s">
        <v>3673</v>
      </c>
      <c r="E815" s="16" t="s">
        <v>3674</v>
      </c>
      <c r="F815" s="16" t="s">
        <v>3675</v>
      </c>
      <c r="G815" s="17">
        <v>35840</v>
      </c>
      <c r="H815" s="16" t="s">
        <v>1041</v>
      </c>
      <c r="I815" s="16">
        <v>195</v>
      </c>
      <c r="J815" s="16">
        <v>66</v>
      </c>
      <c r="K815" s="16">
        <v>1</v>
      </c>
      <c r="L815" s="16" t="s">
        <v>3675</v>
      </c>
    </row>
    <row r="816" spans="1:12" x14ac:dyDescent="0.4">
      <c r="A816" s="16" t="s">
        <v>311</v>
      </c>
      <c r="B816" s="16">
        <v>9</v>
      </c>
      <c r="C816" s="16" t="s">
        <v>691</v>
      </c>
      <c r="D816" s="16" t="s">
        <v>3676</v>
      </c>
      <c r="E816" s="16" t="s">
        <v>3677</v>
      </c>
      <c r="F816" s="16" t="s">
        <v>3678</v>
      </c>
      <c r="G816" s="17">
        <v>36728</v>
      </c>
      <c r="H816" s="16" t="s">
        <v>727</v>
      </c>
      <c r="I816" s="16">
        <v>195</v>
      </c>
      <c r="J816" s="16">
        <v>50</v>
      </c>
      <c r="K816" s="16">
        <v>55</v>
      </c>
      <c r="L816" s="16" t="s">
        <v>3679</v>
      </c>
    </row>
    <row r="817" spans="1:12" x14ac:dyDescent="0.4">
      <c r="A817" s="16" t="s">
        <v>311</v>
      </c>
      <c r="B817" s="16">
        <v>10</v>
      </c>
      <c r="C817" s="16" t="s">
        <v>686</v>
      </c>
      <c r="D817" s="16" t="s">
        <v>3680</v>
      </c>
      <c r="E817" s="16" t="s">
        <v>3681</v>
      </c>
      <c r="F817" s="16" t="s">
        <v>3682</v>
      </c>
      <c r="G817" s="17">
        <v>36146</v>
      </c>
      <c r="H817" s="16" t="s">
        <v>1000</v>
      </c>
      <c r="I817" s="16">
        <v>178</v>
      </c>
      <c r="J817" s="16">
        <v>68</v>
      </c>
      <c r="K817" s="16">
        <v>5</v>
      </c>
      <c r="L817" s="16" t="s">
        <v>3682</v>
      </c>
    </row>
    <row r="818" spans="1:12" x14ac:dyDescent="0.4">
      <c r="A818" s="16" t="s">
        <v>311</v>
      </c>
      <c r="B818" s="16">
        <v>11</v>
      </c>
      <c r="C818" s="16" t="s">
        <v>691</v>
      </c>
      <c r="D818" s="16" t="s">
        <v>3683</v>
      </c>
      <c r="E818" s="16" t="s">
        <v>3684</v>
      </c>
      <c r="F818" s="16" t="s">
        <v>3685</v>
      </c>
      <c r="G818" s="17">
        <v>36562</v>
      </c>
      <c r="H818" s="16" t="s">
        <v>1570</v>
      </c>
      <c r="I818" s="16">
        <v>193</v>
      </c>
      <c r="J818" s="16">
        <v>28</v>
      </c>
      <c r="K818" s="16">
        <v>6</v>
      </c>
      <c r="L818" s="16" t="s">
        <v>3686</v>
      </c>
    </row>
    <row r="819" spans="1:12" x14ac:dyDescent="0.4">
      <c r="A819" s="16" t="s">
        <v>311</v>
      </c>
      <c r="B819" s="16">
        <v>12</v>
      </c>
      <c r="C819" s="16" t="s">
        <v>664</v>
      </c>
      <c r="D819" s="16" t="s">
        <v>3687</v>
      </c>
      <c r="E819" s="16" t="s">
        <v>3688</v>
      </c>
      <c r="F819" s="16" t="s">
        <v>3689</v>
      </c>
      <c r="G819" s="17">
        <v>37589</v>
      </c>
      <c r="H819" s="16" t="s">
        <v>1938</v>
      </c>
      <c r="I819" s="16">
        <v>193</v>
      </c>
      <c r="J819" s="16">
        <v>0</v>
      </c>
      <c r="K819" s="16">
        <v>0</v>
      </c>
      <c r="L819" s="16" t="s">
        <v>3689</v>
      </c>
    </row>
    <row r="820" spans="1:12" x14ac:dyDescent="0.4">
      <c r="A820" s="16" t="s">
        <v>311</v>
      </c>
      <c r="B820" s="16">
        <v>13</v>
      </c>
      <c r="C820" s="16" t="s">
        <v>664</v>
      </c>
      <c r="D820" s="16" t="s">
        <v>3690</v>
      </c>
      <c r="E820" s="16" t="s">
        <v>3691</v>
      </c>
      <c r="F820" s="16" t="s">
        <v>3692</v>
      </c>
      <c r="G820" s="17">
        <v>35641</v>
      </c>
      <c r="H820" s="16" t="s">
        <v>833</v>
      </c>
      <c r="I820" s="16">
        <v>187</v>
      </c>
      <c r="J820" s="16">
        <v>7</v>
      </c>
      <c r="K820" s="16">
        <v>0</v>
      </c>
      <c r="L820" s="16" t="s">
        <v>3692</v>
      </c>
    </row>
    <row r="821" spans="1:12" x14ac:dyDescent="0.4">
      <c r="A821" s="16" t="s">
        <v>311</v>
      </c>
      <c r="B821" s="16">
        <v>14</v>
      </c>
      <c r="C821" s="16" t="s">
        <v>686</v>
      </c>
      <c r="D821" s="16" t="s">
        <v>3693</v>
      </c>
      <c r="E821" s="16" t="s">
        <v>3694</v>
      </c>
      <c r="F821" s="16" t="s">
        <v>3695</v>
      </c>
      <c r="G821" s="17">
        <v>35043</v>
      </c>
      <c r="H821" s="16" t="s">
        <v>1015</v>
      </c>
      <c r="I821" s="16">
        <v>181</v>
      </c>
      <c r="J821" s="16">
        <v>22</v>
      </c>
      <c r="K821" s="16">
        <v>1</v>
      </c>
      <c r="L821" s="16" t="s">
        <v>3695</v>
      </c>
    </row>
    <row r="822" spans="1:12" x14ac:dyDescent="0.4">
      <c r="A822" s="16" t="s">
        <v>311</v>
      </c>
      <c r="B822" s="16">
        <v>15</v>
      </c>
      <c r="C822" s="16" t="s">
        <v>669</v>
      </c>
      <c r="D822" s="16" t="s">
        <v>3696</v>
      </c>
      <c r="E822" s="16" t="s">
        <v>3697</v>
      </c>
      <c r="F822" s="16" t="s">
        <v>3698</v>
      </c>
      <c r="G822" s="17">
        <v>36028</v>
      </c>
      <c r="H822" s="16" t="s">
        <v>3670</v>
      </c>
      <c r="I822" s="16">
        <v>180</v>
      </c>
      <c r="J822" s="16">
        <v>21</v>
      </c>
      <c r="K822" s="16">
        <v>1</v>
      </c>
      <c r="L822" s="16" t="s">
        <v>3698</v>
      </c>
    </row>
    <row r="823" spans="1:12" x14ac:dyDescent="0.4">
      <c r="A823" s="16" t="s">
        <v>311</v>
      </c>
      <c r="B823" s="16">
        <v>16</v>
      </c>
      <c r="C823" s="16" t="s">
        <v>669</v>
      </c>
      <c r="D823" s="16" t="s">
        <v>3699</v>
      </c>
      <c r="E823" s="16" t="s">
        <v>3700</v>
      </c>
      <c r="F823" s="16" t="s">
        <v>3701</v>
      </c>
      <c r="G823" s="17">
        <v>36723</v>
      </c>
      <c r="H823" s="16" t="s">
        <v>1914</v>
      </c>
      <c r="I823" s="16">
        <v>184</v>
      </c>
      <c r="J823" s="16">
        <v>32</v>
      </c>
      <c r="K823" s="16">
        <v>0</v>
      </c>
      <c r="L823" s="16" t="s">
        <v>3702</v>
      </c>
    </row>
    <row r="824" spans="1:12" x14ac:dyDescent="0.4">
      <c r="A824" s="16" t="s">
        <v>311</v>
      </c>
      <c r="B824" s="16">
        <v>17</v>
      </c>
      <c r="C824" s="16" t="s">
        <v>669</v>
      </c>
      <c r="D824" s="16" t="s">
        <v>3703</v>
      </c>
      <c r="E824" s="16" t="s">
        <v>3704</v>
      </c>
      <c r="F824" s="16" t="s">
        <v>3705</v>
      </c>
      <c r="G824" s="17">
        <v>36172</v>
      </c>
      <c r="H824" s="16" t="s">
        <v>1575</v>
      </c>
      <c r="I824" s="16">
        <v>192</v>
      </c>
      <c r="J824" s="16">
        <v>15</v>
      </c>
      <c r="K824" s="16">
        <v>0</v>
      </c>
      <c r="L824" s="16" t="s">
        <v>3705</v>
      </c>
    </row>
    <row r="825" spans="1:12" x14ac:dyDescent="0.4">
      <c r="A825" s="16" t="s">
        <v>311</v>
      </c>
      <c r="B825" s="16">
        <v>18</v>
      </c>
      <c r="C825" s="16" t="s">
        <v>686</v>
      </c>
      <c r="D825" s="16" t="s">
        <v>3706</v>
      </c>
      <c r="E825" s="16" t="s">
        <v>3707</v>
      </c>
      <c r="F825" s="16" t="s">
        <v>3708</v>
      </c>
      <c r="G825" s="17">
        <v>36232</v>
      </c>
      <c r="H825" s="16" t="s">
        <v>844</v>
      </c>
      <c r="I825" s="16">
        <v>189</v>
      </c>
      <c r="J825" s="16">
        <v>37</v>
      </c>
      <c r="K825" s="16">
        <v>4</v>
      </c>
      <c r="L825" s="16" t="s">
        <v>3708</v>
      </c>
    </row>
    <row r="826" spans="1:12" x14ac:dyDescent="0.4">
      <c r="A826" s="16" t="s">
        <v>311</v>
      </c>
      <c r="B826" s="16">
        <v>19</v>
      </c>
      <c r="C826" s="16" t="s">
        <v>686</v>
      </c>
      <c r="D826" s="16" t="s">
        <v>3709</v>
      </c>
      <c r="E826" s="16" t="s">
        <v>3710</v>
      </c>
      <c r="F826" s="16" t="s">
        <v>3711</v>
      </c>
      <c r="G826" s="17">
        <v>37378</v>
      </c>
      <c r="H826" s="16" t="s">
        <v>1048</v>
      </c>
      <c r="I826" s="16">
        <v>188</v>
      </c>
      <c r="J826" s="16">
        <v>8</v>
      </c>
      <c r="K826" s="16">
        <v>5</v>
      </c>
      <c r="L826" s="16" t="s">
        <v>3711</v>
      </c>
    </row>
    <row r="827" spans="1:12" x14ac:dyDescent="0.4">
      <c r="A827" s="16" t="s">
        <v>311</v>
      </c>
      <c r="B827" s="16">
        <v>20</v>
      </c>
      <c r="C827" s="16" t="s">
        <v>691</v>
      </c>
      <c r="D827" s="16" t="s">
        <v>3712</v>
      </c>
      <c r="E827" s="16" t="s">
        <v>3713</v>
      </c>
      <c r="F827" s="16" t="s">
        <v>3714</v>
      </c>
      <c r="G827" s="17">
        <v>38459</v>
      </c>
      <c r="H827" s="16" t="s">
        <v>883</v>
      </c>
      <c r="I827" s="16">
        <v>183</v>
      </c>
      <c r="J827" s="16">
        <v>24</v>
      </c>
      <c r="K827" s="16">
        <v>8</v>
      </c>
      <c r="L827" s="16" t="s">
        <v>3714</v>
      </c>
    </row>
    <row r="828" spans="1:12" x14ac:dyDescent="0.4">
      <c r="A828" s="16" t="s">
        <v>311</v>
      </c>
      <c r="B828" s="16">
        <v>21</v>
      </c>
      <c r="C828" s="16" t="s">
        <v>686</v>
      </c>
      <c r="D828" s="16" t="s">
        <v>3715</v>
      </c>
      <c r="E828" s="16" t="s">
        <v>3716</v>
      </c>
      <c r="F828" s="16" t="s">
        <v>3717</v>
      </c>
      <c r="G828" s="17">
        <v>38139</v>
      </c>
      <c r="H828" s="16" t="s">
        <v>1015</v>
      </c>
      <c r="I828" s="16">
        <v>177</v>
      </c>
      <c r="J828" s="16">
        <v>12</v>
      </c>
      <c r="K828" s="16">
        <v>1</v>
      </c>
      <c r="L828" s="16" t="s">
        <v>3717</v>
      </c>
    </row>
    <row r="829" spans="1:12" x14ac:dyDescent="0.4">
      <c r="A829" s="16" t="s">
        <v>311</v>
      </c>
      <c r="B829" s="16">
        <v>22</v>
      </c>
      <c r="C829" s="16" t="s">
        <v>686</v>
      </c>
      <c r="D829" s="16" t="s">
        <v>3718</v>
      </c>
      <c r="E829" s="16" t="s">
        <v>3719</v>
      </c>
      <c r="F829" s="16" t="s">
        <v>3720</v>
      </c>
      <c r="G829" s="17">
        <v>37814</v>
      </c>
      <c r="H829" s="16" t="s">
        <v>1041</v>
      </c>
      <c r="I829" s="16">
        <v>177</v>
      </c>
      <c r="J829" s="16">
        <v>20</v>
      </c>
      <c r="K829" s="16">
        <v>2</v>
      </c>
      <c r="L829" s="16" t="s">
        <v>3720</v>
      </c>
    </row>
    <row r="830" spans="1:12" x14ac:dyDescent="0.4">
      <c r="A830" s="16" t="s">
        <v>311</v>
      </c>
      <c r="B830" s="16">
        <v>23</v>
      </c>
      <c r="C830" s="16" t="s">
        <v>686</v>
      </c>
      <c r="D830" s="16" t="s">
        <v>3721</v>
      </c>
      <c r="E830" s="16" t="s">
        <v>3722</v>
      </c>
      <c r="F830" s="16" t="s">
        <v>3723</v>
      </c>
      <c r="G830" s="17">
        <v>36445</v>
      </c>
      <c r="H830" s="16" t="s">
        <v>3670</v>
      </c>
      <c r="I830" s="16">
        <v>184</v>
      </c>
      <c r="J830" s="16">
        <v>15</v>
      </c>
      <c r="K830" s="16">
        <v>1</v>
      </c>
      <c r="L830" s="16" t="s">
        <v>3723</v>
      </c>
    </row>
    <row r="831" spans="1:12" x14ac:dyDescent="0.4">
      <c r="A831" s="16" t="s">
        <v>311</v>
      </c>
      <c r="B831" s="16">
        <v>24</v>
      </c>
      <c r="C831" s="16" t="s">
        <v>669</v>
      </c>
      <c r="D831" s="16" t="s">
        <v>3724</v>
      </c>
      <c r="E831" s="16" t="s">
        <v>3725</v>
      </c>
      <c r="F831" s="16" t="s">
        <v>3726</v>
      </c>
      <c r="G831" s="17">
        <v>36924</v>
      </c>
      <c r="H831" s="16" t="s">
        <v>3727</v>
      </c>
      <c r="I831" s="16">
        <v>190</v>
      </c>
      <c r="J831" s="16">
        <v>3</v>
      </c>
      <c r="K831" s="16">
        <v>0</v>
      </c>
      <c r="L831" s="16" t="s">
        <v>3726</v>
      </c>
    </row>
    <row r="832" spans="1:12" x14ac:dyDescent="0.4">
      <c r="A832" s="16" t="s">
        <v>311</v>
      </c>
      <c r="B832" s="16">
        <v>25</v>
      </c>
      <c r="C832" s="16" t="s">
        <v>669</v>
      </c>
      <c r="D832" s="16" t="s">
        <v>3728</v>
      </c>
      <c r="E832" s="16" t="s">
        <v>3729</v>
      </c>
      <c r="F832" s="16" t="s">
        <v>3730</v>
      </c>
      <c r="G832" s="17">
        <v>37749</v>
      </c>
      <c r="H832" s="16" t="s">
        <v>3579</v>
      </c>
      <c r="I832" s="16">
        <v>194</v>
      </c>
      <c r="J832" s="16">
        <v>1</v>
      </c>
      <c r="K832" s="16">
        <v>0</v>
      </c>
      <c r="L832" s="16" t="s">
        <v>3730</v>
      </c>
    </row>
    <row r="833" spans="1:12" x14ac:dyDescent="0.4">
      <c r="A833" s="16" t="s">
        <v>311</v>
      </c>
      <c r="B833" s="16">
        <v>26</v>
      </c>
      <c r="C833" s="16" t="s">
        <v>691</v>
      </c>
      <c r="D833" s="16" t="s">
        <v>3731</v>
      </c>
      <c r="E833" s="16" t="s">
        <v>3732</v>
      </c>
      <c r="F833" s="16" t="s">
        <v>3733</v>
      </c>
      <c r="G833" s="17">
        <v>35751</v>
      </c>
      <c r="H833" s="16" t="s">
        <v>749</v>
      </c>
      <c r="I833" s="16">
        <v>186</v>
      </c>
      <c r="J833" s="16">
        <v>43</v>
      </c>
      <c r="K833" s="16">
        <v>1</v>
      </c>
      <c r="L833" s="16" t="s">
        <v>3733</v>
      </c>
    </row>
    <row r="834" spans="1:12" x14ac:dyDescent="0.4">
      <c r="A834" s="16" t="s">
        <v>315</v>
      </c>
      <c r="B834" s="16">
        <v>1</v>
      </c>
      <c r="C834" s="16" t="s">
        <v>664</v>
      </c>
      <c r="D834" s="16" t="s">
        <v>3734</v>
      </c>
      <c r="E834" s="16" t="s">
        <v>3735</v>
      </c>
      <c r="F834" s="16" t="s">
        <v>3736</v>
      </c>
      <c r="G834" s="17">
        <v>33313</v>
      </c>
      <c r="H834" s="16" t="s">
        <v>3737</v>
      </c>
      <c r="I834" s="16">
        <v>193</v>
      </c>
      <c r="J834" s="16">
        <v>56</v>
      </c>
      <c r="K834" s="16">
        <v>0</v>
      </c>
      <c r="L834" s="16" t="s">
        <v>3738</v>
      </c>
    </row>
    <row r="835" spans="1:12" x14ac:dyDescent="0.4">
      <c r="A835" s="16" t="s">
        <v>315</v>
      </c>
      <c r="B835" s="16">
        <v>2</v>
      </c>
      <c r="C835" s="16" t="s">
        <v>669</v>
      </c>
      <c r="D835" s="16" t="s">
        <v>3739</v>
      </c>
      <c r="E835" s="16" t="s">
        <v>3740</v>
      </c>
      <c r="F835" s="16" t="s">
        <v>3741</v>
      </c>
      <c r="G835" s="17">
        <v>35887</v>
      </c>
      <c r="H835" s="16" t="s">
        <v>3742</v>
      </c>
      <c r="I835" s="16">
        <v>174</v>
      </c>
      <c r="J835" s="16">
        <v>40</v>
      </c>
      <c r="K835" s="16">
        <v>3</v>
      </c>
      <c r="L835" s="16" t="s">
        <v>3743</v>
      </c>
    </row>
    <row r="836" spans="1:12" x14ac:dyDescent="0.4">
      <c r="A836" s="16" t="s">
        <v>315</v>
      </c>
      <c r="B836" s="16">
        <v>3</v>
      </c>
      <c r="C836" s="16" t="s">
        <v>669</v>
      </c>
      <c r="D836" s="16" t="s">
        <v>3744</v>
      </c>
      <c r="E836" s="16" t="s">
        <v>3745</v>
      </c>
      <c r="F836" s="16" t="s">
        <v>1600</v>
      </c>
      <c r="G836" s="17">
        <v>37045</v>
      </c>
      <c r="H836" s="16" t="s">
        <v>803</v>
      </c>
      <c r="I836" s="16">
        <v>189</v>
      </c>
      <c r="J836" s="16">
        <v>32</v>
      </c>
      <c r="K836" s="16">
        <v>1</v>
      </c>
      <c r="L836" s="16" t="s">
        <v>3746</v>
      </c>
    </row>
    <row r="837" spans="1:12" x14ac:dyDescent="0.4">
      <c r="A837" s="16" t="s">
        <v>315</v>
      </c>
      <c r="B837" s="16">
        <v>4</v>
      </c>
      <c r="C837" s="16" t="s">
        <v>669</v>
      </c>
      <c r="D837" s="16" t="s">
        <v>3747</v>
      </c>
      <c r="E837" s="16" t="s">
        <v>3748</v>
      </c>
      <c r="F837" s="16" t="s">
        <v>3749</v>
      </c>
      <c r="G837" s="17">
        <v>34708</v>
      </c>
      <c r="H837" s="16" t="s">
        <v>3750</v>
      </c>
      <c r="I837" s="16">
        <v>184</v>
      </c>
      <c r="J837" s="16">
        <v>99</v>
      </c>
      <c r="K837" s="16">
        <v>4</v>
      </c>
      <c r="L837" s="16" t="s">
        <v>3751</v>
      </c>
    </row>
    <row r="838" spans="1:12" x14ac:dyDescent="0.4">
      <c r="A838" s="16" t="s">
        <v>315</v>
      </c>
      <c r="B838" s="16">
        <v>5</v>
      </c>
      <c r="C838" s="16" t="s">
        <v>669</v>
      </c>
      <c r="D838" s="16" t="s">
        <v>3752</v>
      </c>
      <c r="E838" s="16" t="s">
        <v>3753</v>
      </c>
      <c r="F838" s="16" t="s">
        <v>3754</v>
      </c>
      <c r="G838" s="17">
        <v>37183</v>
      </c>
      <c r="H838" s="16" t="s">
        <v>3755</v>
      </c>
      <c r="I838" s="16">
        <v>195</v>
      </c>
      <c r="J838" s="16">
        <v>18</v>
      </c>
      <c r="K838" s="16">
        <v>0</v>
      </c>
      <c r="L838" s="16" t="s">
        <v>3756</v>
      </c>
    </row>
    <row r="839" spans="1:12" x14ac:dyDescent="0.4">
      <c r="A839" s="16" t="s">
        <v>315</v>
      </c>
      <c r="B839" s="16">
        <v>6</v>
      </c>
      <c r="C839" s="16" t="s">
        <v>686</v>
      </c>
      <c r="D839" s="16" t="s">
        <v>3757</v>
      </c>
      <c r="E839" s="16" t="s">
        <v>3758</v>
      </c>
      <c r="F839" s="16" t="s">
        <v>1493</v>
      </c>
      <c r="G839" s="17">
        <v>35467</v>
      </c>
      <c r="H839" s="16" t="s">
        <v>3759</v>
      </c>
      <c r="I839" s="16">
        <v>170</v>
      </c>
      <c r="J839" s="16">
        <v>66</v>
      </c>
      <c r="K839" s="16">
        <v>2</v>
      </c>
      <c r="L839" s="16" t="s">
        <v>3760</v>
      </c>
    </row>
    <row r="840" spans="1:12" x14ac:dyDescent="0.4">
      <c r="A840" s="16" t="s">
        <v>315</v>
      </c>
      <c r="B840" s="16">
        <v>7</v>
      </c>
      <c r="C840" s="16" t="s">
        <v>686</v>
      </c>
      <c r="D840" s="16" t="s">
        <v>3761</v>
      </c>
      <c r="E840" s="16" t="s">
        <v>3762</v>
      </c>
      <c r="F840" s="16" t="s">
        <v>3763</v>
      </c>
      <c r="G840" s="17">
        <v>35965</v>
      </c>
      <c r="H840" s="16" t="s">
        <v>3764</v>
      </c>
      <c r="I840" s="16">
        <v>180</v>
      </c>
      <c r="J840" s="16">
        <v>70</v>
      </c>
      <c r="K840" s="16">
        <v>8</v>
      </c>
      <c r="L840" s="16" t="s">
        <v>3765</v>
      </c>
    </row>
    <row r="841" spans="1:12" x14ac:dyDescent="0.4">
      <c r="A841" s="16" t="s">
        <v>315</v>
      </c>
      <c r="B841" s="16">
        <v>8</v>
      </c>
      <c r="C841" s="16" t="s">
        <v>686</v>
      </c>
      <c r="D841" s="16" t="s">
        <v>3766</v>
      </c>
      <c r="E841" s="16" t="s">
        <v>3767</v>
      </c>
      <c r="F841" s="16" t="s">
        <v>3768</v>
      </c>
      <c r="G841" s="17">
        <v>36127</v>
      </c>
      <c r="H841" s="16" t="s">
        <v>2185</v>
      </c>
      <c r="I841" s="16">
        <v>171</v>
      </c>
      <c r="J841" s="16">
        <v>73</v>
      </c>
      <c r="K841" s="16">
        <v>3</v>
      </c>
      <c r="L841" s="16" t="s">
        <v>3769</v>
      </c>
    </row>
    <row r="842" spans="1:12" x14ac:dyDescent="0.4">
      <c r="A842" s="16" t="s">
        <v>315</v>
      </c>
      <c r="B842" s="16">
        <v>9</v>
      </c>
      <c r="C842" s="16" t="s">
        <v>691</v>
      </c>
      <c r="D842" s="16" t="s">
        <v>3770</v>
      </c>
      <c r="E842" s="16" t="s">
        <v>3771</v>
      </c>
      <c r="F842" s="16" t="s">
        <v>3772</v>
      </c>
      <c r="G842" s="17">
        <v>36228</v>
      </c>
      <c r="H842" s="16" t="s">
        <v>3750</v>
      </c>
      <c r="I842" s="16">
        <v>183</v>
      </c>
      <c r="J842" s="16">
        <v>13</v>
      </c>
      <c r="K842" s="16">
        <v>4</v>
      </c>
      <c r="L842" s="16" t="s">
        <v>3773</v>
      </c>
    </row>
    <row r="843" spans="1:12" x14ac:dyDescent="0.4">
      <c r="A843" s="16" t="s">
        <v>315</v>
      </c>
      <c r="B843" s="16">
        <v>10</v>
      </c>
      <c r="C843" s="16" t="s">
        <v>686</v>
      </c>
      <c r="D843" s="16" t="s">
        <v>3774</v>
      </c>
      <c r="E843" s="16" t="s">
        <v>3422</v>
      </c>
      <c r="F843" s="16" t="s">
        <v>3775</v>
      </c>
      <c r="G843" s="17">
        <v>35562</v>
      </c>
      <c r="H843" s="16" t="s">
        <v>3776</v>
      </c>
      <c r="I843" s="16">
        <v>184</v>
      </c>
      <c r="J843" s="16">
        <v>57</v>
      </c>
      <c r="K843" s="16">
        <v>17</v>
      </c>
      <c r="L843" s="16" t="s">
        <v>3777</v>
      </c>
    </row>
    <row r="844" spans="1:12" x14ac:dyDescent="0.4">
      <c r="A844" s="16" t="s">
        <v>315</v>
      </c>
      <c r="B844" s="16">
        <v>11</v>
      </c>
      <c r="C844" s="16" t="s">
        <v>686</v>
      </c>
      <c r="D844" s="16" t="s">
        <v>3778</v>
      </c>
      <c r="E844" s="16" t="s">
        <v>3779</v>
      </c>
      <c r="F844" s="16" t="s">
        <v>3780</v>
      </c>
      <c r="G844" s="17">
        <v>34265</v>
      </c>
      <c r="H844" s="16" t="s">
        <v>3781</v>
      </c>
      <c r="I844" s="16">
        <v>175</v>
      </c>
      <c r="J844" s="16">
        <v>104</v>
      </c>
      <c r="K844" s="16">
        <v>10</v>
      </c>
      <c r="L844" s="16" t="s">
        <v>3782</v>
      </c>
    </row>
    <row r="845" spans="1:12" x14ac:dyDescent="0.4">
      <c r="A845" s="16" t="s">
        <v>315</v>
      </c>
      <c r="B845" s="16">
        <v>12</v>
      </c>
      <c r="C845" s="16" t="s">
        <v>664</v>
      </c>
      <c r="D845" s="16" t="s">
        <v>3783</v>
      </c>
      <c r="E845" s="16" t="s">
        <v>3784</v>
      </c>
      <c r="F845" s="16" t="s">
        <v>3785</v>
      </c>
      <c r="G845" s="17">
        <v>34388</v>
      </c>
      <c r="H845" s="16" t="s">
        <v>3786</v>
      </c>
      <c r="I845" s="16">
        <v>189</v>
      </c>
      <c r="J845" s="16">
        <v>5</v>
      </c>
      <c r="K845" s="16">
        <v>0</v>
      </c>
      <c r="L845" s="16" t="s">
        <v>3787</v>
      </c>
    </row>
    <row r="846" spans="1:12" x14ac:dyDescent="0.4">
      <c r="A846" s="16" t="s">
        <v>315</v>
      </c>
      <c r="B846" s="16">
        <v>13</v>
      </c>
      <c r="C846" s="16" t="s">
        <v>669</v>
      </c>
      <c r="D846" s="16" t="s">
        <v>3788</v>
      </c>
      <c r="E846" s="16" t="s">
        <v>3789</v>
      </c>
      <c r="F846" s="16" t="s">
        <v>3790</v>
      </c>
      <c r="G846" s="17">
        <v>35456</v>
      </c>
      <c r="H846" s="16" t="s">
        <v>3791</v>
      </c>
      <c r="I846" s="16">
        <v>188</v>
      </c>
      <c r="J846" s="16">
        <v>23</v>
      </c>
      <c r="K846" s="16">
        <v>2</v>
      </c>
      <c r="L846" s="16" t="s">
        <v>3792</v>
      </c>
    </row>
    <row r="847" spans="1:12" x14ac:dyDescent="0.4">
      <c r="A847" s="16" t="s">
        <v>315</v>
      </c>
      <c r="B847" s="16">
        <v>14</v>
      </c>
      <c r="C847" s="16" t="s">
        <v>669</v>
      </c>
      <c r="D847" s="16" t="s">
        <v>3793</v>
      </c>
      <c r="E847" s="16" t="s">
        <v>3794</v>
      </c>
      <c r="F847" s="16" t="s">
        <v>3795</v>
      </c>
      <c r="G847" s="17">
        <v>36559</v>
      </c>
      <c r="H847" s="16" t="s">
        <v>1605</v>
      </c>
      <c r="I847" s="16">
        <v>184</v>
      </c>
      <c r="J847" s="16">
        <v>28</v>
      </c>
      <c r="K847" s="16">
        <v>3</v>
      </c>
      <c r="L847" s="16" t="s">
        <v>3796</v>
      </c>
    </row>
    <row r="848" spans="1:12" x14ac:dyDescent="0.4">
      <c r="A848" s="16" t="s">
        <v>315</v>
      </c>
      <c r="B848" s="16">
        <v>15</v>
      </c>
      <c r="C848" s="16" t="s">
        <v>669</v>
      </c>
      <c r="D848" s="16" t="s">
        <v>3797</v>
      </c>
      <c r="E848" s="16" t="s">
        <v>3798</v>
      </c>
      <c r="F848" s="16" t="s">
        <v>3799</v>
      </c>
      <c r="G848" s="17">
        <v>33328</v>
      </c>
      <c r="H848" s="16" t="s">
        <v>3800</v>
      </c>
      <c r="I848" s="16">
        <v>180</v>
      </c>
      <c r="J848" s="16">
        <v>107</v>
      </c>
      <c r="K848" s="16">
        <v>9</v>
      </c>
      <c r="L848" s="16" t="s">
        <v>3801</v>
      </c>
    </row>
    <row r="849" spans="1:12" x14ac:dyDescent="0.4">
      <c r="A849" s="16" t="s">
        <v>315</v>
      </c>
      <c r="B849" s="16">
        <v>16</v>
      </c>
      <c r="C849" s="16" t="s">
        <v>669</v>
      </c>
      <c r="D849" s="16" t="s">
        <v>3802</v>
      </c>
      <c r="E849" s="16" t="s">
        <v>3803</v>
      </c>
      <c r="F849" s="16" t="s">
        <v>3804</v>
      </c>
      <c r="G849" s="17">
        <v>36084</v>
      </c>
      <c r="H849" s="16" t="s">
        <v>920</v>
      </c>
      <c r="I849" s="16">
        <v>187</v>
      </c>
      <c r="J849" s="16">
        <v>50</v>
      </c>
      <c r="K849" s="16">
        <v>1</v>
      </c>
      <c r="L849" s="16" t="s">
        <v>3805</v>
      </c>
    </row>
    <row r="850" spans="1:12" x14ac:dyDescent="0.4">
      <c r="A850" s="16" t="s">
        <v>315</v>
      </c>
      <c r="B850" s="16">
        <v>17</v>
      </c>
      <c r="C850" s="16" t="s">
        <v>691</v>
      </c>
      <c r="D850" s="16" t="s">
        <v>3806</v>
      </c>
      <c r="E850" s="16" t="s">
        <v>3807</v>
      </c>
      <c r="F850" s="16" t="s">
        <v>3808</v>
      </c>
      <c r="G850" s="17">
        <v>34199</v>
      </c>
      <c r="H850" s="16" t="s">
        <v>3809</v>
      </c>
      <c r="I850" s="16">
        <v>184</v>
      </c>
      <c r="J850" s="16">
        <v>68</v>
      </c>
      <c r="K850" s="16">
        <v>17</v>
      </c>
      <c r="L850" s="16" t="s">
        <v>3810</v>
      </c>
    </row>
    <row r="851" spans="1:12" x14ac:dyDescent="0.4">
      <c r="A851" s="16" t="s">
        <v>315</v>
      </c>
      <c r="B851" s="16">
        <v>18</v>
      </c>
      <c r="C851" s="16" t="s">
        <v>691</v>
      </c>
      <c r="D851" s="16" t="s">
        <v>3811</v>
      </c>
      <c r="E851" s="16" t="s">
        <v>3812</v>
      </c>
      <c r="F851" s="16" t="s">
        <v>1394</v>
      </c>
      <c r="G851" s="17">
        <v>33341</v>
      </c>
      <c r="H851" s="16" t="s">
        <v>3813</v>
      </c>
      <c r="I851" s="16">
        <v>180</v>
      </c>
      <c r="J851" s="16">
        <v>55</v>
      </c>
      <c r="K851" s="16">
        <v>15</v>
      </c>
      <c r="L851" s="16" t="s">
        <v>3814</v>
      </c>
    </row>
    <row r="852" spans="1:12" x14ac:dyDescent="0.4">
      <c r="A852" s="16" t="s">
        <v>315</v>
      </c>
      <c r="B852" s="16">
        <v>19</v>
      </c>
      <c r="C852" s="16" t="s">
        <v>686</v>
      </c>
      <c r="D852" s="16" t="s">
        <v>3815</v>
      </c>
      <c r="E852" s="16" t="s">
        <v>3816</v>
      </c>
      <c r="F852" s="16" t="s">
        <v>1650</v>
      </c>
      <c r="G852" s="17">
        <v>32129</v>
      </c>
      <c r="H852" s="16" t="s">
        <v>3800</v>
      </c>
      <c r="I852" s="16">
        <v>165</v>
      </c>
      <c r="J852" s="16">
        <v>141</v>
      </c>
      <c r="K852" s="16">
        <v>7</v>
      </c>
      <c r="L852" s="16" t="s">
        <v>3817</v>
      </c>
    </row>
    <row r="853" spans="1:12" x14ac:dyDescent="0.4">
      <c r="A853" s="16" t="s">
        <v>315</v>
      </c>
      <c r="B853" s="16">
        <v>20</v>
      </c>
      <c r="C853" s="16" t="s">
        <v>686</v>
      </c>
      <c r="D853" s="16" t="s">
        <v>3818</v>
      </c>
      <c r="E853" s="16" t="s">
        <v>3819</v>
      </c>
      <c r="F853" s="16" t="s">
        <v>3820</v>
      </c>
      <c r="G853" s="17">
        <v>32914</v>
      </c>
      <c r="H853" s="16" t="s">
        <v>1358</v>
      </c>
      <c r="I853" s="16">
        <v>184</v>
      </c>
      <c r="J853" s="16">
        <v>159</v>
      </c>
      <c r="K853" s="16">
        <v>4</v>
      </c>
      <c r="L853" s="16" t="s">
        <v>3821</v>
      </c>
    </row>
    <row r="854" spans="1:12" x14ac:dyDescent="0.4">
      <c r="A854" s="16" t="s">
        <v>315</v>
      </c>
      <c r="B854" s="16">
        <v>21</v>
      </c>
      <c r="C854" s="16" t="s">
        <v>686</v>
      </c>
      <c r="D854" s="16" t="s">
        <v>3822</v>
      </c>
      <c r="E854" s="16" t="s">
        <v>3823</v>
      </c>
      <c r="F854" s="16" t="s">
        <v>3824</v>
      </c>
      <c r="G854" s="17">
        <v>35092</v>
      </c>
      <c r="H854" s="16" t="s">
        <v>3825</v>
      </c>
      <c r="I854" s="16">
        <v>160</v>
      </c>
      <c r="J854" s="16">
        <v>56</v>
      </c>
      <c r="K854" s="16">
        <v>5</v>
      </c>
      <c r="L854" s="16" t="s">
        <v>3826</v>
      </c>
    </row>
    <row r="855" spans="1:12" x14ac:dyDescent="0.4">
      <c r="A855" s="16" t="s">
        <v>315</v>
      </c>
      <c r="B855" s="16">
        <v>22</v>
      </c>
      <c r="C855" s="16" t="s">
        <v>664</v>
      </c>
      <c r="D855" s="16" t="s">
        <v>3827</v>
      </c>
      <c r="E855" s="16" t="s">
        <v>3828</v>
      </c>
      <c r="F855" s="16" t="s">
        <v>3829</v>
      </c>
      <c r="G855" s="17">
        <v>34693</v>
      </c>
      <c r="H855" s="16" t="s">
        <v>3830</v>
      </c>
      <c r="I855" s="16">
        <v>191</v>
      </c>
      <c r="J855" s="16">
        <v>48</v>
      </c>
      <c r="K855" s="16">
        <v>0</v>
      </c>
      <c r="L855" s="16" t="s">
        <v>3829</v>
      </c>
    </row>
    <row r="856" spans="1:12" x14ac:dyDescent="0.4">
      <c r="A856" s="16" t="s">
        <v>315</v>
      </c>
      <c r="B856" s="16">
        <v>23</v>
      </c>
      <c r="C856" s="16" t="s">
        <v>669</v>
      </c>
      <c r="D856" s="16" t="s">
        <v>3831</v>
      </c>
      <c r="E856" s="16" t="s">
        <v>3832</v>
      </c>
      <c r="F856" s="16" t="s">
        <v>3833</v>
      </c>
      <c r="G856" s="17">
        <v>35106</v>
      </c>
      <c r="H856" s="16" t="s">
        <v>1852</v>
      </c>
      <c r="I856" s="16">
        <v>185</v>
      </c>
      <c r="J856" s="16">
        <v>94</v>
      </c>
      <c r="K856" s="16">
        <v>9</v>
      </c>
      <c r="L856" s="16" t="s">
        <v>3834</v>
      </c>
    </row>
    <row r="857" spans="1:12" x14ac:dyDescent="0.4">
      <c r="A857" s="16" t="s">
        <v>315</v>
      </c>
      <c r="B857" s="16">
        <v>24</v>
      </c>
      <c r="C857" s="16" t="s">
        <v>691</v>
      </c>
      <c r="D857" s="16" t="s">
        <v>3835</v>
      </c>
      <c r="E857" s="16" t="s">
        <v>3836</v>
      </c>
      <c r="F857" s="16" t="s">
        <v>3837</v>
      </c>
      <c r="G857" s="17">
        <v>37063</v>
      </c>
      <c r="H857" s="16" t="s">
        <v>3809</v>
      </c>
      <c r="I857" s="16">
        <v>185</v>
      </c>
      <c r="J857" s="16">
        <v>11</v>
      </c>
      <c r="K857" s="16">
        <v>0</v>
      </c>
      <c r="L857" s="16" t="s">
        <v>3838</v>
      </c>
    </row>
    <row r="858" spans="1:12" x14ac:dyDescent="0.4">
      <c r="A858" s="16" t="s">
        <v>315</v>
      </c>
      <c r="B858" s="16">
        <v>25</v>
      </c>
      <c r="C858" s="16" t="s">
        <v>669</v>
      </c>
      <c r="D858" s="16" t="s">
        <v>3839</v>
      </c>
      <c r="E858" s="16" t="s">
        <v>3840</v>
      </c>
      <c r="F858" s="16" t="s">
        <v>3841</v>
      </c>
      <c r="G858" s="17">
        <v>33697</v>
      </c>
      <c r="H858" s="16" t="s">
        <v>3842</v>
      </c>
      <c r="I858" s="16">
        <v>190</v>
      </c>
      <c r="J858" s="16">
        <v>50</v>
      </c>
      <c r="K858" s="16">
        <v>2</v>
      </c>
      <c r="L858" s="16" t="s">
        <v>3843</v>
      </c>
    </row>
    <row r="859" spans="1:12" x14ac:dyDescent="0.4">
      <c r="A859" s="16" t="s">
        <v>315</v>
      </c>
      <c r="B859" s="16">
        <v>26</v>
      </c>
      <c r="C859" s="16" t="s">
        <v>669</v>
      </c>
      <c r="D859" s="16" t="s">
        <v>3844</v>
      </c>
      <c r="E859" s="16" t="s">
        <v>3845</v>
      </c>
      <c r="F859" s="16" t="s">
        <v>3387</v>
      </c>
      <c r="G859" s="17">
        <v>36039</v>
      </c>
      <c r="H859" s="16" t="s">
        <v>3846</v>
      </c>
      <c r="I859" s="16">
        <v>171</v>
      </c>
      <c r="J859" s="16">
        <v>18</v>
      </c>
      <c r="K859" s="16">
        <v>0</v>
      </c>
      <c r="L859" s="16" t="s">
        <v>3847</v>
      </c>
    </row>
    <row r="860" spans="1:12" x14ac:dyDescent="0.4">
      <c r="A860" s="16" t="s">
        <v>320</v>
      </c>
      <c r="B860" s="16">
        <v>1</v>
      </c>
      <c r="C860" s="16" t="s">
        <v>664</v>
      </c>
      <c r="D860" s="16" t="s">
        <v>3848</v>
      </c>
      <c r="E860" s="16" t="s">
        <v>3849</v>
      </c>
      <c r="F860" s="16" t="s">
        <v>1555</v>
      </c>
      <c r="G860" s="17">
        <v>32231</v>
      </c>
      <c r="H860" s="16" t="s">
        <v>3850</v>
      </c>
      <c r="I860" s="16">
        <v>191</v>
      </c>
      <c r="J860" s="16">
        <v>31</v>
      </c>
      <c r="K860" s="16">
        <v>0</v>
      </c>
      <c r="L860" s="16" t="s">
        <v>3851</v>
      </c>
    </row>
    <row r="861" spans="1:12" x14ac:dyDescent="0.4">
      <c r="A861" s="16" t="s">
        <v>320</v>
      </c>
      <c r="B861" s="16">
        <v>2</v>
      </c>
      <c r="C861" s="16" t="s">
        <v>669</v>
      </c>
      <c r="D861" s="16" t="s">
        <v>3852</v>
      </c>
      <c r="E861" s="16" t="s">
        <v>3853</v>
      </c>
      <c r="F861" s="16" t="s">
        <v>3854</v>
      </c>
      <c r="G861" s="17">
        <v>33345</v>
      </c>
      <c r="H861" s="16" t="s">
        <v>3850</v>
      </c>
      <c r="I861" s="16">
        <v>189</v>
      </c>
      <c r="J861" s="16">
        <v>13</v>
      </c>
      <c r="K861" s="16">
        <v>1</v>
      </c>
      <c r="L861" s="16" t="s">
        <v>3855</v>
      </c>
    </row>
    <row r="862" spans="1:12" x14ac:dyDescent="0.4">
      <c r="A862" s="16" t="s">
        <v>320</v>
      </c>
      <c r="B862" s="16">
        <v>3</v>
      </c>
      <c r="C862" s="16" t="s">
        <v>669</v>
      </c>
      <c r="D862" s="16" t="s">
        <v>3856</v>
      </c>
      <c r="E862" s="16" t="s">
        <v>3857</v>
      </c>
      <c r="F862" s="16" t="s">
        <v>3858</v>
      </c>
      <c r="G862" s="17">
        <v>35425</v>
      </c>
      <c r="H862" s="16" t="s">
        <v>1735</v>
      </c>
      <c r="I862" s="16">
        <v>190</v>
      </c>
      <c r="J862" s="16">
        <v>36</v>
      </c>
      <c r="K862" s="16">
        <v>3</v>
      </c>
      <c r="L862" s="16" t="s">
        <v>3859</v>
      </c>
    </row>
    <row r="863" spans="1:12" x14ac:dyDescent="0.4">
      <c r="A863" s="16" t="s">
        <v>320</v>
      </c>
      <c r="B863" s="16">
        <v>4</v>
      </c>
      <c r="C863" s="16" t="s">
        <v>669</v>
      </c>
      <c r="D863" s="16" t="s">
        <v>3860</v>
      </c>
      <c r="E863" s="16" t="s">
        <v>3861</v>
      </c>
      <c r="F863" s="16" t="s">
        <v>3862</v>
      </c>
      <c r="G863" s="17">
        <v>36678</v>
      </c>
      <c r="H863" s="16" t="s">
        <v>3379</v>
      </c>
      <c r="I863" s="16">
        <v>187</v>
      </c>
      <c r="J863" s="16">
        <v>17</v>
      </c>
      <c r="K863" s="16">
        <v>0</v>
      </c>
      <c r="L863" s="16" t="s">
        <v>3863</v>
      </c>
    </row>
    <row r="864" spans="1:12" x14ac:dyDescent="0.4">
      <c r="A864" s="16" t="s">
        <v>320</v>
      </c>
      <c r="B864" s="16">
        <v>5</v>
      </c>
      <c r="C864" s="16" t="s">
        <v>669</v>
      </c>
      <c r="D864" s="16" t="s">
        <v>3864</v>
      </c>
      <c r="E864" s="16" t="s">
        <v>3865</v>
      </c>
      <c r="F864" s="16" t="s">
        <v>3866</v>
      </c>
      <c r="G864" s="17">
        <v>33473</v>
      </c>
      <c r="H864" s="16" t="s">
        <v>1197</v>
      </c>
      <c r="I864" s="16">
        <v>188</v>
      </c>
      <c r="J864" s="16">
        <v>48</v>
      </c>
      <c r="K864" s="16">
        <v>2</v>
      </c>
      <c r="L864" s="16" t="s">
        <v>3867</v>
      </c>
    </row>
    <row r="865" spans="1:12" x14ac:dyDescent="0.4">
      <c r="A865" s="16" t="s">
        <v>320</v>
      </c>
      <c r="B865" s="16">
        <v>6</v>
      </c>
      <c r="C865" s="16" t="s">
        <v>669</v>
      </c>
      <c r="D865" s="16" t="s">
        <v>3868</v>
      </c>
      <c r="E865" s="16" t="s">
        <v>3869</v>
      </c>
      <c r="F865" s="16" t="s">
        <v>3870</v>
      </c>
      <c r="G865" s="17">
        <v>34009</v>
      </c>
      <c r="H865" s="16" t="s">
        <v>2180</v>
      </c>
      <c r="I865" s="16">
        <v>184</v>
      </c>
      <c r="J865" s="16">
        <v>71</v>
      </c>
      <c r="K865" s="16">
        <v>3</v>
      </c>
      <c r="L865" s="16" t="s">
        <v>3871</v>
      </c>
    </row>
    <row r="866" spans="1:12" x14ac:dyDescent="0.4">
      <c r="A866" s="16" t="s">
        <v>320</v>
      </c>
      <c r="B866" s="16">
        <v>7</v>
      </c>
      <c r="C866" s="16" t="s">
        <v>686</v>
      </c>
      <c r="D866" s="16" t="s">
        <v>3872</v>
      </c>
      <c r="E866" s="16" t="s">
        <v>3873</v>
      </c>
      <c r="F866" s="16" t="s">
        <v>3874</v>
      </c>
      <c r="G866" s="17">
        <v>36403</v>
      </c>
      <c r="H866" s="16" t="s">
        <v>1543</v>
      </c>
      <c r="I866" s="16">
        <v>178</v>
      </c>
      <c r="J866" s="16">
        <v>29</v>
      </c>
      <c r="K866" s="16">
        <v>1</v>
      </c>
      <c r="L866" s="16" t="s">
        <v>3875</v>
      </c>
    </row>
    <row r="867" spans="1:12" x14ac:dyDescent="0.4">
      <c r="A867" s="16" t="s">
        <v>320</v>
      </c>
      <c r="B867" s="16">
        <v>8</v>
      </c>
      <c r="C867" s="16" t="s">
        <v>686</v>
      </c>
      <c r="D867" s="16" t="s">
        <v>3876</v>
      </c>
      <c r="E867" s="16" t="s">
        <v>3877</v>
      </c>
      <c r="F867" s="16" t="s">
        <v>3878</v>
      </c>
      <c r="G867" s="17">
        <v>37707</v>
      </c>
      <c r="H867" s="16" t="s">
        <v>981</v>
      </c>
      <c r="I867" s="16">
        <v>183</v>
      </c>
      <c r="J867" s="16">
        <v>24</v>
      </c>
      <c r="K867" s="16">
        <v>3</v>
      </c>
      <c r="L867" s="16" t="s">
        <v>3879</v>
      </c>
    </row>
    <row r="868" spans="1:12" x14ac:dyDescent="0.4">
      <c r="A868" s="16" t="s">
        <v>320</v>
      </c>
      <c r="B868" s="16">
        <v>9</v>
      </c>
      <c r="C868" s="16" t="s">
        <v>691</v>
      </c>
      <c r="D868" s="16" t="s">
        <v>3880</v>
      </c>
      <c r="E868" s="16" t="s">
        <v>3881</v>
      </c>
      <c r="F868" s="16" t="s">
        <v>3882</v>
      </c>
      <c r="G868" s="17">
        <v>35128</v>
      </c>
      <c r="H868" s="16" t="s">
        <v>3656</v>
      </c>
      <c r="I868" s="16">
        <v>180</v>
      </c>
      <c r="J868" s="16">
        <v>48</v>
      </c>
      <c r="K868" s="16">
        <v>7</v>
      </c>
      <c r="L868" s="16" t="s">
        <v>3883</v>
      </c>
    </row>
    <row r="869" spans="1:12" x14ac:dyDescent="0.4">
      <c r="A869" s="16" t="s">
        <v>320</v>
      </c>
      <c r="B869" s="16">
        <v>10</v>
      </c>
      <c r="C869" s="16" t="s">
        <v>686</v>
      </c>
      <c r="D869" s="16" t="s">
        <v>3884</v>
      </c>
      <c r="E869" s="16" t="s">
        <v>3885</v>
      </c>
      <c r="F869" s="16" t="s">
        <v>3886</v>
      </c>
      <c r="G869" s="17">
        <v>34375</v>
      </c>
      <c r="H869" s="16" t="s">
        <v>3887</v>
      </c>
      <c r="I869" s="16">
        <v>178</v>
      </c>
      <c r="J869" s="16">
        <v>76</v>
      </c>
      <c r="K869" s="16">
        <v>10</v>
      </c>
      <c r="L869" s="16" t="s">
        <v>3888</v>
      </c>
    </row>
    <row r="870" spans="1:12" x14ac:dyDescent="0.4">
      <c r="A870" s="16" t="s">
        <v>320</v>
      </c>
      <c r="B870" s="16">
        <v>11</v>
      </c>
      <c r="C870" s="16" t="s">
        <v>686</v>
      </c>
      <c r="D870" s="16" t="s">
        <v>3889</v>
      </c>
      <c r="E870" s="16" t="s">
        <v>3890</v>
      </c>
      <c r="F870" s="16" t="s">
        <v>3889</v>
      </c>
      <c r="G870" s="17">
        <v>37064</v>
      </c>
      <c r="H870" s="16" t="s">
        <v>1543</v>
      </c>
      <c r="I870" s="16">
        <v>175</v>
      </c>
      <c r="J870" s="16">
        <v>3</v>
      </c>
      <c r="K870" s="16">
        <v>0</v>
      </c>
      <c r="L870" s="16" t="s">
        <v>3891</v>
      </c>
    </row>
    <row r="871" spans="1:12" x14ac:dyDescent="0.4">
      <c r="A871" s="16" t="s">
        <v>320</v>
      </c>
      <c r="B871" s="16">
        <v>12</v>
      </c>
      <c r="C871" s="16" t="s">
        <v>664</v>
      </c>
      <c r="D871" s="16" t="s">
        <v>3892</v>
      </c>
      <c r="E871" s="16" t="s">
        <v>3893</v>
      </c>
      <c r="F871" s="16" t="s">
        <v>3894</v>
      </c>
      <c r="G871" s="17">
        <v>36688</v>
      </c>
      <c r="H871" s="16" t="s">
        <v>3895</v>
      </c>
      <c r="I871" s="16">
        <v>190</v>
      </c>
      <c r="J871" s="16">
        <v>6</v>
      </c>
      <c r="K871" s="16">
        <v>0</v>
      </c>
      <c r="L871" s="16" t="s">
        <v>3896</v>
      </c>
    </row>
    <row r="872" spans="1:12" x14ac:dyDescent="0.4">
      <c r="A872" s="16" t="s">
        <v>320</v>
      </c>
      <c r="B872" s="16">
        <v>13</v>
      </c>
      <c r="C872" s="16" t="s">
        <v>669</v>
      </c>
      <c r="D872" s="16" t="s">
        <v>3897</v>
      </c>
      <c r="E872" s="16" t="s">
        <v>3898</v>
      </c>
      <c r="F872" s="16" t="s">
        <v>3899</v>
      </c>
      <c r="G872" s="17">
        <v>35266</v>
      </c>
      <c r="H872" s="16" t="s">
        <v>3900</v>
      </c>
      <c r="I872" s="16">
        <v>192</v>
      </c>
      <c r="J872" s="16">
        <v>2</v>
      </c>
      <c r="K872" s="16">
        <v>0</v>
      </c>
      <c r="L872" s="16" t="s">
        <v>3901</v>
      </c>
    </row>
    <row r="873" spans="1:12" x14ac:dyDescent="0.4">
      <c r="A873" s="16" t="s">
        <v>320</v>
      </c>
      <c r="B873" s="16">
        <v>14</v>
      </c>
      <c r="C873" s="16" t="s">
        <v>686</v>
      </c>
      <c r="D873" s="16" t="s">
        <v>3902</v>
      </c>
      <c r="E873" s="16" t="s">
        <v>3903</v>
      </c>
      <c r="F873" s="16" t="s">
        <v>3904</v>
      </c>
      <c r="G873" s="17">
        <v>35196</v>
      </c>
      <c r="H873" s="16" t="s">
        <v>3905</v>
      </c>
      <c r="I873" s="16">
        <v>166</v>
      </c>
      <c r="J873" s="16">
        <v>33</v>
      </c>
      <c r="K873" s="16">
        <v>0</v>
      </c>
      <c r="L873" s="16" t="s">
        <v>3904</v>
      </c>
    </row>
    <row r="874" spans="1:12" x14ac:dyDescent="0.4">
      <c r="A874" s="16" t="s">
        <v>320</v>
      </c>
      <c r="B874" s="16">
        <v>15</v>
      </c>
      <c r="C874" s="16" t="s">
        <v>669</v>
      </c>
      <c r="D874" s="16" t="s">
        <v>3906</v>
      </c>
      <c r="E874" s="16" t="s">
        <v>3907</v>
      </c>
      <c r="F874" s="16" t="s">
        <v>3908</v>
      </c>
      <c r="G874" s="17">
        <v>34095</v>
      </c>
      <c r="H874" s="16" t="s">
        <v>1543</v>
      </c>
      <c r="I874" s="16">
        <v>179</v>
      </c>
      <c r="J874" s="16">
        <v>89</v>
      </c>
      <c r="K874" s="16">
        <v>4</v>
      </c>
      <c r="L874" s="16" t="s">
        <v>3909</v>
      </c>
    </row>
    <row r="875" spans="1:12" x14ac:dyDescent="0.4">
      <c r="A875" s="16" t="s">
        <v>320</v>
      </c>
      <c r="B875" s="16">
        <v>16</v>
      </c>
      <c r="C875" s="16" t="s">
        <v>686</v>
      </c>
      <c r="D875" s="16" t="s">
        <v>3910</v>
      </c>
      <c r="E875" s="16" t="s">
        <v>3911</v>
      </c>
      <c r="F875" s="16" t="s">
        <v>3912</v>
      </c>
      <c r="G875" s="17">
        <v>37083</v>
      </c>
      <c r="H875" s="16" t="s">
        <v>3913</v>
      </c>
      <c r="I875" s="16">
        <v>180</v>
      </c>
      <c r="J875" s="16">
        <v>19</v>
      </c>
      <c r="K875" s="16">
        <v>1</v>
      </c>
      <c r="L875" s="16" t="s">
        <v>3914</v>
      </c>
    </row>
    <row r="876" spans="1:12" x14ac:dyDescent="0.4">
      <c r="A876" s="16" t="s">
        <v>320</v>
      </c>
      <c r="B876" s="16">
        <v>17</v>
      </c>
      <c r="C876" s="16" t="s">
        <v>691</v>
      </c>
      <c r="D876" s="16" t="s">
        <v>3915</v>
      </c>
      <c r="E876" s="16" t="s">
        <v>3916</v>
      </c>
      <c r="F876" s="16" t="s">
        <v>3917</v>
      </c>
      <c r="G876" s="17">
        <v>34710</v>
      </c>
      <c r="H876" s="16" t="s">
        <v>2253</v>
      </c>
      <c r="I876" s="16">
        <v>165</v>
      </c>
      <c r="J876" s="16">
        <v>33</v>
      </c>
      <c r="K876" s="16">
        <v>6</v>
      </c>
      <c r="L876" s="16" t="s">
        <v>3918</v>
      </c>
    </row>
    <row r="877" spans="1:12" x14ac:dyDescent="0.4">
      <c r="A877" s="16" t="s">
        <v>320</v>
      </c>
      <c r="B877" s="16">
        <v>18</v>
      </c>
      <c r="C877" s="16" t="s">
        <v>691</v>
      </c>
      <c r="D877" s="16" t="s">
        <v>3919</v>
      </c>
      <c r="E877" s="16" t="s">
        <v>3920</v>
      </c>
      <c r="F877" s="16" t="s">
        <v>3921</v>
      </c>
      <c r="G877" s="17">
        <v>34866</v>
      </c>
      <c r="H877" s="16" t="s">
        <v>3922</v>
      </c>
      <c r="I877" s="16">
        <v>188</v>
      </c>
      <c r="J877" s="16">
        <v>15</v>
      </c>
      <c r="K877" s="16">
        <v>1</v>
      </c>
      <c r="L877" s="16" t="s">
        <v>3923</v>
      </c>
    </row>
    <row r="878" spans="1:12" x14ac:dyDescent="0.4">
      <c r="A878" s="16" t="s">
        <v>320</v>
      </c>
      <c r="B878" s="16">
        <v>19</v>
      </c>
      <c r="C878" s="16" t="s">
        <v>691</v>
      </c>
      <c r="D878" s="16" t="s">
        <v>3924</v>
      </c>
      <c r="E878" s="16" t="s">
        <v>3925</v>
      </c>
      <c r="F878" s="16" t="s">
        <v>3926</v>
      </c>
      <c r="G878" s="17">
        <v>38009</v>
      </c>
      <c r="H878" s="16" t="s">
        <v>1011</v>
      </c>
      <c r="I878" s="16">
        <v>168</v>
      </c>
      <c r="J878" s="16">
        <v>32</v>
      </c>
      <c r="K878" s="16">
        <v>4</v>
      </c>
      <c r="L878" s="16" t="s">
        <v>3927</v>
      </c>
    </row>
    <row r="879" spans="1:12" x14ac:dyDescent="0.4">
      <c r="A879" s="16" t="s">
        <v>320</v>
      </c>
      <c r="B879" s="16">
        <v>20</v>
      </c>
      <c r="C879" s="16" t="s">
        <v>686</v>
      </c>
      <c r="D879" s="16" t="s">
        <v>3928</v>
      </c>
      <c r="E879" s="16" t="s">
        <v>3929</v>
      </c>
      <c r="F879" s="16" t="s">
        <v>3930</v>
      </c>
      <c r="G879" s="17">
        <v>36704</v>
      </c>
      <c r="H879" s="16" t="s">
        <v>1435</v>
      </c>
      <c r="I879" s="16">
        <v>173</v>
      </c>
      <c r="J879" s="16">
        <v>17</v>
      </c>
      <c r="K879" s="16">
        <v>0</v>
      </c>
      <c r="L879" s="16" t="s">
        <v>3931</v>
      </c>
    </row>
    <row r="880" spans="1:12" x14ac:dyDescent="0.4">
      <c r="A880" s="16" t="s">
        <v>320</v>
      </c>
      <c r="B880" s="16">
        <v>21</v>
      </c>
      <c r="C880" s="16" t="s">
        <v>691</v>
      </c>
      <c r="D880" s="16" t="s">
        <v>3932</v>
      </c>
      <c r="E880" s="16" t="s">
        <v>1160</v>
      </c>
      <c r="F880" s="16" t="s">
        <v>3933</v>
      </c>
      <c r="G880" s="17">
        <v>33428</v>
      </c>
      <c r="H880" s="16" t="s">
        <v>1580</v>
      </c>
      <c r="I880" s="16">
        <v>185</v>
      </c>
      <c r="J880" s="16">
        <v>23</v>
      </c>
      <c r="K880" s="16">
        <v>2</v>
      </c>
      <c r="L880" s="16" t="s">
        <v>3934</v>
      </c>
    </row>
    <row r="881" spans="1:12" x14ac:dyDescent="0.4">
      <c r="A881" s="16" t="s">
        <v>320</v>
      </c>
      <c r="B881" s="16">
        <v>22</v>
      </c>
      <c r="C881" s="16" t="s">
        <v>664</v>
      </c>
      <c r="D881" s="16" t="s">
        <v>3935</v>
      </c>
      <c r="E881" s="16" t="s">
        <v>3936</v>
      </c>
      <c r="F881" s="16" t="s">
        <v>3937</v>
      </c>
      <c r="G881" s="17">
        <v>34080</v>
      </c>
      <c r="H881" s="16" t="s">
        <v>3938</v>
      </c>
      <c r="I881" s="16">
        <v>191</v>
      </c>
      <c r="J881" s="16">
        <v>1</v>
      </c>
      <c r="K881" s="16">
        <v>0</v>
      </c>
      <c r="L881" s="16" t="s">
        <v>3939</v>
      </c>
    </row>
    <row r="882" spans="1:12" x14ac:dyDescent="0.4">
      <c r="A882" s="16" t="s">
        <v>320</v>
      </c>
      <c r="B882" s="16">
        <v>23</v>
      </c>
      <c r="C882" s="16" t="s">
        <v>686</v>
      </c>
      <c r="D882" s="16" t="s">
        <v>3940</v>
      </c>
      <c r="E882" s="16" t="s">
        <v>1057</v>
      </c>
      <c r="F882" s="16" t="s">
        <v>3941</v>
      </c>
      <c r="G882" s="17">
        <v>37298</v>
      </c>
      <c r="H882" s="16" t="s">
        <v>3887</v>
      </c>
      <c r="I882" s="16">
        <v>175</v>
      </c>
      <c r="J882" s="16">
        <v>15</v>
      </c>
      <c r="K882" s="16">
        <v>3</v>
      </c>
      <c r="L882" s="16" t="s">
        <v>3942</v>
      </c>
    </row>
    <row r="883" spans="1:12" x14ac:dyDescent="0.4">
      <c r="A883" s="16" t="s">
        <v>320</v>
      </c>
      <c r="B883" s="16">
        <v>24</v>
      </c>
      <c r="C883" s="16" t="s">
        <v>686</v>
      </c>
      <c r="D883" s="16" t="s">
        <v>3943</v>
      </c>
      <c r="E883" s="16" t="s">
        <v>3944</v>
      </c>
      <c r="F883" s="16" t="s">
        <v>3945</v>
      </c>
      <c r="G883" s="17">
        <v>37155</v>
      </c>
      <c r="H883" s="16" t="s">
        <v>3946</v>
      </c>
      <c r="I883" s="16">
        <v>189</v>
      </c>
      <c r="J883" s="16">
        <v>2</v>
      </c>
      <c r="K883" s="16">
        <v>1</v>
      </c>
      <c r="L883" s="16" t="s">
        <v>3947</v>
      </c>
    </row>
    <row r="884" spans="1:12" x14ac:dyDescent="0.4">
      <c r="A884" s="16" t="s">
        <v>320</v>
      </c>
      <c r="B884" s="16">
        <v>25</v>
      </c>
      <c r="C884" s="16" t="s">
        <v>691</v>
      </c>
      <c r="D884" s="16" t="s">
        <v>3948</v>
      </c>
      <c r="E884" s="16" t="s">
        <v>3949</v>
      </c>
      <c r="F884" s="16" t="s">
        <v>3950</v>
      </c>
      <c r="G884" s="17">
        <v>36386</v>
      </c>
      <c r="H884" s="16" t="s">
        <v>3951</v>
      </c>
      <c r="I884" s="16">
        <v>185</v>
      </c>
      <c r="J884" s="16">
        <v>5</v>
      </c>
      <c r="K884" s="16">
        <v>0</v>
      </c>
      <c r="L884" s="16" t="s">
        <v>3952</v>
      </c>
    </row>
    <row r="885" spans="1:12" x14ac:dyDescent="0.4">
      <c r="A885" s="16" t="s">
        <v>320</v>
      </c>
      <c r="B885" s="16">
        <v>26</v>
      </c>
      <c r="C885" s="16" t="s">
        <v>669</v>
      </c>
      <c r="D885" s="16" t="s">
        <v>3953</v>
      </c>
      <c r="E885" s="16" t="s">
        <v>3954</v>
      </c>
      <c r="F885" s="16" t="s">
        <v>3955</v>
      </c>
      <c r="G885" s="17">
        <v>38559</v>
      </c>
      <c r="H885" s="16" t="s">
        <v>3956</v>
      </c>
      <c r="I885" s="16">
        <v>173</v>
      </c>
      <c r="J885" s="16">
        <v>2</v>
      </c>
      <c r="K885" s="16">
        <v>1</v>
      </c>
      <c r="L885" s="16" t="s">
        <v>3957</v>
      </c>
    </row>
    <row r="886" spans="1:12" x14ac:dyDescent="0.4">
      <c r="A886" s="16" t="s">
        <v>299</v>
      </c>
      <c r="B886" s="16">
        <v>1</v>
      </c>
      <c r="C886" s="16" t="s">
        <v>664</v>
      </c>
      <c r="D886" s="16" t="s">
        <v>3958</v>
      </c>
      <c r="E886" s="16" t="s">
        <v>3959</v>
      </c>
      <c r="F886" s="16" t="s">
        <v>3958</v>
      </c>
      <c r="G886" s="17">
        <v>36422</v>
      </c>
      <c r="H886" s="16" t="s">
        <v>1807</v>
      </c>
      <c r="I886" s="16">
        <v>188</v>
      </c>
      <c r="J886" s="16">
        <v>43</v>
      </c>
      <c r="K886" s="16">
        <v>0</v>
      </c>
      <c r="L886" s="16" t="s">
        <v>3960</v>
      </c>
    </row>
    <row r="887" spans="1:12" x14ac:dyDescent="0.4">
      <c r="A887" s="16" t="s">
        <v>299</v>
      </c>
      <c r="B887" s="16">
        <v>2</v>
      </c>
      <c r="C887" s="16" t="s">
        <v>669</v>
      </c>
      <c r="D887" s="16" t="s">
        <v>3961</v>
      </c>
      <c r="E887" s="16" t="s">
        <v>3962</v>
      </c>
      <c r="F887" s="16" t="s">
        <v>3963</v>
      </c>
      <c r="G887" s="17">
        <v>34289</v>
      </c>
      <c r="H887" s="16" t="s">
        <v>1239</v>
      </c>
      <c r="I887" s="16">
        <v>179</v>
      </c>
      <c r="J887" s="16">
        <v>50</v>
      </c>
      <c r="K887" s="16">
        <v>0</v>
      </c>
      <c r="L887" s="16" t="s">
        <v>3964</v>
      </c>
    </row>
    <row r="888" spans="1:12" x14ac:dyDescent="0.4">
      <c r="A888" s="16" t="s">
        <v>299</v>
      </c>
      <c r="B888" s="16">
        <v>3</v>
      </c>
      <c r="C888" s="16" t="s">
        <v>669</v>
      </c>
      <c r="D888" s="16" t="s">
        <v>3965</v>
      </c>
      <c r="E888" s="16" t="s">
        <v>3966</v>
      </c>
      <c r="F888" s="16" t="s">
        <v>3967</v>
      </c>
      <c r="G888" s="17">
        <v>35564</v>
      </c>
      <c r="H888" s="16" t="s">
        <v>727</v>
      </c>
      <c r="I888" s="16">
        <v>187</v>
      </c>
      <c r="J888" s="16">
        <v>76</v>
      </c>
      <c r="K888" s="16">
        <v>3</v>
      </c>
      <c r="L888" s="16" t="s">
        <v>3968</v>
      </c>
    </row>
    <row r="889" spans="1:12" x14ac:dyDescent="0.4">
      <c r="A889" s="16" t="s">
        <v>299</v>
      </c>
      <c r="B889" s="16">
        <v>4</v>
      </c>
      <c r="C889" s="16" t="s">
        <v>669</v>
      </c>
      <c r="D889" s="16" t="s">
        <v>3969</v>
      </c>
      <c r="E889" s="16" t="s">
        <v>3970</v>
      </c>
      <c r="F889" s="16" t="s">
        <v>3971</v>
      </c>
      <c r="G889" s="17">
        <v>37392</v>
      </c>
      <c r="H889" s="16" t="s">
        <v>1083</v>
      </c>
      <c r="I889" s="16">
        <v>187</v>
      </c>
      <c r="J889" s="16">
        <v>5</v>
      </c>
      <c r="K889" s="16">
        <v>0</v>
      </c>
      <c r="L889" s="16" t="s">
        <v>3972</v>
      </c>
    </row>
    <row r="890" spans="1:12" x14ac:dyDescent="0.4">
      <c r="A890" s="16" t="s">
        <v>299</v>
      </c>
      <c r="B890" s="16">
        <v>5</v>
      </c>
      <c r="C890" s="16" t="s">
        <v>669</v>
      </c>
      <c r="D890" s="16" t="s">
        <v>3973</v>
      </c>
      <c r="E890" s="16" t="s">
        <v>3974</v>
      </c>
      <c r="F890" s="16" t="s">
        <v>3975</v>
      </c>
      <c r="G890" s="17">
        <v>36237</v>
      </c>
      <c r="H890" s="16" t="s">
        <v>1007</v>
      </c>
      <c r="I890" s="16">
        <v>184</v>
      </c>
      <c r="J890" s="16">
        <v>35</v>
      </c>
      <c r="K890" s="16">
        <v>3</v>
      </c>
      <c r="L890" s="16" t="s">
        <v>3976</v>
      </c>
    </row>
    <row r="891" spans="1:12" x14ac:dyDescent="0.4">
      <c r="A891" s="16" t="s">
        <v>299</v>
      </c>
      <c r="B891" s="16">
        <v>6</v>
      </c>
      <c r="C891" s="16" t="s">
        <v>686</v>
      </c>
      <c r="D891" s="16" t="s">
        <v>3977</v>
      </c>
      <c r="E891" s="16" t="s">
        <v>3978</v>
      </c>
      <c r="F891" s="16" t="s">
        <v>3979</v>
      </c>
      <c r="G891" s="17">
        <v>36034</v>
      </c>
      <c r="H891" s="16" t="s">
        <v>727</v>
      </c>
      <c r="I891" s="16">
        <v>183</v>
      </c>
      <c r="J891" s="16">
        <v>20</v>
      </c>
      <c r="K891" s="16">
        <v>2</v>
      </c>
      <c r="L891" s="16" t="s">
        <v>3980</v>
      </c>
    </row>
    <row r="892" spans="1:12" x14ac:dyDescent="0.4">
      <c r="A892" s="16" t="s">
        <v>299</v>
      </c>
      <c r="B892" s="16">
        <v>7</v>
      </c>
      <c r="C892" s="16" t="s">
        <v>691</v>
      </c>
      <c r="D892" s="16" t="s">
        <v>3981</v>
      </c>
      <c r="E892" s="16" t="s">
        <v>3982</v>
      </c>
      <c r="F892" s="16" t="s">
        <v>3983</v>
      </c>
      <c r="G892" s="17">
        <v>31083</v>
      </c>
      <c r="H892" s="16" t="s">
        <v>3984</v>
      </c>
      <c r="I892" s="16">
        <v>185</v>
      </c>
      <c r="J892" s="16">
        <v>228</v>
      </c>
      <c r="K892" s="16">
        <v>143</v>
      </c>
      <c r="L892" s="16" t="s">
        <v>3985</v>
      </c>
    </row>
    <row r="893" spans="1:12" x14ac:dyDescent="0.4">
      <c r="A893" s="16" t="s">
        <v>299</v>
      </c>
      <c r="B893" s="16">
        <v>8</v>
      </c>
      <c r="C893" s="16" t="s">
        <v>686</v>
      </c>
      <c r="D893" s="16" t="s">
        <v>3986</v>
      </c>
      <c r="E893" s="16" t="s">
        <v>3987</v>
      </c>
      <c r="F893" s="16" t="s">
        <v>3988</v>
      </c>
      <c r="G893" s="17">
        <v>34585</v>
      </c>
      <c r="H893" s="16" t="s">
        <v>1007</v>
      </c>
      <c r="I893" s="16">
        <v>183</v>
      </c>
      <c r="J893" s="16">
        <v>89</v>
      </c>
      <c r="K893" s="16">
        <v>29</v>
      </c>
      <c r="L893" s="16" t="s">
        <v>3989</v>
      </c>
    </row>
    <row r="894" spans="1:12" x14ac:dyDescent="0.4">
      <c r="A894" s="16" t="s">
        <v>299</v>
      </c>
      <c r="B894" s="16">
        <v>9</v>
      </c>
      <c r="C894" s="16" t="s">
        <v>691</v>
      </c>
      <c r="D894" s="16" t="s">
        <v>3990</v>
      </c>
      <c r="E894" s="16" t="s">
        <v>3991</v>
      </c>
      <c r="F894" s="16" t="s">
        <v>3992</v>
      </c>
      <c r="G894" s="17">
        <v>37062</v>
      </c>
      <c r="H894" s="16" t="s">
        <v>1165</v>
      </c>
      <c r="I894" s="16">
        <v>185</v>
      </c>
      <c r="J894" s="16">
        <v>25</v>
      </c>
      <c r="K894" s="16">
        <v>10</v>
      </c>
      <c r="L894" s="16" t="s">
        <v>3993</v>
      </c>
    </row>
    <row r="895" spans="1:12" x14ac:dyDescent="0.4">
      <c r="A895" s="16" t="s">
        <v>299</v>
      </c>
      <c r="B895" s="16">
        <v>10</v>
      </c>
      <c r="C895" s="16" t="s">
        <v>686</v>
      </c>
      <c r="D895" s="16" t="s">
        <v>3994</v>
      </c>
      <c r="E895" s="16" t="s">
        <v>3995</v>
      </c>
      <c r="F895" s="16" t="s">
        <v>3996</v>
      </c>
      <c r="G895" s="17">
        <v>34556</v>
      </c>
      <c r="H895" s="16" t="s">
        <v>727</v>
      </c>
      <c r="I895" s="16">
        <v>173</v>
      </c>
      <c r="J895" s="16">
        <v>109</v>
      </c>
      <c r="K895" s="16">
        <v>14</v>
      </c>
      <c r="L895" s="16" t="s">
        <v>3997</v>
      </c>
    </row>
    <row r="896" spans="1:12" x14ac:dyDescent="0.4">
      <c r="A896" s="16" t="s">
        <v>299</v>
      </c>
      <c r="B896" s="16">
        <v>11</v>
      </c>
      <c r="C896" s="16" t="s">
        <v>691</v>
      </c>
      <c r="D896" s="16" t="s">
        <v>3998</v>
      </c>
      <c r="E896" s="16" t="s">
        <v>3999</v>
      </c>
      <c r="F896" s="16" t="s">
        <v>4000</v>
      </c>
      <c r="G896" s="17">
        <v>36474</v>
      </c>
      <c r="H896" s="16" t="s">
        <v>3984</v>
      </c>
      <c r="I896" s="16">
        <v>179</v>
      </c>
      <c r="J896" s="16">
        <v>54</v>
      </c>
      <c r="K896" s="16">
        <v>12</v>
      </c>
      <c r="L896" s="16" t="s">
        <v>4001</v>
      </c>
    </row>
    <row r="897" spans="1:12" x14ac:dyDescent="0.4">
      <c r="A897" s="16" t="s">
        <v>299</v>
      </c>
      <c r="B897" s="16">
        <v>12</v>
      </c>
      <c r="C897" s="16" t="s">
        <v>664</v>
      </c>
      <c r="D897" s="16" t="s">
        <v>4002</v>
      </c>
      <c r="E897" s="16" t="s">
        <v>4003</v>
      </c>
      <c r="F897" s="16" t="s">
        <v>4004</v>
      </c>
      <c r="G897" s="17">
        <v>33986</v>
      </c>
      <c r="H897" s="16" t="s">
        <v>2068</v>
      </c>
      <c r="I897" s="16">
        <v>192</v>
      </c>
      <c r="J897" s="16">
        <v>5</v>
      </c>
      <c r="K897" s="16">
        <v>0</v>
      </c>
      <c r="L897" s="16" t="s">
        <v>4005</v>
      </c>
    </row>
    <row r="898" spans="1:12" x14ac:dyDescent="0.4">
      <c r="A898" s="16" t="s">
        <v>299</v>
      </c>
      <c r="B898" s="16">
        <v>13</v>
      </c>
      <c r="C898" s="16" t="s">
        <v>669</v>
      </c>
      <c r="D898" s="16" t="s">
        <v>4006</v>
      </c>
      <c r="E898" s="16" t="s">
        <v>4007</v>
      </c>
      <c r="F898" s="16" t="s">
        <v>4006</v>
      </c>
      <c r="G898" s="17">
        <v>37831</v>
      </c>
      <c r="H898" s="16" t="s">
        <v>1274</v>
      </c>
      <c r="I898" s="16">
        <v>188</v>
      </c>
      <c r="J898" s="16">
        <v>13</v>
      </c>
      <c r="K898" s="16">
        <v>1</v>
      </c>
      <c r="L898" s="16" t="s">
        <v>4008</v>
      </c>
    </row>
    <row r="899" spans="1:12" x14ac:dyDescent="0.4">
      <c r="A899" s="16" t="s">
        <v>299</v>
      </c>
      <c r="B899" s="16">
        <v>14</v>
      </c>
      <c r="C899" s="16" t="s">
        <v>669</v>
      </c>
      <c r="D899" s="16" t="s">
        <v>4009</v>
      </c>
      <c r="E899" s="16" t="s">
        <v>3991</v>
      </c>
      <c r="F899" s="16" t="s">
        <v>4010</v>
      </c>
      <c r="G899" s="17">
        <v>37128</v>
      </c>
      <c r="H899" s="16" t="s">
        <v>970</v>
      </c>
      <c r="I899" s="16">
        <v>185</v>
      </c>
      <c r="J899" s="16">
        <v>22</v>
      </c>
      <c r="K899" s="16">
        <v>2</v>
      </c>
      <c r="L899" s="16" t="s">
        <v>4011</v>
      </c>
    </row>
    <row r="900" spans="1:12" x14ac:dyDescent="0.4">
      <c r="A900" s="16" t="s">
        <v>299</v>
      </c>
      <c r="B900" s="16">
        <v>15</v>
      </c>
      <c r="C900" s="16" t="s">
        <v>686</v>
      </c>
      <c r="D900" s="16" t="s">
        <v>4012</v>
      </c>
      <c r="E900" s="16" t="s">
        <v>4013</v>
      </c>
      <c r="F900" s="16" t="s">
        <v>4014</v>
      </c>
      <c r="G900" s="17">
        <v>38257</v>
      </c>
      <c r="H900" s="16" t="s">
        <v>1165</v>
      </c>
      <c r="I900" s="16">
        <v>171</v>
      </c>
      <c r="J900" s="16">
        <v>22</v>
      </c>
      <c r="K900" s="16">
        <v>3</v>
      </c>
      <c r="L900" s="16" t="s">
        <v>4015</v>
      </c>
    </row>
    <row r="901" spans="1:12" x14ac:dyDescent="0.4">
      <c r="A901" s="16" t="s">
        <v>299</v>
      </c>
      <c r="B901" s="16">
        <v>16</v>
      </c>
      <c r="C901" s="16" t="s">
        <v>691</v>
      </c>
      <c r="D901" s="16" t="s">
        <v>4016</v>
      </c>
      <c r="E901" s="16" t="s">
        <v>4017</v>
      </c>
      <c r="F901" s="16" t="s">
        <v>4018</v>
      </c>
      <c r="G901" s="17">
        <v>36523</v>
      </c>
      <c r="H901" s="16" t="s">
        <v>970</v>
      </c>
      <c r="I901" s="16">
        <v>184</v>
      </c>
      <c r="J901" s="16">
        <v>18</v>
      </c>
      <c r="K901" s="16">
        <v>3</v>
      </c>
      <c r="L901" s="16" t="s">
        <v>4019</v>
      </c>
    </row>
    <row r="902" spans="1:12" x14ac:dyDescent="0.4">
      <c r="A902" s="16" t="s">
        <v>299</v>
      </c>
      <c r="B902" s="16">
        <v>17</v>
      </c>
      <c r="C902" s="16" t="s">
        <v>691</v>
      </c>
      <c r="D902" s="16" t="s">
        <v>4020</v>
      </c>
      <c r="E902" s="16" t="s">
        <v>4021</v>
      </c>
      <c r="F902" s="16" t="s">
        <v>4022</v>
      </c>
      <c r="G902" s="17">
        <v>36321</v>
      </c>
      <c r="H902" s="16" t="s">
        <v>1023</v>
      </c>
      <c r="I902" s="16">
        <v>188</v>
      </c>
      <c r="J902" s="16">
        <v>44</v>
      </c>
      <c r="K902" s="16">
        <v>5</v>
      </c>
      <c r="L902" s="16" t="s">
        <v>4023</v>
      </c>
    </row>
    <row r="903" spans="1:12" x14ac:dyDescent="0.4">
      <c r="A903" s="16" t="s">
        <v>299</v>
      </c>
      <c r="B903" s="16">
        <v>18</v>
      </c>
      <c r="C903" s="16" t="s">
        <v>691</v>
      </c>
      <c r="D903" s="16" t="s">
        <v>4024</v>
      </c>
      <c r="E903" s="16" t="s">
        <v>4025</v>
      </c>
      <c r="F903" s="16" t="s">
        <v>4026</v>
      </c>
      <c r="G903" s="17">
        <v>36594</v>
      </c>
      <c r="H903" s="16" t="s">
        <v>1554</v>
      </c>
      <c r="I903" s="16">
        <v>174</v>
      </c>
      <c r="J903" s="16">
        <v>25</v>
      </c>
      <c r="K903" s="16">
        <v>3</v>
      </c>
      <c r="L903" s="16" t="s">
        <v>4027</v>
      </c>
    </row>
    <row r="904" spans="1:12" x14ac:dyDescent="0.4">
      <c r="A904" s="16" t="s">
        <v>299</v>
      </c>
      <c r="B904" s="16">
        <v>19</v>
      </c>
      <c r="C904" s="16" t="s">
        <v>691</v>
      </c>
      <c r="D904" s="16" t="s">
        <v>4028</v>
      </c>
      <c r="E904" s="16" t="s">
        <v>4029</v>
      </c>
      <c r="F904" s="16" t="s">
        <v>4030</v>
      </c>
      <c r="G904" s="17">
        <v>35398</v>
      </c>
      <c r="H904" s="16" t="s">
        <v>1890</v>
      </c>
      <c r="I904" s="16">
        <v>179</v>
      </c>
      <c r="J904" s="16">
        <v>34</v>
      </c>
      <c r="K904" s="16">
        <v>8</v>
      </c>
      <c r="L904" s="16" t="s">
        <v>4031</v>
      </c>
    </row>
    <row r="905" spans="1:12" x14ac:dyDescent="0.4">
      <c r="A905" s="16" t="s">
        <v>299</v>
      </c>
      <c r="B905" s="16">
        <v>20</v>
      </c>
      <c r="C905" s="16" t="s">
        <v>669</v>
      </c>
      <c r="D905" s="16" t="s">
        <v>4032</v>
      </c>
      <c r="E905" s="16" t="s">
        <v>4013</v>
      </c>
      <c r="F905" s="16" t="s">
        <v>4033</v>
      </c>
      <c r="G905" s="17">
        <v>34481</v>
      </c>
      <c r="H905" s="16" t="s">
        <v>1193</v>
      </c>
      <c r="I905" s="16">
        <v>173</v>
      </c>
      <c r="J905" s="16">
        <v>68</v>
      </c>
      <c r="K905" s="16">
        <v>12</v>
      </c>
      <c r="L905" s="16" t="s">
        <v>4034</v>
      </c>
    </row>
    <row r="906" spans="1:12" x14ac:dyDescent="0.4">
      <c r="A906" s="16" t="s">
        <v>299</v>
      </c>
      <c r="B906" s="16">
        <v>21</v>
      </c>
      <c r="C906" s="16" t="s">
        <v>686</v>
      </c>
      <c r="D906" s="16" t="s">
        <v>4035</v>
      </c>
      <c r="E906" s="16" t="s">
        <v>4036</v>
      </c>
      <c r="F906" s="16" t="s">
        <v>4037</v>
      </c>
      <c r="G906" s="17">
        <v>35502</v>
      </c>
      <c r="H906" s="16" t="s">
        <v>2475</v>
      </c>
      <c r="I906" s="16">
        <v>183</v>
      </c>
      <c r="J906" s="16">
        <v>67</v>
      </c>
      <c r="K906" s="16">
        <v>1</v>
      </c>
      <c r="L906" s="16" t="s">
        <v>4038</v>
      </c>
    </row>
    <row r="907" spans="1:12" x14ac:dyDescent="0.4">
      <c r="A907" s="16" t="s">
        <v>299</v>
      </c>
      <c r="B907" s="16">
        <v>22</v>
      </c>
      <c r="C907" s="16" t="s">
        <v>664</v>
      </c>
      <c r="D907" s="16" t="s">
        <v>4039</v>
      </c>
      <c r="E907" s="16" t="s">
        <v>4040</v>
      </c>
      <c r="F907" s="16" t="s">
        <v>4039</v>
      </c>
      <c r="G907" s="17">
        <v>34372</v>
      </c>
      <c r="H907" s="16" t="s">
        <v>970</v>
      </c>
      <c r="I907" s="16">
        <v>191</v>
      </c>
      <c r="J907" s="16">
        <v>3</v>
      </c>
      <c r="K907" s="16">
        <v>0</v>
      </c>
      <c r="L907" s="16" t="s">
        <v>4041</v>
      </c>
    </row>
    <row r="908" spans="1:12" x14ac:dyDescent="0.4">
      <c r="A908" s="16" t="s">
        <v>299</v>
      </c>
      <c r="B908" s="16">
        <v>23</v>
      </c>
      <c r="C908" s="16" t="s">
        <v>686</v>
      </c>
      <c r="D908" s="16" t="s">
        <v>4042</v>
      </c>
      <c r="E908" s="16" t="s">
        <v>4043</v>
      </c>
      <c r="F908" s="16" t="s">
        <v>4042</v>
      </c>
      <c r="G908" s="17">
        <v>36569</v>
      </c>
      <c r="H908" s="16" t="s">
        <v>1165</v>
      </c>
      <c r="I908" s="16">
        <v>170</v>
      </c>
      <c r="J908" s="16">
        <v>38</v>
      </c>
      <c r="K908" s="16">
        <v>0</v>
      </c>
      <c r="L908" s="16" t="s">
        <v>4044</v>
      </c>
    </row>
    <row r="909" spans="1:12" x14ac:dyDescent="0.4">
      <c r="A909" s="16" t="s">
        <v>299</v>
      </c>
      <c r="B909" s="16">
        <v>24</v>
      </c>
      <c r="C909" s="16" t="s">
        <v>669</v>
      </c>
      <c r="D909" s="16" t="s">
        <v>4045</v>
      </c>
      <c r="E909" s="16" t="s">
        <v>4046</v>
      </c>
      <c r="F909" s="16" t="s">
        <v>4047</v>
      </c>
      <c r="G909" s="17">
        <v>36857</v>
      </c>
      <c r="H909" s="16" t="s">
        <v>1638</v>
      </c>
      <c r="I909" s="16">
        <v>185</v>
      </c>
      <c r="J909" s="16">
        <v>6</v>
      </c>
      <c r="K909" s="16">
        <v>0</v>
      </c>
      <c r="L909" s="16" t="s">
        <v>4048</v>
      </c>
    </row>
    <row r="910" spans="1:12" x14ac:dyDescent="0.4">
      <c r="A910" s="16" t="s">
        <v>299</v>
      </c>
      <c r="B910" s="16">
        <v>25</v>
      </c>
      <c r="C910" s="16" t="s">
        <v>669</v>
      </c>
      <c r="D910" s="16" t="s">
        <v>4049</v>
      </c>
      <c r="E910" s="16" t="s">
        <v>4050</v>
      </c>
      <c r="F910" s="16" t="s">
        <v>4051</v>
      </c>
      <c r="G910" s="17">
        <v>37426</v>
      </c>
      <c r="H910" s="16" t="s">
        <v>1165</v>
      </c>
      <c r="I910" s="16">
        <v>177</v>
      </c>
      <c r="J910" s="16">
        <v>44</v>
      </c>
      <c r="K910" s="16">
        <v>1</v>
      </c>
      <c r="L910" s="16" t="s">
        <v>4052</v>
      </c>
    </row>
    <row r="911" spans="1:12" x14ac:dyDescent="0.4">
      <c r="A911" s="16" t="s">
        <v>299</v>
      </c>
      <c r="B911" s="16">
        <v>26</v>
      </c>
      <c r="C911" s="16" t="s">
        <v>691</v>
      </c>
      <c r="D911" s="16" t="s">
        <v>4053</v>
      </c>
      <c r="E911" s="16" t="s">
        <v>4054</v>
      </c>
      <c r="F911" s="16" t="s">
        <v>4055</v>
      </c>
      <c r="G911" s="17">
        <v>37604</v>
      </c>
      <c r="H911" s="16" t="s">
        <v>1204</v>
      </c>
      <c r="I911" s="16">
        <v>166</v>
      </c>
      <c r="J911" s="16">
        <v>17</v>
      </c>
      <c r="K911" s="16">
        <v>4</v>
      </c>
      <c r="L911" s="16" t="s">
        <v>4056</v>
      </c>
    </row>
    <row r="912" spans="1:12" x14ac:dyDescent="0.4">
      <c r="A912" s="16" t="s">
        <v>283</v>
      </c>
      <c r="B912" s="16">
        <v>1</v>
      </c>
      <c r="C912" s="16" t="s">
        <v>664</v>
      </c>
      <c r="D912" s="16" t="s">
        <v>4057</v>
      </c>
      <c r="E912" s="16" t="s">
        <v>4058</v>
      </c>
      <c r="F912" s="16" t="s">
        <v>4059</v>
      </c>
      <c r="G912" s="17">
        <v>36561</v>
      </c>
      <c r="H912" s="16" t="s">
        <v>4060</v>
      </c>
      <c r="I912" s="16">
        <v>185</v>
      </c>
      <c r="J912" s="16">
        <v>6</v>
      </c>
      <c r="K912" s="16">
        <v>0</v>
      </c>
      <c r="L912" s="16" t="s">
        <v>4059</v>
      </c>
    </row>
    <row r="913" spans="1:12" x14ac:dyDescent="0.4">
      <c r="A913" s="16" t="s">
        <v>283</v>
      </c>
      <c r="B913" s="16">
        <v>2</v>
      </c>
      <c r="C913" s="16" t="s">
        <v>669</v>
      </c>
      <c r="D913" s="16" t="s">
        <v>4061</v>
      </c>
      <c r="E913" s="16" t="s">
        <v>4062</v>
      </c>
      <c r="F913" s="16" t="s">
        <v>4063</v>
      </c>
      <c r="G913" s="17">
        <v>33091</v>
      </c>
      <c r="H913" s="16" t="s">
        <v>4064</v>
      </c>
      <c r="I913" s="16">
        <v>180</v>
      </c>
      <c r="J913" s="16">
        <v>105</v>
      </c>
      <c r="K913" s="16">
        <v>3</v>
      </c>
      <c r="L913" s="16" t="s">
        <v>4065</v>
      </c>
    </row>
    <row r="914" spans="1:12" x14ac:dyDescent="0.4">
      <c r="A914" s="16" t="s">
        <v>283</v>
      </c>
      <c r="B914" s="16">
        <v>3</v>
      </c>
      <c r="C914" s="16" t="s">
        <v>669</v>
      </c>
      <c r="D914" s="16" t="s">
        <v>4066</v>
      </c>
      <c r="E914" s="16" t="s">
        <v>4067</v>
      </c>
      <c r="F914" s="16" t="s">
        <v>4068</v>
      </c>
      <c r="G914" s="17">
        <v>33057</v>
      </c>
      <c r="H914" s="16" t="s">
        <v>2289</v>
      </c>
      <c r="I914" s="16">
        <v>179</v>
      </c>
      <c r="J914" s="16">
        <v>25</v>
      </c>
      <c r="K914" s="16">
        <v>1</v>
      </c>
      <c r="L914" s="16" t="s">
        <v>4069</v>
      </c>
    </row>
    <row r="915" spans="1:12" x14ac:dyDescent="0.4">
      <c r="A915" s="16" t="s">
        <v>283</v>
      </c>
      <c r="B915" s="16">
        <v>4</v>
      </c>
      <c r="C915" s="16" t="s">
        <v>669</v>
      </c>
      <c r="D915" s="16" t="s">
        <v>4070</v>
      </c>
      <c r="E915" s="16" t="s">
        <v>4071</v>
      </c>
      <c r="F915" s="16" t="s">
        <v>4072</v>
      </c>
      <c r="G915" s="17">
        <v>35786</v>
      </c>
      <c r="H915" s="16" t="s">
        <v>4073</v>
      </c>
      <c r="I915" s="16">
        <v>178</v>
      </c>
      <c r="J915" s="16">
        <v>4</v>
      </c>
      <c r="K915" s="16">
        <v>0</v>
      </c>
      <c r="L915" s="16" t="s">
        <v>4074</v>
      </c>
    </row>
    <row r="916" spans="1:12" x14ac:dyDescent="0.4">
      <c r="A916" s="16" t="s">
        <v>283</v>
      </c>
      <c r="B916" s="16">
        <v>5</v>
      </c>
      <c r="C916" s="16" t="s">
        <v>669</v>
      </c>
      <c r="D916" s="16" t="s">
        <v>4075</v>
      </c>
      <c r="E916" s="16" t="s">
        <v>4076</v>
      </c>
      <c r="F916" s="16" t="s">
        <v>4077</v>
      </c>
      <c r="G916" s="17">
        <v>37307</v>
      </c>
      <c r="H916" s="16" t="s">
        <v>4060</v>
      </c>
      <c r="I916" s="16">
        <v>181</v>
      </c>
      <c r="J916" s="16">
        <v>32</v>
      </c>
      <c r="K916" s="16">
        <v>1</v>
      </c>
      <c r="L916" s="16" t="s">
        <v>4078</v>
      </c>
    </row>
    <row r="917" spans="1:12" x14ac:dyDescent="0.4">
      <c r="A917" s="16" t="s">
        <v>283</v>
      </c>
      <c r="B917" s="16">
        <v>6</v>
      </c>
      <c r="C917" s="16" t="s">
        <v>686</v>
      </c>
      <c r="D917" s="16" t="s">
        <v>4079</v>
      </c>
      <c r="E917" s="16" t="s">
        <v>4080</v>
      </c>
      <c r="F917" s="16" t="s">
        <v>4081</v>
      </c>
      <c r="G917" s="17">
        <v>32874</v>
      </c>
      <c r="H917" s="16" t="s">
        <v>4060</v>
      </c>
      <c r="I917" s="16">
        <v>179</v>
      </c>
      <c r="J917" s="16">
        <v>119</v>
      </c>
      <c r="K917" s="16">
        <v>11</v>
      </c>
      <c r="L917" s="16" t="s">
        <v>2285</v>
      </c>
    </row>
    <row r="918" spans="1:12" x14ac:dyDescent="0.4">
      <c r="A918" s="16" t="s">
        <v>283</v>
      </c>
      <c r="B918" s="16">
        <v>7</v>
      </c>
      <c r="C918" s="16" t="s">
        <v>691</v>
      </c>
      <c r="D918" s="16" t="s">
        <v>4082</v>
      </c>
      <c r="E918" s="16" t="s">
        <v>4083</v>
      </c>
      <c r="F918" s="16" t="s">
        <v>4084</v>
      </c>
      <c r="G918" s="17">
        <v>34000</v>
      </c>
      <c r="H918" s="16" t="s">
        <v>4060</v>
      </c>
      <c r="I918" s="16">
        <v>179</v>
      </c>
      <c r="J918" s="16">
        <v>68</v>
      </c>
      <c r="K918" s="16">
        <v>9</v>
      </c>
      <c r="L918" s="16" t="s">
        <v>4085</v>
      </c>
    </row>
    <row r="919" spans="1:12" x14ac:dyDescent="0.4">
      <c r="A919" s="16" t="s">
        <v>283</v>
      </c>
      <c r="B919" s="16">
        <v>8</v>
      </c>
      <c r="C919" s="16" t="s">
        <v>691</v>
      </c>
      <c r="D919" s="16" t="s">
        <v>4086</v>
      </c>
      <c r="E919" s="16" t="s">
        <v>4087</v>
      </c>
      <c r="F919" s="16" t="s">
        <v>4088</v>
      </c>
      <c r="G919" s="17">
        <v>34565</v>
      </c>
      <c r="H919" s="16" t="s">
        <v>745</v>
      </c>
      <c r="I919" s="16">
        <v>180</v>
      </c>
      <c r="J919" s="16">
        <v>16</v>
      </c>
      <c r="K919" s="16">
        <v>0</v>
      </c>
      <c r="L919" s="16" t="s">
        <v>4089</v>
      </c>
    </row>
    <row r="920" spans="1:12" x14ac:dyDescent="0.4">
      <c r="A920" s="16" t="s">
        <v>283</v>
      </c>
      <c r="B920" s="16">
        <v>9</v>
      </c>
      <c r="C920" s="16" t="s">
        <v>691</v>
      </c>
      <c r="D920" s="16" t="s">
        <v>4090</v>
      </c>
      <c r="E920" s="16" t="s">
        <v>4091</v>
      </c>
      <c r="F920" s="16" t="s">
        <v>4092</v>
      </c>
      <c r="G920" s="17">
        <v>34323</v>
      </c>
      <c r="H920" s="16" t="s">
        <v>4093</v>
      </c>
      <c r="I920" s="16">
        <v>192</v>
      </c>
      <c r="J920" s="16">
        <v>67</v>
      </c>
      <c r="K920" s="16">
        <v>16</v>
      </c>
      <c r="L920" s="16" t="s">
        <v>4092</v>
      </c>
    </row>
    <row r="921" spans="1:12" x14ac:dyDescent="0.4">
      <c r="A921" s="16" t="s">
        <v>283</v>
      </c>
      <c r="B921" s="16">
        <v>10</v>
      </c>
      <c r="C921" s="16" t="s">
        <v>691</v>
      </c>
      <c r="D921" s="16" t="s">
        <v>4094</v>
      </c>
      <c r="E921" s="16" t="s">
        <v>4095</v>
      </c>
      <c r="F921" s="16" t="s">
        <v>4096</v>
      </c>
      <c r="G921" s="17">
        <v>33218</v>
      </c>
      <c r="H921" s="16" t="s">
        <v>4064</v>
      </c>
      <c r="I921" s="16">
        <v>174</v>
      </c>
      <c r="J921" s="16">
        <v>186</v>
      </c>
      <c r="K921" s="16">
        <v>41</v>
      </c>
      <c r="L921" s="16" t="s">
        <v>4096</v>
      </c>
    </row>
    <row r="922" spans="1:12" x14ac:dyDescent="0.4">
      <c r="A922" s="16" t="s">
        <v>283</v>
      </c>
      <c r="B922" s="16">
        <v>11</v>
      </c>
      <c r="C922" s="16" t="s">
        <v>691</v>
      </c>
      <c r="D922" s="16" t="s">
        <v>4097</v>
      </c>
      <c r="E922" s="16" t="s">
        <v>4098</v>
      </c>
      <c r="F922" s="16" t="s">
        <v>4099</v>
      </c>
      <c r="G922" s="17">
        <v>35387</v>
      </c>
      <c r="H922" s="16" t="s">
        <v>4064</v>
      </c>
      <c r="I922" s="16">
        <v>176</v>
      </c>
      <c r="J922" s="16">
        <v>125</v>
      </c>
      <c r="K922" s="16">
        <v>39</v>
      </c>
      <c r="L922" s="16" t="s">
        <v>4099</v>
      </c>
    </row>
    <row r="923" spans="1:12" x14ac:dyDescent="0.4">
      <c r="A923" s="16" t="s">
        <v>283</v>
      </c>
      <c r="B923" s="16">
        <v>12</v>
      </c>
      <c r="C923" s="16" t="s">
        <v>686</v>
      </c>
      <c r="D923" s="16" t="s">
        <v>4100</v>
      </c>
      <c r="E923" s="16" t="s">
        <v>4101</v>
      </c>
      <c r="F923" s="16" t="s">
        <v>4102</v>
      </c>
      <c r="G923" s="17">
        <v>33132</v>
      </c>
      <c r="H923" s="16" t="s">
        <v>745</v>
      </c>
      <c r="I923" s="16">
        <v>190</v>
      </c>
      <c r="J923" s="16">
        <v>118</v>
      </c>
      <c r="K923" s="16">
        <v>5</v>
      </c>
      <c r="L923" s="16" t="s">
        <v>4103</v>
      </c>
    </row>
    <row r="924" spans="1:12" x14ac:dyDescent="0.4">
      <c r="A924" s="16" t="s">
        <v>283</v>
      </c>
      <c r="B924" s="16">
        <v>13</v>
      </c>
      <c r="C924" s="16" t="s">
        <v>669</v>
      </c>
      <c r="D924" s="16" t="s">
        <v>4104</v>
      </c>
      <c r="E924" s="16" t="s">
        <v>4105</v>
      </c>
      <c r="F924" s="16" t="s">
        <v>4106</v>
      </c>
      <c r="G924" s="17">
        <v>38422</v>
      </c>
      <c r="H924" s="16" t="s">
        <v>4093</v>
      </c>
      <c r="I924" s="16">
        <v>181</v>
      </c>
      <c r="J924" s="16">
        <v>6</v>
      </c>
      <c r="K924" s="16">
        <v>0</v>
      </c>
      <c r="L924" s="16" t="s">
        <v>4107</v>
      </c>
    </row>
    <row r="925" spans="1:12" x14ac:dyDescent="0.4">
      <c r="A925" s="16" t="s">
        <v>283</v>
      </c>
      <c r="B925" s="16">
        <v>14</v>
      </c>
      <c r="C925" s="16" t="s">
        <v>669</v>
      </c>
      <c r="D925" s="16" t="s">
        <v>4108</v>
      </c>
      <c r="E925" s="16" t="s">
        <v>4109</v>
      </c>
      <c r="F925" s="16" t="s">
        <v>4110</v>
      </c>
      <c r="G925" s="17">
        <v>36397</v>
      </c>
      <c r="H925" s="16" t="s">
        <v>4111</v>
      </c>
      <c r="I925" s="16">
        <v>188</v>
      </c>
      <c r="J925" s="16">
        <v>68</v>
      </c>
      <c r="K925" s="16">
        <v>3</v>
      </c>
      <c r="L925" s="16" t="s">
        <v>1448</v>
      </c>
    </row>
    <row r="926" spans="1:12" x14ac:dyDescent="0.4">
      <c r="A926" s="16" t="s">
        <v>283</v>
      </c>
      <c r="B926" s="16">
        <v>15</v>
      </c>
      <c r="C926" s="16" t="s">
        <v>691</v>
      </c>
      <c r="D926" s="16" t="s">
        <v>4112</v>
      </c>
      <c r="E926" s="16" t="s">
        <v>4113</v>
      </c>
      <c r="F926" s="16" t="s">
        <v>4114</v>
      </c>
      <c r="G926" s="17">
        <v>36378</v>
      </c>
      <c r="H926" s="16" t="s">
        <v>2289</v>
      </c>
      <c r="I926" s="16">
        <v>171</v>
      </c>
      <c r="J926" s="16">
        <v>39</v>
      </c>
      <c r="K926" s="16">
        <v>3</v>
      </c>
      <c r="L926" s="16" t="s">
        <v>4114</v>
      </c>
    </row>
    <row r="927" spans="1:12" x14ac:dyDescent="0.4">
      <c r="A927" s="16" t="s">
        <v>283</v>
      </c>
      <c r="B927" s="16">
        <v>16</v>
      </c>
      <c r="C927" s="16" t="s">
        <v>669</v>
      </c>
      <c r="D927" s="16" t="s">
        <v>4115</v>
      </c>
      <c r="E927" s="16" t="s">
        <v>4116</v>
      </c>
      <c r="F927" s="16" t="s">
        <v>4117</v>
      </c>
      <c r="G927" s="17">
        <v>33063</v>
      </c>
      <c r="H927" s="16" t="s">
        <v>4064</v>
      </c>
      <c r="I927" s="16">
        <v>185</v>
      </c>
      <c r="J927" s="16">
        <v>116</v>
      </c>
      <c r="K927" s="16">
        <v>20</v>
      </c>
      <c r="L927" s="16" t="s">
        <v>4117</v>
      </c>
    </row>
    <row r="928" spans="1:12" x14ac:dyDescent="0.4">
      <c r="A928" s="16" t="s">
        <v>283</v>
      </c>
      <c r="B928" s="16">
        <v>17</v>
      </c>
      <c r="C928" s="16" t="s">
        <v>686</v>
      </c>
      <c r="D928" s="16" t="s">
        <v>4118</v>
      </c>
      <c r="E928" s="16" t="s">
        <v>4119</v>
      </c>
      <c r="F928" s="16" t="s">
        <v>4120</v>
      </c>
      <c r="G928" s="17">
        <v>36791</v>
      </c>
      <c r="H928" s="16" t="s">
        <v>4093</v>
      </c>
      <c r="I928" s="16">
        <v>175</v>
      </c>
      <c r="J928" s="16">
        <v>13</v>
      </c>
      <c r="K928" s="16">
        <v>1</v>
      </c>
      <c r="L928" s="16" t="s">
        <v>4121</v>
      </c>
    </row>
    <row r="929" spans="1:12" x14ac:dyDescent="0.4">
      <c r="A929" s="16" t="s">
        <v>283</v>
      </c>
      <c r="B929" s="16">
        <v>18</v>
      </c>
      <c r="C929" s="16" t="s">
        <v>669</v>
      </c>
      <c r="D929" s="16" t="s">
        <v>4122</v>
      </c>
      <c r="E929" s="16" t="s">
        <v>4123</v>
      </c>
      <c r="F929" s="16" t="s">
        <v>4124</v>
      </c>
      <c r="G929" s="17">
        <v>35162</v>
      </c>
      <c r="H929" s="16" t="s">
        <v>745</v>
      </c>
      <c r="I929" s="16">
        <v>178</v>
      </c>
      <c r="J929" s="16">
        <v>17</v>
      </c>
      <c r="K929" s="16">
        <v>0</v>
      </c>
      <c r="L929" s="16" t="s">
        <v>4125</v>
      </c>
    </row>
    <row r="930" spans="1:12" x14ac:dyDescent="0.4">
      <c r="A930" s="16" t="s">
        <v>283</v>
      </c>
      <c r="B930" s="16">
        <v>19</v>
      </c>
      <c r="C930" s="16" t="s">
        <v>691</v>
      </c>
      <c r="D930" s="16" t="s">
        <v>4126</v>
      </c>
      <c r="E930" s="16" t="s">
        <v>4127</v>
      </c>
      <c r="F930" s="16" t="s">
        <v>4128</v>
      </c>
      <c r="G930" s="17">
        <v>35296</v>
      </c>
      <c r="H930" s="16" t="s">
        <v>745</v>
      </c>
      <c r="I930" s="16">
        <v>180</v>
      </c>
      <c r="J930" s="16">
        <v>115</v>
      </c>
      <c r="K930" s="16">
        <v>55</v>
      </c>
      <c r="L930" s="16" t="s">
        <v>4129</v>
      </c>
    </row>
    <row r="931" spans="1:12" x14ac:dyDescent="0.4">
      <c r="A931" s="16" t="s">
        <v>283</v>
      </c>
      <c r="B931" s="16">
        <v>20</v>
      </c>
      <c r="C931" s="16" t="s">
        <v>686</v>
      </c>
      <c r="D931" s="16" t="s">
        <v>4130</v>
      </c>
      <c r="E931" s="16" t="s">
        <v>4131</v>
      </c>
      <c r="F931" s="16" t="s">
        <v>4132</v>
      </c>
      <c r="G931" s="17">
        <v>33994</v>
      </c>
      <c r="H931" s="16" t="s">
        <v>4073</v>
      </c>
      <c r="I931" s="16">
        <v>171</v>
      </c>
      <c r="J931" s="16">
        <v>48</v>
      </c>
      <c r="K931" s="16">
        <v>0</v>
      </c>
      <c r="L931" s="16" t="s">
        <v>4133</v>
      </c>
    </row>
    <row r="932" spans="1:12" x14ac:dyDescent="0.4">
      <c r="A932" s="16" t="s">
        <v>283</v>
      </c>
      <c r="B932" s="16">
        <v>21</v>
      </c>
      <c r="C932" s="16" t="s">
        <v>664</v>
      </c>
      <c r="D932" s="16" t="s">
        <v>4134</v>
      </c>
      <c r="E932" s="16" t="s">
        <v>4135</v>
      </c>
      <c r="F932" s="16" t="s">
        <v>4136</v>
      </c>
      <c r="G932" s="17">
        <v>36274</v>
      </c>
      <c r="H932" s="16" t="s">
        <v>745</v>
      </c>
      <c r="I932" s="16">
        <v>186</v>
      </c>
      <c r="J932" s="16">
        <v>8</v>
      </c>
      <c r="K932" s="16">
        <v>0</v>
      </c>
      <c r="L932" s="16" t="s">
        <v>2261</v>
      </c>
    </row>
    <row r="933" spans="1:12" x14ac:dyDescent="0.4">
      <c r="A933" s="16" t="s">
        <v>283</v>
      </c>
      <c r="B933" s="16">
        <v>22</v>
      </c>
      <c r="C933" s="16" t="s">
        <v>664</v>
      </c>
      <c r="D933" s="16" t="s">
        <v>4137</v>
      </c>
      <c r="E933" s="16" t="s">
        <v>4138</v>
      </c>
      <c r="F933" s="16" t="s">
        <v>4139</v>
      </c>
      <c r="G933" s="17">
        <v>35840</v>
      </c>
      <c r="H933" s="16" t="s">
        <v>4064</v>
      </c>
      <c r="I933" s="16">
        <v>180</v>
      </c>
      <c r="J933" s="16">
        <v>52</v>
      </c>
      <c r="K933" s="16">
        <v>0</v>
      </c>
      <c r="L933" s="16" t="s">
        <v>4139</v>
      </c>
    </row>
    <row r="934" spans="1:12" x14ac:dyDescent="0.4">
      <c r="A934" s="16" t="s">
        <v>283</v>
      </c>
      <c r="B934" s="16">
        <v>23</v>
      </c>
      <c r="C934" s="16" t="s">
        <v>686</v>
      </c>
      <c r="D934" s="16" t="s">
        <v>4140</v>
      </c>
      <c r="E934" s="16" t="s">
        <v>4141</v>
      </c>
      <c r="F934" s="16" t="s">
        <v>4142</v>
      </c>
      <c r="G934" s="17">
        <v>35360</v>
      </c>
      <c r="H934" s="16" t="s">
        <v>2289</v>
      </c>
      <c r="I934" s="16">
        <v>168</v>
      </c>
      <c r="J934" s="16">
        <v>51</v>
      </c>
      <c r="K934" s="16">
        <v>0</v>
      </c>
      <c r="L934" s="16" t="s">
        <v>4142</v>
      </c>
    </row>
    <row r="935" spans="1:12" x14ac:dyDescent="0.4">
      <c r="A935" s="16" t="s">
        <v>283</v>
      </c>
      <c r="B935" s="16">
        <v>24</v>
      </c>
      <c r="C935" s="16" t="s">
        <v>691</v>
      </c>
      <c r="D935" s="16" t="s">
        <v>4143</v>
      </c>
      <c r="E935" s="16" t="s">
        <v>4144</v>
      </c>
      <c r="F935" s="16" t="s">
        <v>4145</v>
      </c>
      <c r="G935" s="17">
        <v>38884</v>
      </c>
      <c r="H935" s="16" t="s">
        <v>745</v>
      </c>
      <c r="I935" s="16">
        <v>166</v>
      </c>
      <c r="J935" s="16">
        <v>3</v>
      </c>
      <c r="K935" s="16">
        <v>0</v>
      </c>
      <c r="L935" s="16" t="s">
        <v>4146</v>
      </c>
    </row>
    <row r="936" spans="1:12" x14ac:dyDescent="0.4">
      <c r="A936" s="16" t="s">
        <v>283</v>
      </c>
      <c r="B936" s="16">
        <v>25</v>
      </c>
      <c r="C936" s="16" t="s">
        <v>669</v>
      </c>
      <c r="D936" s="16" t="s">
        <v>4147</v>
      </c>
      <c r="E936" s="16" t="s">
        <v>4148</v>
      </c>
      <c r="F936" s="16" t="s">
        <v>4149</v>
      </c>
      <c r="G936" s="17">
        <v>37848</v>
      </c>
      <c r="H936" s="16" t="s">
        <v>4073</v>
      </c>
      <c r="I936" s="16">
        <v>182</v>
      </c>
      <c r="J936" s="16">
        <v>8</v>
      </c>
      <c r="K936" s="16">
        <v>0</v>
      </c>
      <c r="L936" s="16" t="s">
        <v>4150</v>
      </c>
    </row>
    <row r="937" spans="1:12" x14ac:dyDescent="0.4">
      <c r="A937" s="16" t="s">
        <v>283</v>
      </c>
      <c r="B937" s="16">
        <v>26</v>
      </c>
      <c r="C937" s="16" t="s">
        <v>691</v>
      </c>
      <c r="D937" s="16" t="s">
        <v>4151</v>
      </c>
      <c r="E937" s="16" t="s">
        <v>4152</v>
      </c>
      <c r="F937" s="16" t="s">
        <v>4153</v>
      </c>
      <c r="G937" s="17">
        <v>37554</v>
      </c>
      <c r="H937" s="16" t="s">
        <v>4154</v>
      </c>
      <c r="I937" s="16">
        <v>180</v>
      </c>
      <c r="J937" s="16">
        <v>10</v>
      </c>
      <c r="K937" s="16">
        <v>0</v>
      </c>
      <c r="L937" s="16" t="s">
        <v>4153</v>
      </c>
    </row>
    <row r="938" spans="1:12" x14ac:dyDescent="0.4">
      <c r="A938" s="16" t="s">
        <v>352</v>
      </c>
      <c r="B938" s="16">
        <v>1</v>
      </c>
      <c r="C938" s="16" t="s">
        <v>664</v>
      </c>
      <c r="D938" s="16" t="s">
        <v>4155</v>
      </c>
      <c r="E938" s="16" t="s">
        <v>4156</v>
      </c>
      <c r="F938" s="16" t="s">
        <v>4157</v>
      </c>
      <c r="G938" s="17">
        <v>36656</v>
      </c>
      <c r="H938" s="16" t="s">
        <v>3984</v>
      </c>
      <c r="I938" s="16">
        <v>186</v>
      </c>
      <c r="J938" s="16">
        <v>24</v>
      </c>
      <c r="K938" s="16">
        <v>0</v>
      </c>
      <c r="L938" s="16" t="s">
        <v>4157</v>
      </c>
    </row>
    <row r="939" spans="1:12" x14ac:dyDescent="0.4">
      <c r="A939" s="16" t="s">
        <v>352</v>
      </c>
      <c r="B939" s="16">
        <v>2</v>
      </c>
      <c r="C939" s="16" t="s">
        <v>669</v>
      </c>
      <c r="D939" s="16" t="s">
        <v>4158</v>
      </c>
      <c r="E939" s="16" t="s">
        <v>4159</v>
      </c>
      <c r="F939" s="16" t="s">
        <v>4160</v>
      </c>
      <c r="G939" s="17">
        <v>36435</v>
      </c>
      <c r="H939" s="16" t="s">
        <v>695</v>
      </c>
      <c r="I939" s="16">
        <v>169</v>
      </c>
      <c r="J939" s="16">
        <v>21</v>
      </c>
      <c r="K939" s="16">
        <v>0</v>
      </c>
      <c r="L939" s="16" t="s">
        <v>4160</v>
      </c>
    </row>
    <row r="940" spans="1:12" x14ac:dyDescent="0.4">
      <c r="A940" s="16" t="s">
        <v>352</v>
      </c>
      <c r="B940" s="16">
        <v>3</v>
      </c>
      <c r="C940" s="16" t="s">
        <v>669</v>
      </c>
      <c r="D940" s="16" t="s">
        <v>4161</v>
      </c>
      <c r="E940" s="16" t="s">
        <v>4162</v>
      </c>
      <c r="F940" s="16" t="s">
        <v>4163</v>
      </c>
      <c r="G940" s="17">
        <v>35179</v>
      </c>
      <c r="H940" s="16" t="s">
        <v>2475</v>
      </c>
      <c r="I940" s="16">
        <v>177</v>
      </c>
      <c r="J940" s="16">
        <v>24</v>
      </c>
      <c r="K940" s="16">
        <v>1</v>
      </c>
      <c r="L940" s="16" t="s">
        <v>4163</v>
      </c>
    </row>
    <row r="941" spans="1:12" x14ac:dyDescent="0.4">
      <c r="A941" s="16" t="s">
        <v>352</v>
      </c>
      <c r="B941" s="16">
        <v>4</v>
      </c>
      <c r="C941" s="16" t="s">
        <v>669</v>
      </c>
      <c r="D941" s="16" t="s">
        <v>4164</v>
      </c>
      <c r="E941" s="16" t="s">
        <v>4165</v>
      </c>
      <c r="F941" s="16" t="s">
        <v>4166</v>
      </c>
      <c r="G941" s="17">
        <v>35445</v>
      </c>
      <c r="H941" s="16" t="s">
        <v>3984</v>
      </c>
      <c r="I941" s="16">
        <v>185</v>
      </c>
      <c r="J941" s="16">
        <v>44</v>
      </c>
      <c r="K941" s="16">
        <v>1</v>
      </c>
      <c r="L941" s="16" t="s">
        <v>4166</v>
      </c>
    </row>
    <row r="942" spans="1:12" x14ac:dyDescent="0.4">
      <c r="A942" s="16" t="s">
        <v>352</v>
      </c>
      <c r="B942" s="16">
        <v>5</v>
      </c>
      <c r="C942" s="16" t="s">
        <v>669</v>
      </c>
      <c r="D942" s="16" t="s">
        <v>4167</v>
      </c>
      <c r="E942" s="16" t="s">
        <v>4168</v>
      </c>
      <c r="F942" s="16" t="s">
        <v>4169</v>
      </c>
      <c r="G942" s="17">
        <v>36200</v>
      </c>
      <c r="H942" s="16" t="s">
        <v>2475</v>
      </c>
      <c r="I942" s="16">
        <v>183</v>
      </c>
      <c r="J942" s="16">
        <v>54</v>
      </c>
      <c r="K942" s="16">
        <v>1</v>
      </c>
      <c r="L942" s="16" t="s">
        <v>4169</v>
      </c>
    </row>
    <row r="943" spans="1:12" x14ac:dyDescent="0.4">
      <c r="A943" s="16" t="s">
        <v>352</v>
      </c>
      <c r="B943" s="16">
        <v>6</v>
      </c>
      <c r="C943" s="16" t="s">
        <v>686</v>
      </c>
      <c r="D943" s="16" t="s">
        <v>4170</v>
      </c>
      <c r="E943" s="16" t="s">
        <v>4171</v>
      </c>
      <c r="F943" s="16" t="s">
        <v>4172</v>
      </c>
      <c r="G943" s="17">
        <v>36148</v>
      </c>
      <c r="H943" s="16" t="s">
        <v>2475</v>
      </c>
      <c r="I943" s="16">
        <v>178</v>
      </c>
      <c r="J943" s="16">
        <v>47</v>
      </c>
      <c r="K943" s="16">
        <v>1</v>
      </c>
      <c r="L943" s="16" t="s">
        <v>4173</v>
      </c>
    </row>
    <row r="944" spans="1:12" x14ac:dyDescent="0.4">
      <c r="A944" s="16" t="s">
        <v>352</v>
      </c>
      <c r="B944" s="16">
        <v>7</v>
      </c>
      <c r="C944" s="16" t="s">
        <v>686</v>
      </c>
      <c r="D944" s="16" t="s">
        <v>4174</v>
      </c>
      <c r="E944" s="16" t="s">
        <v>4175</v>
      </c>
      <c r="F944" s="16" t="s">
        <v>4176</v>
      </c>
      <c r="G944" s="17">
        <v>37792</v>
      </c>
      <c r="H944" s="16" t="s">
        <v>2621</v>
      </c>
      <c r="I944" s="16">
        <v>175</v>
      </c>
      <c r="J944" s="16">
        <v>37</v>
      </c>
      <c r="K944" s="16">
        <v>6</v>
      </c>
      <c r="L944" s="16" t="s">
        <v>4177</v>
      </c>
    </row>
    <row r="945" spans="1:12" x14ac:dyDescent="0.4">
      <c r="A945" s="16" t="s">
        <v>352</v>
      </c>
      <c r="B945" s="16">
        <v>8</v>
      </c>
      <c r="C945" s="16" t="s">
        <v>691</v>
      </c>
      <c r="D945" s="16" t="s">
        <v>4178</v>
      </c>
      <c r="E945" s="16" t="s">
        <v>4179</v>
      </c>
      <c r="F945" s="16" t="s">
        <v>4180</v>
      </c>
      <c r="G945" s="17">
        <v>37025</v>
      </c>
      <c r="H945" s="16" t="s">
        <v>3984</v>
      </c>
      <c r="I945" s="16">
        <v>173</v>
      </c>
      <c r="J945" s="16">
        <v>26</v>
      </c>
      <c r="K945" s="16">
        <v>0</v>
      </c>
      <c r="L945" s="16" t="s">
        <v>1448</v>
      </c>
    </row>
    <row r="946" spans="1:12" x14ac:dyDescent="0.4">
      <c r="A946" s="16" t="s">
        <v>352</v>
      </c>
      <c r="B946" s="16">
        <v>9</v>
      </c>
      <c r="C946" s="16" t="s">
        <v>691</v>
      </c>
      <c r="D946" s="16" t="s">
        <v>4181</v>
      </c>
      <c r="E946" s="16" t="s">
        <v>4182</v>
      </c>
      <c r="F946" s="16" t="s">
        <v>4183</v>
      </c>
      <c r="G946" s="17">
        <v>36660</v>
      </c>
      <c r="H946" s="16" t="s">
        <v>695</v>
      </c>
      <c r="I946" s="16">
        <v>185</v>
      </c>
      <c r="J946" s="16">
        <v>72</v>
      </c>
      <c r="K946" s="16">
        <v>16</v>
      </c>
      <c r="L946" s="16" t="s">
        <v>4184</v>
      </c>
    </row>
    <row r="947" spans="1:12" x14ac:dyDescent="0.4">
      <c r="A947" s="16" t="s">
        <v>352</v>
      </c>
      <c r="B947" s="16">
        <v>10</v>
      </c>
      <c r="C947" s="16" t="s">
        <v>691</v>
      </c>
      <c r="D947" s="16" t="s">
        <v>4185</v>
      </c>
      <c r="E947" s="16" t="s">
        <v>4186</v>
      </c>
      <c r="F947" s="16" t="s">
        <v>4187</v>
      </c>
      <c r="G947" s="17">
        <v>33469</v>
      </c>
      <c r="H947" s="16" t="s">
        <v>2475</v>
      </c>
      <c r="I947" s="16">
        <v>173</v>
      </c>
      <c r="J947" s="16">
        <v>111</v>
      </c>
      <c r="K947" s="16">
        <v>27</v>
      </c>
      <c r="L947" s="16" t="s">
        <v>4173</v>
      </c>
    </row>
    <row r="948" spans="1:12" x14ac:dyDescent="0.4">
      <c r="A948" s="16" t="s">
        <v>352</v>
      </c>
      <c r="B948" s="16">
        <v>11</v>
      </c>
      <c r="C948" s="16" t="s">
        <v>691</v>
      </c>
      <c r="D948" s="16" t="s">
        <v>4188</v>
      </c>
      <c r="E948" s="16" t="s">
        <v>4189</v>
      </c>
      <c r="F948" s="16" t="s">
        <v>4190</v>
      </c>
      <c r="G948" s="17">
        <v>34274</v>
      </c>
      <c r="H948" s="16" t="s">
        <v>699</v>
      </c>
      <c r="I948" s="16">
        <v>184</v>
      </c>
      <c r="J948" s="16">
        <v>59</v>
      </c>
      <c r="K948" s="16">
        <v>17</v>
      </c>
      <c r="L948" s="16" t="s">
        <v>4190</v>
      </c>
    </row>
    <row r="949" spans="1:12" x14ac:dyDescent="0.4">
      <c r="A949" s="16" t="s">
        <v>352</v>
      </c>
      <c r="B949" s="16">
        <v>12</v>
      </c>
      <c r="C949" s="16" t="s">
        <v>669</v>
      </c>
      <c r="D949" s="16" t="s">
        <v>4191</v>
      </c>
      <c r="E949" s="16" t="s">
        <v>4192</v>
      </c>
      <c r="F949" s="16" t="s">
        <v>4193</v>
      </c>
      <c r="G949" s="17">
        <v>36359</v>
      </c>
      <c r="H949" s="16" t="s">
        <v>1782</v>
      </c>
      <c r="I949" s="16">
        <v>172</v>
      </c>
      <c r="J949" s="16">
        <v>55</v>
      </c>
      <c r="K949" s="16">
        <v>1</v>
      </c>
      <c r="L949" s="16" t="s">
        <v>4194</v>
      </c>
    </row>
    <row r="950" spans="1:12" x14ac:dyDescent="0.4">
      <c r="A950" s="16" t="s">
        <v>352</v>
      </c>
      <c r="B950" s="16">
        <v>13</v>
      </c>
      <c r="C950" s="16" t="s">
        <v>669</v>
      </c>
      <c r="D950" s="16" t="s">
        <v>4195</v>
      </c>
      <c r="E950" s="16" t="s">
        <v>4196</v>
      </c>
      <c r="F950" s="16" t="s">
        <v>4197</v>
      </c>
      <c r="G950" s="17">
        <v>36419</v>
      </c>
      <c r="H950" s="16" t="s">
        <v>3984</v>
      </c>
      <c r="I950" s="16">
        <v>173</v>
      </c>
      <c r="J950" s="16">
        <v>27</v>
      </c>
      <c r="K950" s="16">
        <v>0</v>
      </c>
      <c r="L950" s="16" t="s">
        <v>4198</v>
      </c>
    </row>
    <row r="951" spans="1:12" x14ac:dyDescent="0.4">
      <c r="A951" s="16" t="s">
        <v>352</v>
      </c>
      <c r="B951" s="16">
        <v>14</v>
      </c>
      <c r="C951" s="16" t="s">
        <v>669</v>
      </c>
      <c r="D951" s="16" t="s">
        <v>4199</v>
      </c>
      <c r="E951" s="16" t="s">
        <v>4200</v>
      </c>
      <c r="F951" s="16" t="s">
        <v>4201</v>
      </c>
      <c r="G951" s="17">
        <v>33873</v>
      </c>
      <c r="H951" s="16" t="s">
        <v>699</v>
      </c>
      <c r="I951" s="16">
        <v>179</v>
      </c>
      <c r="J951" s="16">
        <v>21</v>
      </c>
      <c r="K951" s="16">
        <v>2</v>
      </c>
      <c r="L951" s="16" t="s">
        <v>4202</v>
      </c>
    </row>
    <row r="952" spans="1:12" x14ac:dyDescent="0.4">
      <c r="A952" s="16" t="s">
        <v>352</v>
      </c>
      <c r="B952" s="16">
        <v>15</v>
      </c>
      <c r="C952" s="16" t="s">
        <v>686</v>
      </c>
      <c r="D952" s="16" t="s">
        <v>4203</v>
      </c>
      <c r="E952" s="16" t="s">
        <v>4204</v>
      </c>
      <c r="F952" s="16" t="s">
        <v>4205</v>
      </c>
      <c r="G952" s="17">
        <v>35293</v>
      </c>
      <c r="H952" s="16" t="s">
        <v>3984</v>
      </c>
      <c r="I952" s="16">
        <v>175</v>
      </c>
      <c r="J952" s="16">
        <v>42</v>
      </c>
      <c r="K952" s="16">
        <v>0</v>
      </c>
      <c r="L952" s="16" t="s">
        <v>4205</v>
      </c>
    </row>
    <row r="953" spans="1:12" x14ac:dyDescent="0.4">
      <c r="A953" s="16" t="s">
        <v>352</v>
      </c>
      <c r="B953" s="16">
        <v>16</v>
      </c>
      <c r="C953" s="16" t="s">
        <v>686</v>
      </c>
      <c r="D953" s="16" t="s">
        <v>4206</v>
      </c>
      <c r="E953" s="16" t="s">
        <v>4207</v>
      </c>
      <c r="F953" s="16" t="s">
        <v>4208</v>
      </c>
      <c r="G953" s="17">
        <v>37206</v>
      </c>
      <c r="H953" s="16" t="s">
        <v>695</v>
      </c>
      <c r="I953" s="16">
        <v>180</v>
      </c>
      <c r="J953" s="16">
        <v>12</v>
      </c>
      <c r="K953" s="16">
        <v>0</v>
      </c>
      <c r="L953" s="16" t="s">
        <v>4209</v>
      </c>
    </row>
    <row r="954" spans="1:12" x14ac:dyDescent="0.4">
      <c r="A954" s="16" t="s">
        <v>352</v>
      </c>
      <c r="B954" s="16">
        <v>17</v>
      </c>
      <c r="C954" s="16" t="s">
        <v>691</v>
      </c>
      <c r="D954" s="16" t="s">
        <v>4210</v>
      </c>
      <c r="E954" s="16" t="s">
        <v>4211</v>
      </c>
      <c r="F954" s="16" t="s">
        <v>4212</v>
      </c>
      <c r="G954" s="17">
        <v>36838</v>
      </c>
      <c r="H954" s="16" t="s">
        <v>4213</v>
      </c>
      <c r="I954" s="16">
        <v>171</v>
      </c>
      <c r="J954" s="16">
        <v>7</v>
      </c>
      <c r="K954" s="16">
        <v>0</v>
      </c>
      <c r="L954" s="16" t="s">
        <v>4214</v>
      </c>
    </row>
    <row r="955" spans="1:12" x14ac:dyDescent="0.4">
      <c r="A955" s="16" t="s">
        <v>352</v>
      </c>
      <c r="B955" s="16">
        <v>18</v>
      </c>
      <c r="C955" s="16" t="s">
        <v>686</v>
      </c>
      <c r="D955" s="16" t="s">
        <v>4215</v>
      </c>
      <c r="E955" s="16" t="s">
        <v>4216</v>
      </c>
      <c r="F955" s="16" t="s">
        <v>4217</v>
      </c>
      <c r="G955" s="17">
        <v>35036</v>
      </c>
      <c r="H955" s="16" t="s">
        <v>4218</v>
      </c>
      <c r="I955" s="16">
        <v>178</v>
      </c>
      <c r="J955" s="16">
        <v>3</v>
      </c>
      <c r="K955" s="16">
        <v>0</v>
      </c>
      <c r="L955" s="16" t="s">
        <v>4217</v>
      </c>
    </row>
    <row r="956" spans="1:12" x14ac:dyDescent="0.4">
      <c r="A956" s="16" t="s">
        <v>352</v>
      </c>
      <c r="B956" s="16">
        <v>19</v>
      </c>
      <c r="C956" s="16" t="s">
        <v>691</v>
      </c>
      <c r="D956" s="16" t="s">
        <v>4219</v>
      </c>
      <c r="E956" s="16" t="s">
        <v>4220</v>
      </c>
      <c r="F956" s="16" t="s">
        <v>4221</v>
      </c>
      <c r="G956" s="17">
        <v>36416</v>
      </c>
      <c r="H956" s="16" t="s">
        <v>3984</v>
      </c>
      <c r="I956" s="16">
        <v>186</v>
      </c>
      <c r="J956" s="16">
        <v>52</v>
      </c>
      <c r="K956" s="16">
        <v>13</v>
      </c>
      <c r="L956" s="16" t="s">
        <v>4221</v>
      </c>
    </row>
    <row r="957" spans="1:12" x14ac:dyDescent="0.4">
      <c r="A957" s="16" t="s">
        <v>352</v>
      </c>
      <c r="B957" s="16">
        <v>20</v>
      </c>
      <c r="C957" s="16" t="s">
        <v>691</v>
      </c>
      <c r="D957" s="16" t="s">
        <v>4222</v>
      </c>
      <c r="E957" s="16" t="s">
        <v>4223</v>
      </c>
      <c r="F957" s="16" t="s">
        <v>4224</v>
      </c>
      <c r="G957" s="17">
        <v>34624</v>
      </c>
      <c r="H957" s="16" t="s">
        <v>2475</v>
      </c>
      <c r="I957" s="16">
        <v>172</v>
      </c>
      <c r="J957" s="16">
        <v>7</v>
      </c>
      <c r="K957" s="16">
        <v>2</v>
      </c>
      <c r="L957" s="16" t="s">
        <v>4224</v>
      </c>
    </row>
    <row r="958" spans="1:12" x14ac:dyDescent="0.4">
      <c r="A958" s="16" t="s">
        <v>352</v>
      </c>
      <c r="B958" s="16">
        <v>21</v>
      </c>
      <c r="C958" s="16" t="s">
        <v>664</v>
      </c>
      <c r="D958" s="16" t="s">
        <v>4225</v>
      </c>
      <c r="E958" s="16" t="s">
        <v>4226</v>
      </c>
      <c r="F958" s="16" t="s">
        <v>4227</v>
      </c>
      <c r="G958" s="17">
        <v>33521</v>
      </c>
      <c r="H958" s="16" t="s">
        <v>4228</v>
      </c>
      <c r="I958" s="16">
        <v>185</v>
      </c>
      <c r="J958" s="16">
        <v>65</v>
      </c>
      <c r="K958" s="16">
        <v>0</v>
      </c>
      <c r="L958" s="16" t="s">
        <v>4227</v>
      </c>
    </row>
    <row r="959" spans="1:12" x14ac:dyDescent="0.4">
      <c r="A959" s="16" t="s">
        <v>352</v>
      </c>
      <c r="B959" s="16">
        <v>22</v>
      </c>
      <c r="C959" s="16" t="s">
        <v>664</v>
      </c>
      <c r="D959" s="16" t="s">
        <v>4229</v>
      </c>
      <c r="E959" s="16" t="s">
        <v>4230</v>
      </c>
      <c r="F959" s="16" t="s">
        <v>4231</v>
      </c>
      <c r="G959" s="17">
        <v>33366</v>
      </c>
      <c r="H959" s="16" t="s">
        <v>2621</v>
      </c>
      <c r="I959" s="16">
        <v>178</v>
      </c>
      <c r="J959" s="16">
        <v>9</v>
      </c>
      <c r="K959" s="16">
        <v>0</v>
      </c>
      <c r="L959" s="16" t="s">
        <v>4231</v>
      </c>
    </row>
    <row r="960" spans="1:12" x14ac:dyDescent="0.4">
      <c r="A960" s="16" t="s">
        <v>352</v>
      </c>
      <c r="B960" s="16">
        <v>23</v>
      </c>
      <c r="C960" s="16" t="s">
        <v>686</v>
      </c>
      <c r="D960" s="16" t="s">
        <v>4232</v>
      </c>
      <c r="E960" s="16" t="s">
        <v>4233</v>
      </c>
      <c r="F960" s="16" t="s">
        <v>4234</v>
      </c>
      <c r="G960" s="17">
        <v>34599</v>
      </c>
      <c r="H960" s="16" t="s">
        <v>2475</v>
      </c>
      <c r="I960" s="16">
        <v>191</v>
      </c>
      <c r="J960" s="16">
        <v>79</v>
      </c>
      <c r="K960" s="16">
        <v>8</v>
      </c>
      <c r="L960" s="16" t="s">
        <v>4234</v>
      </c>
    </row>
    <row r="961" spans="1:12" x14ac:dyDescent="0.4">
      <c r="A961" s="16" t="s">
        <v>352</v>
      </c>
      <c r="B961" s="16">
        <v>24</v>
      </c>
      <c r="C961" s="16" t="s">
        <v>669</v>
      </c>
      <c r="D961" s="16" t="s">
        <v>4235</v>
      </c>
      <c r="E961" s="16" t="s">
        <v>4236</v>
      </c>
      <c r="F961" s="16" t="s">
        <v>4237</v>
      </c>
      <c r="G961" s="17">
        <v>36576</v>
      </c>
      <c r="H961" s="16" t="s">
        <v>2475</v>
      </c>
      <c r="I961" s="16">
        <v>177</v>
      </c>
      <c r="J961" s="16">
        <v>13</v>
      </c>
      <c r="K961" s="16">
        <v>0</v>
      </c>
      <c r="L961" s="16" t="s">
        <v>4238</v>
      </c>
    </row>
    <row r="962" spans="1:12" x14ac:dyDescent="0.4">
      <c r="A962" s="16" t="s">
        <v>352</v>
      </c>
      <c r="B962" s="16">
        <v>25</v>
      </c>
      <c r="C962" s="16" t="s">
        <v>669</v>
      </c>
      <c r="D962" s="16" t="s">
        <v>4239</v>
      </c>
      <c r="E962" s="16" t="s">
        <v>4240</v>
      </c>
      <c r="F962" s="16" t="s">
        <v>4241</v>
      </c>
      <c r="G962" s="17">
        <v>37093</v>
      </c>
      <c r="H962" s="16" t="s">
        <v>2621</v>
      </c>
      <c r="I962" s="16">
        <v>184</v>
      </c>
      <c r="J962" s="16">
        <v>8</v>
      </c>
      <c r="K962" s="16">
        <v>0</v>
      </c>
      <c r="L962" s="16" t="s">
        <v>4242</v>
      </c>
    </row>
    <row r="963" spans="1:12" x14ac:dyDescent="0.4">
      <c r="A963" s="16" t="s">
        <v>352</v>
      </c>
      <c r="B963" s="16">
        <v>26</v>
      </c>
      <c r="C963" s="16" t="s">
        <v>669</v>
      </c>
      <c r="D963" s="16" t="s">
        <v>4243</v>
      </c>
      <c r="E963" s="16" t="s">
        <v>4244</v>
      </c>
      <c r="F963" s="16" t="s">
        <v>4245</v>
      </c>
      <c r="G963" s="17">
        <v>37479</v>
      </c>
      <c r="H963" s="16" t="s">
        <v>2621</v>
      </c>
      <c r="I963" s="16">
        <v>170</v>
      </c>
      <c r="J963" s="16">
        <v>8</v>
      </c>
      <c r="K963" s="16">
        <v>0</v>
      </c>
      <c r="L963" s="16" t="s">
        <v>4246</v>
      </c>
    </row>
    <row r="964" spans="1:12" x14ac:dyDescent="0.4">
      <c r="A964" s="16" t="s">
        <v>305</v>
      </c>
      <c r="B964" s="16">
        <v>1</v>
      </c>
      <c r="C964" s="16" t="s">
        <v>664</v>
      </c>
      <c r="D964" s="16" t="s">
        <v>4247</v>
      </c>
      <c r="E964" s="16" t="s">
        <v>4248</v>
      </c>
      <c r="F964" s="16" t="s">
        <v>4249</v>
      </c>
      <c r="G964" s="17">
        <v>35086</v>
      </c>
      <c r="H964" s="16" t="s">
        <v>1846</v>
      </c>
      <c r="I964" s="16">
        <v>196</v>
      </c>
      <c r="J964" s="16">
        <v>22</v>
      </c>
      <c r="K964" s="16">
        <v>0</v>
      </c>
      <c r="L964" s="16" t="s">
        <v>4249</v>
      </c>
    </row>
    <row r="965" spans="1:12" x14ac:dyDescent="0.4">
      <c r="A965" s="16" t="s">
        <v>305</v>
      </c>
      <c r="B965" s="16">
        <v>2</v>
      </c>
      <c r="C965" s="16" t="s">
        <v>669</v>
      </c>
      <c r="D965" s="16" t="s">
        <v>4250</v>
      </c>
      <c r="E965" s="16" t="s">
        <v>4251</v>
      </c>
      <c r="F965" s="16" t="s">
        <v>4252</v>
      </c>
      <c r="G965" s="17">
        <v>37417</v>
      </c>
      <c r="H965" s="16" t="s">
        <v>1248</v>
      </c>
      <c r="I965" s="16">
        <v>185</v>
      </c>
      <c r="J965" s="16">
        <v>21</v>
      </c>
      <c r="K965" s="16">
        <v>0</v>
      </c>
      <c r="L965" s="16" t="s">
        <v>4252</v>
      </c>
    </row>
    <row r="966" spans="1:12" x14ac:dyDescent="0.4">
      <c r="A966" s="16" t="s">
        <v>305</v>
      </c>
      <c r="B966" s="16">
        <v>3</v>
      </c>
      <c r="C966" s="16" t="s">
        <v>669</v>
      </c>
      <c r="D966" s="16" t="s">
        <v>4253</v>
      </c>
      <c r="E966" s="16" t="s">
        <v>4254</v>
      </c>
      <c r="F966" s="16" t="s">
        <v>4255</v>
      </c>
      <c r="G966" s="17">
        <v>34404</v>
      </c>
      <c r="H966" s="16" t="s">
        <v>1153</v>
      </c>
      <c r="I966" s="16">
        <v>178</v>
      </c>
      <c r="J966" s="16">
        <v>94</v>
      </c>
      <c r="K966" s="16">
        <v>4</v>
      </c>
      <c r="L966" s="16" t="s">
        <v>4255</v>
      </c>
    </row>
    <row r="967" spans="1:12" x14ac:dyDescent="0.4">
      <c r="A967" s="16" t="s">
        <v>305</v>
      </c>
      <c r="B967" s="16">
        <v>4</v>
      </c>
      <c r="C967" s="16" t="s">
        <v>686</v>
      </c>
      <c r="D967" s="16" t="s">
        <v>4256</v>
      </c>
      <c r="E967" s="16" t="s">
        <v>4257</v>
      </c>
      <c r="F967" s="16" t="s">
        <v>4258</v>
      </c>
      <c r="G967" s="17">
        <v>35407</v>
      </c>
      <c r="H967" s="16" t="s">
        <v>988</v>
      </c>
      <c r="I967" s="16">
        <v>193</v>
      </c>
      <c r="J967" s="16">
        <v>70</v>
      </c>
      <c r="K967" s="16">
        <v>15</v>
      </c>
      <c r="L967" s="16" t="s">
        <v>4258</v>
      </c>
    </row>
    <row r="968" spans="1:12" x14ac:dyDescent="0.4">
      <c r="A968" s="16" t="s">
        <v>305</v>
      </c>
      <c r="B968" s="16">
        <v>5</v>
      </c>
      <c r="C968" s="16" t="s">
        <v>669</v>
      </c>
      <c r="D968" s="16" t="s">
        <v>4259</v>
      </c>
      <c r="E968" s="16" t="s">
        <v>4260</v>
      </c>
      <c r="F968" s="16" t="s">
        <v>4261</v>
      </c>
      <c r="G968" s="17">
        <v>33562</v>
      </c>
      <c r="H968" s="16" t="s">
        <v>4262</v>
      </c>
      <c r="I968" s="16">
        <v>188</v>
      </c>
      <c r="J968" s="16">
        <v>68</v>
      </c>
      <c r="K968" s="16">
        <v>2</v>
      </c>
      <c r="L968" s="16" t="s">
        <v>4261</v>
      </c>
    </row>
    <row r="969" spans="1:12" x14ac:dyDescent="0.4">
      <c r="A969" s="16" t="s">
        <v>305</v>
      </c>
      <c r="B969" s="16">
        <v>6</v>
      </c>
      <c r="C969" s="16" t="s">
        <v>669</v>
      </c>
      <c r="D969" s="16" t="s">
        <v>4263</v>
      </c>
      <c r="E969" s="16" t="s">
        <v>4264</v>
      </c>
      <c r="F969" s="16" t="s">
        <v>4265</v>
      </c>
      <c r="G969" s="17">
        <v>35586</v>
      </c>
      <c r="H969" s="16" t="s">
        <v>1382</v>
      </c>
      <c r="I969" s="16">
        <v>180</v>
      </c>
      <c r="J969" s="16">
        <v>56</v>
      </c>
      <c r="K969" s="16">
        <v>2</v>
      </c>
      <c r="L969" s="16" t="s">
        <v>4265</v>
      </c>
    </row>
    <row r="970" spans="1:12" x14ac:dyDescent="0.4">
      <c r="A970" s="16" t="s">
        <v>305</v>
      </c>
      <c r="B970" s="16">
        <v>7</v>
      </c>
      <c r="C970" s="16" t="s">
        <v>686</v>
      </c>
      <c r="D970" s="16" t="s">
        <v>4266</v>
      </c>
      <c r="E970" s="16" t="s">
        <v>2158</v>
      </c>
      <c r="F970" s="16" t="s">
        <v>4267</v>
      </c>
      <c r="G970" s="17">
        <v>34625</v>
      </c>
      <c r="H970" s="16" t="s">
        <v>992</v>
      </c>
      <c r="I970" s="16">
        <v>178</v>
      </c>
      <c r="J970" s="16">
        <v>86</v>
      </c>
      <c r="K970" s="16">
        <v>20</v>
      </c>
      <c r="L970" s="16" t="s">
        <v>4267</v>
      </c>
    </row>
    <row r="971" spans="1:12" x14ac:dyDescent="0.4">
      <c r="A971" s="16" t="s">
        <v>305</v>
      </c>
      <c r="B971" s="16">
        <v>8</v>
      </c>
      <c r="C971" s="16" t="s">
        <v>686</v>
      </c>
      <c r="D971" s="16" t="s">
        <v>4268</v>
      </c>
      <c r="E971" s="16" t="s">
        <v>4269</v>
      </c>
      <c r="F971" s="16" t="s">
        <v>4270</v>
      </c>
      <c r="G971" s="17">
        <v>39160</v>
      </c>
      <c r="H971" s="16" t="s">
        <v>1007</v>
      </c>
      <c r="I971" s="16">
        <v>183</v>
      </c>
      <c r="J971" s="16">
        <v>2</v>
      </c>
      <c r="K971" s="16">
        <v>0</v>
      </c>
      <c r="L971" s="16" t="s">
        <v>4270</v>
      </c>
    </row>
    <row r="972" spans="1:12" x14ac:dyDescent="0.4">
      <c r="A972" s="16" t="s">
        <v>305</v>
      </c>
      <c r="B972" s="16">
        <v>9</v>
      </c>
      <c r="C972" s="16" t="s">
        <v>691</v>
      </c>
      <c r="D972" s="16" t="s">
        <v>4271</v>
      </c>
      <c r="E972" s="16" t="s">
        <v>4272</v>
      </c>
      <c r="F972" s="16" t="s">
        <v>4273</v>
      </c>
      <c r="G972" s="17">
        <v>34979</v>
      </c>
      <c r="H972" s="16" t="s">
        <v>4274</v>
      </c>
      <c r="I972" s="16">
        <v>188</v>
      </c>
      <c r="J972" s="16">
        <v>51</v>
      </c>
      <c r="K972" s="16">
        <v>10</v>
      </c>
      <c r="L972" s="16" t="s">
        <v>4273</v>
      </c>
    </row>
    <row r="973" spans="1:12" x14ac:dyDescent="0.4">
      <c r="A973" s="16" t="s">
        <v>305</v>
      </c>
      <c r="B973" s="16">
        <v>10</v>
      </c>
      <c r="C973" s="16" t="s">
        <v>691</v>
      </c>
      <c r="D973" s="16" t="s">
        <v>4275</v>
      </c>
      <c r="E973" s="16" t="s">
        <v>4276</v>
      </c>
      <c r="F973" s="16" t="s">
        <v>4277</v>
      </c>
      <c r="G973" s="17">
        <v>35259</v>
      </c>
      <c r="H973" s="16" t="s">
        <v>1914</v>
      </c>
      <c r="I973" s="16">
        <v>175</v>
      </c>
      <c r="J973" s="16">
        <v>47</v>
      </c>
      <c r="K973" s="16">
        <v>13</v>
      </c>
      <c r="L973" s="16" t="s">
        <v>4277</v>
      </c>
    </row>
    <row r="974" spans="1:12" x14ac:dyDescent="0.4">
      <c r="A974" s="16" t="s">
        <v>305</v>
      </c>
      <c r="B974" s="16">
        <v>11</v>
      </c>
      <c r="C974" s="16" t="s">
        <v>686</v>
      </c>
      <c r="D974" s="16" t="s">
        <v>4278</v>
      </c>
      <c r="E974" s="16" t="s">
        <v>4279</v>
      </c>
      <c r="F974" s="16" t="s">
        <v>4280</v>
      </c>
      <c r="G974" s="17">
        <v>34752</v>
      </c>
      <c r="H974" s="16" t="s">
        <v>1252</v>
      </c>
      <c r="I974" s="16">
        <v>178</v>
      </c>
      <c r="J974" s="16">
        <v>68</v>
      </c>
      <c r="K974" s="16">
        <v>10</v>
      </c>
      <c r="L974" s="16" t="s">
        <v>4280</v>
      </c>
    </row>
    <row r="975" spans="1:12" x14ac:dyDescent="0.4">
      <c r="A975" s="16" t="s">
        <v>305</v>
      </c>
      <c r="B975" s="16">
        <v>12</v>
      </c>
      <c r="C975" s="16" t="s">
        <v>664</v>
      </c>
      <c r="D975" s="16" t="s">
        <v>4281</v>
      </c>
      <c r="E975" s="16" t="s">
        <v>4282</v>
      </c>
      <c r="F975" s="16" t="s">
        <v>4283</v>
      </c>
      <c r="G975" s="17">
        <v>35087</v>
      </c>
      <c r="H975" s="16" t="s">
        <v>1048</v>
      </c>
      <c r="I975" s="16">
        <v>184</v>
      </c>
      <c r="J975" s="16">
        <v>3</v>
      </c>
      <c r="K975" s="16">
        <v>0</v>
      </c>
      <c r="L975" s="16" t="s">
        <v>4283</v>
      </c>
    </row>
    <row r="976" spans="1:12" x14ac:dyDescent="0.4">
      <c r="A976" s="16" t="s">
        <v>305</v>
      </c>
      <c r="B976" s="16">
        <v>13</v>
      </c>
      <c r="C976" s="16" t="s">
        <v>669</v>
      </c>
      <c r="D976" s="16" t="s">
        <v>4284</v>
      </c>
      <c r="E976" s="16" t="s">
        <v>4285</v>
      </c>
      <c r="F976" s="16" t="s">
        <v>4286</v>
      </c>
      <c r="G976" s="17">
        <v>34826</v>
      </c>
      <c r="H976" s="16" t="s">
        <v>4213</v>
      </c>
      <c r="I976" s="16">
        <v>192</v>
      </c>
      <c r="J976" s="16">
        <v>38</v>
      </c>
      <c r="K976" s="16">
        <v>3</v>
      </c>
      <c r="L976" s="16" t="s">
        <v>4286</v>
      </c>
    </row>
    <row r="977" spans="1:12" x14ac:dyDescent="0.4">
      <c r="A977" s="16" t="s">
        <v>305</v>
      </c>
      <c r="B977" s="16">
        <v>14</v>
      </c>
      <c r="C977" s="16" t="s">
        <v>691</v>
      </c>
      <c r="D977" s="16" t="s">
        <v>4287</v>
      </c>
      <c r="E977" s="16" t="s">
        <v>4288</v>
      </c>
      <c r="F977" s="16" t="s">
        <v>4289</v>
      </c>
      <c r="G977" s="17">
        <v>35257</v>
      </c>
      <c r="H977" s="16" t="s">
        <v>1411</v>
      </c>
      <c r="I977" s="16">
        <v>188</v>
      </c>
      <c r="J977" s="16">
        <v>3</v>
      </c>
      <c r="K977" s="16">
        <v>0</v>
      </c>
      <c r="L977" s="16" t="s">
        <v>4289</v>
      </c>
    </row>
    <row r="978" spans="1:12" x14ac:dyDescent="0.4">
      <c r="A978" s="16" t="s">
        <v>305</v>
      </c>
      <c r="B978" s="16">
        <v>15</v>
      </c>
      <c r="C978" s="16" t="s">
        <v>669</v>
      </c>
      <c r="D978" s="16" t="s">
        <v>4290</v>
      </c>
      <c r="E978" s="16" t="s">
        <v>4291</v>
      </c>
      <c r="F978" s="16" t="s">
        <v>839</v>
      </c>
      <c r="G978" s="17">
        <v>35333</v>
      </c>
      <c r="H978" s="16" t="s">
        <v>1048</v>
      </c>
      <c r="I978" s="16">
        <v>186</v>
      </c>
      <c r="J978" s="16">
        <v>24</v>
      </c>
      <c r="K978" s="16">
        <v>2</v>
      </c>
      <c r="L978" s="16" t="s">
        <v>839</v>
      </c>
    </row>
    <row r="979" spans="1:12" x14ac:dyDescent="0.4">
      <c r="A979" s="16" t="s">
        <v>305</v>
      </c>
      <c r="B979" s="16">
        <v>16</v>
      </c>
      <c r="C979" s="16" t="s">
        <v>669</v>
      </c>
      <c r="D979" s="16" t="s">
        <v>4292</v>
      </c>
      <c r="E979" s="16" t="s">
        <v>4293</v>
      </c>
      <c r="F979" s="16" t="s">
        <v>4294</v>
      </c>
      <c r="G979" s="17">
        <v>35053</v>
      </c>
      <c r="H979" s="16" t="s">
        <v>3603</v>
      </c>
      <c r="I979" s="16">
        <v>188</v>
      </c>
      <c r="J979" s="16">
        <v>4</v>
      </c>
      <c r="K979" s="16">
        <v>0</v>
      </c>
      <c r="L979" s="16" t="s">
        <v>4294</v>
      </c>
    </row>
    <row r="980" spans="1:12" x14ac:dyDescent="0.4">
      <c r="A980" s="16" t="s">
        <v>305</v>
      </c>
      <c r="B980" s="16">
        <v>17</v>
      </c>
      <c r="C980" s="16" t="s">
        <v>691</v>
      </c>
      <c r="D980" s="16" t="s">
        <v>4295</v>
      </c>
      <c r="E980" s="16" t="s">
        <v>4296</v>
      </c>
      <c r="F980" s="16" t="s">
        <v>4297</v>
      </c>
      <c r="G980" s="17">
        <v>38667</v>
      </c>
      <c r="H980" s="16" t="s">
        <v>1252</v>
      </c>
      <c r="I980" s="16">
        <v>173</v>
      </c>
      <c r="J980" s="16">
        <v>14</v>
      </c>
      <c r="K980" s="16">
        <v>1</v>
      </c>
      <c r="L980" s="16" t="s">
        <v>4298</v>
      </c>
    </row>
    <row r="981" spans="1:12" x14ac:dyDescent="0.4">
      <c r="A981" s="16" t="s">
        <v>305</v>
      </c>
      <c r="B981" s="16">
        <v>18</v>
      </c>
      <c r="C981" s="16" t="s">
        <v>691</v>
      </c>
      <c r="D981" s="16" t="s">
        <v>4299</v>
      </c>
      <c r="E981" s="16" t="s">
        <v>4300</v>
      </c>
      <c r="F981" s="16" t="s">
        <v>4301</v>
      </c>
      <c r="G981" s="17">
        <v>36206</v>
      </c>
      <c r="H981" s="16" t="s">
        <v>4302</v>
      </c>
      <c r="I981" s="16">
        <v>191</v>
      </c>
      <c r="J981" s="16">
        <v>10</v>
      </c>
      <c r="K981" s="16">
        <v>1</v>
      </c>
      <c r="L981" s="16" t="s">
        <v>4301</v>
      </c>
    </row>
    <row r="982" spans="1:12" x14ac:dyDescent="0.4">
      <c r="A982" s="16" t="s">
        <v>305</v>
      </c>
      <c r="B982" s="16">
        <v>19</v>
      </c>
      <c r="C982" s="16" t="s">
        <v>686</v>
      </c>
      <c r="D982" s="16" t="s">
        <v>4303</v>
      </c>
      <c r="E982" s="16" t="s">
        <v>4304</v>
      </c>
      <c r="F982" s="16" t="s">
        <v>4305</v>
      </c>
      <c r="G982" s="17">
        <v>36396</v>
      </c>
      <c r="H982" s="16" t="s">
        <v>1575</v>
      </c>
      <c r="I982" s="16">
        <v>181</v>
      </c>
      <c r="J982" s="16">
        <v>24</v>
      </c>
      <c r="K982" s="16">
        <v>1</v>
      </c>
      <c r="L982" s="16" t="s">
        <v>4305</v>
      </c>
    </row>
    <row r="983" spans="1:12" x14ac:dyDescent="0.4">
      <c r="A983" s="16" t="s">
        <v>305</v>
      </c>
      <c r="B983" s="16">
        <v>20</v>
      </c>
      <c r="C983" s="16" t="s">
        <v>691</v>
      </c>
      <c r="D983" s="16" t="s">
        <v>4306</v>
      </c>
      <c r="E983" s="16" t="s">
        <v>4307</v>
      </c>
      <c r="F983" s="16" t="s">
        <v>4308</v>
      </c>
      <c r="G983" s="17">
        <v>34921</v>
      </c>
      <c r="H983" s="16" t="s">
        <v>823</v>
      </c>
      <c r="I983" s="16">
        <v>185</v>
      </c>
      <c r="J983" s="16">
        <v>20</v>
      </c>
      <c r="K983" s="16">
        <v>7</v>
      </c>
      <c r="L983" s="16" t="s">
        <v>4308</v>
      </c>
    </row>
    <row r="984" spans="1:12" x14ac:dyDescent="0.4">
      <c r="A984" s="16" t="s">
        <v>305</v>
      </c>
      <c r="B984" s="16">
        <v>21</v>
      </c>
      <c r="C984" s="16" t="s">
        <v>664</v>
      </c>
      <c r="D984" s="16" t="s">
        <v>4309</v>
      </c>
      <c r="E984" s="16" t="s">
        <v>4310</v>
      </c>
      <c r="F984" s="16" t="s">
        <v>2392</v>
      </c>
      <c r="G984" s="17">
        <v>30316</v>
      </c>
      <c r="H984" s="16" t="s">
        <v>823</v>
      </c>
      <c r="I984" s="16">
        <v>193</v>
      </c>
      <c r="J984" s="16">
        <v>84</v>
      </c>
      <c r="K984" s="16">
        <v>0</v>
      </c>
      <c r="L984" s="16" t="s">
        <v>2392</v>
      </c>
    </row>
    <row r="985" spans="1:12" x14ac:dyDescent="0.4">
      <c r="A985" s="16" t="s">
        <v>305</v>
      </c>
      <c r="B985" s="16">
        <v>22</v>
      </c>
      <c r="C985" s="16" t="s">
        <v>669</v>
      </c>
      <c r="D985" s="16" t="s">
        <v>4311</v>
      </c>
      <c r="E985" s="16" t="s">
        <v>4312</v>
      </c>
      <c r="F985" s="16" t="s">
        <v>4313</v>
      </c>
      <c r="G985" s="17">
        <v>37180</v>
      </c>
      <c r="H985" s="16" t="s">
        <v>2341</v>
      </c>
      <c r="I985" s="16">
        <v>183</v>
      </c>
      <c r="J985" s="16">
        <v>26</v>
      </c>
      <c r="K985" s="16">
        <v>1</v>
      </c>
      <c r="L985" s="16" t="s">
        <v>4313</v>
      </c>
    </row>
    <row r="986" spans="1:12" x14ac:dyDescent="0.4">
      <c r="A986" s="16" t="s">
        <v>305</v>
      </c>
      <c r="B986" s="16">
        <v>23</v>
      </c>
      <c r="C986" s="16" t="s">
        <v>686</v>
      </c>
      <c r="D986" s="16" t="s">
        <v>4314</v>
      </c>
      <c r="E986" s="16" t="s">
        <v>4315</v>
      </c>
      <c r="F986" s="16" t="s">
        <v>4316</v>
      </c>
      <c r="G986" s="17">
        <v>33611</v>
      </c>
      <c r="H986" s="16" t="s">
        <v>803</v>
      </c>
      <c r="I986" s="16">
        <v>183</v>
      </c>
      <c r="J986" s="16">
        <v>58</v>
      </c>
      <c r="K986" s="16">
        <v>3</v>
      </c>
      <c r="L986" s="16" t="s">
        <v>4316</v>
      </c>
    </row>
    <row r="987" spans="1:12" x14ac:dyDescent="0.4">
      <c r="A987" s="16" t="s">
        <v>305</v>
      </c>
      <c r="B987" s="16">
        <v>24</v>
      </c>
      <c r="C987" s="16" t="s">
        <v>669</v>
      </c>
      <c r="D987" s="16" t="s">
        <v>4317</v>
      </c>
      <c r="E987" s="16" t="s">
        <v>4318</v>
      </c>
      <c r="F987" s="16" t="s">
        <v>4319</v>
      </c>
      <c r="G987" s="17">
        <v>36115</v>
      </c>
      <c r="H987" s="16" t="s">
        <v>1382</v>
      </c>
      <c r="I987" s="16">
        <v>178</v>
      </c>
      <c r="J987" s="16">
        <v>27</v>
      </c>
      <c r="K987" s="16">
        <v>1</v>
      </c>
      <c r="L987" s="16" t="s">
        <v>4319</v>
      </c>
    </row>
    <row r="988" spans="1:12" x14ac:dyDescent="0.4">
      <c r="A988" s="16" t="s">
        <v>305</v>
      </c>
      <c r="B988" s="16">
        <v>25</v>
      </c>
      <c r="C988" s="16" t="s">
        <v>691</v>
      </c>
      <c r="D988" s="16" t="s">
        <v>4320</v>
      </c>
      <c r="E988" s="16" t="s">
        <v>4321</v>
      </c>
      <c r="F988" s="16" t="s">
        <v>4322</v>
      </c>
      <c r="G988" s="17">
        <v>38877</v>
      </c>
      <c r="H988" s="16" t="s">
        <v>1739</v>
      </c>
      <c r="I988" s="16">
        <v>180</v>
      </c>
      <c r="J988" s="16">
        <v>3</v>
      </c>
      <c r="K988" s="16">
        <v>1</v>
      </c>
      <c r="L988" s="16" t="s">
        <v>4322</v>
      </c>
    </row>
    <row r="989" spans="1:12" x14ac:dyDescent="0.4">
      <c r="A989" s="16" t="s">
        <v>305</v>
      </c>
      <c r="B989" s="16">
        <v>26</v>
      </c>
      <c r="C989" s="16" t="s">
        <v>669</v>
      </c>
      <c r="D989" s="16" t="s">
        <v>4323</v>
      </c>
      <c r="E989" s="16" t="s">
        <v>4324</v>
      </c>
      <c r="F989" s="16" t="s">
        <v>4325</v>
      </c>
      <c r="G989" s="17">
        <v>35381</v>
      </c>
      <c r="H989" s="16" t="s">
        <v>1876</v>
      </c>
      <c r="I989" s="16">
        <v>189</v>
      </c>
      <c r="J989" s="16">
        <v>50</v>
      </c>
      <c r="K989" s="16">
        <v>1</v>
      </c>
      <c r="L989" s="16" t="s">
        <v>4325</v>
      </c>
    </row>
    <row r="990" spans="1:12" x14ac:dyDescent="0.4">
      <c r="A990" s="16" t="s">
        <v>318</v>
      </c>
      <c r="B990" s="16">
        <v>1</v>
      </c>
      <c r="C990" s="16" t="s">
        <v>664</v>
      </c>
      <c r="D990" s="16" t="s">
        <v>4326</v>
      </c>
      <c r="E990" s="16" t="s">
        <v>4327</v>
      </c>
      <c r="F990" s="16" t="s">
        <v>4328</v>
      </c>
      <c r="G990" s="17">
        <v>36480</v>
      </c>
      <c r="H990" s="16" t="s">
        <v>723</v>
      </c>
      <c r="I990" s="16">
        <v>188</v>
      </c>
      <c r="J990" s="16">
        <v>2</v>
      </c>
      <c r="K990" s="16">
        <v>0</v>
      </c>
      <c r="L990" s="16" t="s">
        <v>4329</v>
      </c>
    </row>
    <row r="991" spans="1:12" x14ac:dyDescent="0.4">
      <c r="A991" s="16" t="s">
        <v>318</v>
      </c>
      <c r="B991" s="16">
        <v>2</v>
      </c>
      <c r="C991" s="16" t="s">
        <v>669</v>
      </c>
      <c r="D991" s="16" t="s">
        <v>4330</v>
      </c>
      <c r="E991" s="16" t="s">
        <v>4331</v>
      </c>
      <c r="F991" s="16" t="s">
        <v>4332</v>
      </c>
      <c r="G991" s="17">
        <v>38593</v>
      </c>
      <c r="H991" s="16" t="s">
        <v>1554</v>
      </c>
      <c r="I991" s="16">
        <v>194</v>
      </c>
      <c r="J991" s="16">
        <v>8</v>
      </c>
      <c r="K991" s="16">
        <v>0</v>
      </c>
      <c r="L991" s="16" t="s">
        <v>4332</v>
      </c>
    </row>
    <row r="992" spans="1:12" x14ac:dyDescent="0.4">
      <c r="A992" s="16" t="s">
        <v>318</v>
      </c>
      <c r="B992" s="16">
        <v>3</v>
      </c>
      <c r="C992" s="16" t="s">
        <v>669</v>
      </c>
      <c r="D992" s="16" t="s">
        <v>4333</v>
      </c>
      <c r="E992" s="16" t="s">
        <v>4334</v>
      </c>
      <c r="F992" s="16" t="s">
        <v>4335</v>
      </c>
      <c r="G992" s="17">
        <v>33409</v>
      </c>
      <c r="H992" s="16" t="s">
        <v>2475</v>
      </c>
      <c r="I992" s="16">
        <v>186</v>
      </c>
      <c r="J992" s="16">
        <v>104</v>
      </c>
      <c r="K992" s="16">
        <v>2</v>
      </c>
      <c r="L992" s="16" t="s">
        <v>4335</v>
      </c>
    </row>
    <row r="993" spans="1:12" x14ac:dyDescent="0.4">
      <c r="A993" s="16" t="s">
        <v>318</v>
      </c>
      <c r="B993" s="16">
        <v>4</v>
      </c>
      <c r="C993" s="16" t="s">
        <v>669</v>
      </c>
      <c r="D993" s="16" t="s">
        <v>4336</v>
      </c>
      <c r="E993" s="16" t="s">
        <v>4337</v>
      </c>
      <c r="F993" s="16" t="s">
        <v>4338</v>
      </c>
      <c r="G993" s="17">
        <v>33759</v>
      </c>
      <c r="H993" s="16" t="s">
        <v>2001</v>
      </c>
      <c r="I993" s="16">
        <v>192</v>
      </c>
      <c r="J993" s="16">
        <v>25</v>
      </c>
      <c r="K993" s="16">
        <v>4</v>
      </c>
      <c r="L993" s="16" t="s">
        <v>4338</v>
      </c>
    </row>
    <row r="994" spans="1:12" x14ac:dyDescent="0.4">
      <c r="A994" s="16" t="s">
        <v>318</v>
      </c>
      <c r="B994" s="16">
        <v>5</v>
      </c>
      <c r="C994" s="16" t="s">
        <v>686</v>
      </c>
      <c r="D994" s="16" t="s">
        <v>4339</v>
      </c>
      <c r="E994" s="16" t="s">
        <v>4340</v>
      </c>
      <c r="F994" s="16" t="s">
        <v>4341</v>
      </c>
      <c r="G994" s="17">
        <v>32777</v>
      </c>
      <c r="H994" s="16" t="s">
        <v>2341</v>
      </c>
      <c r="I994" s="16">
        <v>174</v>
      </c>
      <c r="J994" s="16">
        <v>132</v>
      </c>
      <c r="K994" s="16">
        <v>7</v>
      </c>
      <c r="L994" s="16" t="s">
        <v>4072</v>
      </c>
    </row>
    <row r="995" spans="1:12" x14ac:dyDescent="0.4">
      <c r="A995" s="16" t="s">
        <v>318</v>
      </c>
      <c r="B995" s="16">
        <v>6</v>
      </c>
      <c r="C995" s="16" t="s">
        <v>686</v>
      </c>
      <c r="D995" s="16" t="s">
        <v>4342</v>
      </c>
      <c r="E995" s="16" t="s">
        <v>4343</v>
      </c>
      <c r="F995" s="16" t="s">
        <v>4344</v>
      </c>
      <c r="G995" s="17">
        <v>34409</v>
      </c>
      <c r="H995" s="16" t="s">
        <v>2593</v>
      </c>
      <c r="I995" s="16">
        <v>186</v>
      </c>
      <c r="J995" s="16">
        <v>30</v>
      </c>
      <c r="K995" s="16">
        <v>0</v>
      </c>
      <c r="L995" s="16" t="s">
        <v>4345</v>
      </c>
    </row>
    <row r="996" spans="1:12" x14ac:dyDescent="0.4">
      <c r="A996" s="16" t="s">
        <v>318</v>
      </c>
      <c r="B996" s="16">
        <v>7</v>
      </c>
      <c r="C996" s="16" t="s">
        <v>691</v>
      </c>
      <c r="D996" s="16" t="s">
        <v>4346</v>
      </c>
      <c r="E996" s="16" t="s">
        <v>4347</v>
      </c>
      <c r="F996" s="16" t="s">
        <v>4348</v>
      </c>
      <c r="G996" s="17">
        <v>38602</v>
      </c>
      <c r="H996" s="16" t="s">
        <v>1532</v>
      </c>
      <c r="I996" s="16">
        <v>185</v>
      </c>
      <c r="J996" s="16">
        <v>5</v>
      </c>
      <c r="K996" s="16">
        <v>0</v>
      </c>
      <c r="L996" s="16" t="s">
        <v>4349</v>
      </c>
    </row>
    <row r="997" spans="1:12" x14ac:dyDescent="0.4">
      <c r="A997" s="16" t="s">
        <v>318</v>
      </c>
      <c r="B997" s="16">
        <v>8</v>
      </c>
      <c r="C997" s="16" t="s">
        <v>686</v>
      </c>
      <c r="D997" s="16" t="s">
        <v>4350</v>
      </c>
      <c r="E997" s="16" t="s">
        <v>4351</v>
      </c>
      <c r="F997" s="16" t="s">
        <v>4352</v>
      </c>
      <c r="G997" s="17">
        <v>37987</v>
      </c>
      <c r="H997" s="16" t="s">
        <v>1820</v>
      </c>
      <c r="I997" s="16">
        <v>174</v>
      </c>
      <c r="J997" s="16">
        <v>45</v>
      </c>
      <c r="K997" s="16">
        <v>7</v>
      </c>
      <c r="L997" s="16" t="s">
        <v>4353</v>
      </c>
    </row>
    <row r="998" spans="1:12" x14ac:dyDescent="0.4">
      <c r="A998" s="16" t="s">
        <v>318</v>
      </c>
      <c r="B998" s="16">
        <v>9</v>
      </c>
      <c r="C998" s="16" t="s">
        <v>691</v>
      </c>
      <c r="D998" s="16" t="s">
        <v>4354</v>
      </c>
      <c r="E998" s="16" t="s">
        <v>4355</v>
      </c>
      <c r="F998" s="16" t="s">
        <v>4356</v>
      </c>
      <c r="G998" s="17">
        <v>36608</v>
      </c>
      <c r="H998" s="16" t="s">
        <v>4357</v>
      </c>
      <c r="I998" s="16">
        <v>178</v>
      </c>
      <c r="J998" s="16">
        <v>23</v>
      </c>
      <c r="K998" s="16">
        <v>2</v>
      </c>
      <c r="L998" s="16" t="s">
        <v>4358</v>
      </c>
    </row>
    <row r="999" spans="1:12" x14ac:dyDescent="0.4">
      <c r="A999" s="16" t="s">
        <v>318</v>
      </c>
      <c r="B999" s="16">
        <v>10</v>
      </c>
      <c r="C999" s="16" t="s">
        <v>691</v>
      </c>
      <c r="D999" s="16" t="s">
        <v>4359</v>
      </c>
      <c r="E999" s="16" t="s">
        <v>4360</v>
      </c>
      <c r="F999" s="16" t="s">
        <v>4361</v>
      </c>
      <c r="G999" s="17">
        <v>33704</v>
      </c>
      <c r="H999" s="16" t="s">
        <v>3984</v>
      </c>
      <c r="I999" s="16">
        <v>175</v>
      </c>
      <c r="J999" s="16">
        <v>128</v>
      </c>
      <c r="K999" s="16">
        <v>55</v>
      </c>
      <c r="L999" s="16" t="s">
        <v>4362</v>
      </c>
    </row>
    <row r="1000" spans="1:12" x14ac:dyDescent="0.4">
      <c r="A1000" s="16" t="s">
        <v>318</v>
      </c>
      <c r="B1000" s="16">
        <v>11</v>
      </c>
      <c r="C1000" s="16" t="s">
        <v>691</v>
      </c>
      <c r="D1000" s="16" t="s">
        <v>4363</v>
      </c>
      <c r="E1000" s="16" t="s">
        <v>889</v>
      </c>
      <c r="F1000" s="16" t="s">
        <v>4364</v>
      </c>
      <c r="G1000" s="17">
        <v>37062</v>
      </c>
      <c r="H1000" s="16" t="s">
        <v>944</v>
      </c>
      <c r="I1000" s="16">
        <v>187</v>
      </c>
      <c r="J1000" s="16">
        <v>33</v>
      </c>
      <c r="K1000" s="16">
        <v>8</v>
      </c>
      <c r="L1000" s="16" t="s">
        <v>4365</v>
      </c>
    </row>
    <row r="1001" spans="1:12" x14ac:dyDescent="0.4">
      <c r="A1001" s="16" t="s">
        <v>318</v>
      </c>
      <c r="B1001" s="16">
        <v>12</v>
      </c>
      <c r="C1001" s="16" t="s">
        <v>691</v>
      </c>
      <c r="D1001" s="16" t="s">
        <v>4366</v>
      </c>
      <c r="E1001" s="16" t="s">
        <v>4367</v>
      </c>
      <c r="F1001" s="16" t="s">
        <v>4368</v>
      </c>
      <c r="G1001" s="17">
        <v>35087</v>
      </c>
      <c r="H1001" s="16" t="s">
        <v>4369</v>
      </c>
      <c r="I1001" s="16">
        <v>190</v>
      </c>
      <c r="J1001" s="16">
        <v>19</v>
      </c>
      <c r="K1001" s="16">
        <v>4</v>
      </c>
      <c r="L1001" s="16" t="s">
        <v>4370</v>
      </c>
    </row>
    <row r="1002" spans="1:12" x14ac:dyDescent="0.4">
      <c r="A1002" s="16" t="s">
        <v>318</v>
      </c>
      <c r="B1002" s="16">
        <v>13</v>
      </c>
      <c r="C1002" s="16" t="s">
        <v>691</v>
      </c>
      <c r="D1002" s="16" t="s">
        <v>4371</v>
      </c>
      <c r="E1002" s="16" t="s">
        <v>4372</v>
      </c>
      <c r="F1002" s="16" t="s">
        <v>4370</v>
      </c>
      <c r="G1002" s="17">
        <v>36591</v>
      </c>
      <c r="H1002" s="16" t="s">
        <v>2341</v>
      </c>
      <c r="I1002" s="16">
        <v>180</v>
      </c>
      <c r="J1002" s="16">
        <v>41</v>
      </c>
      <c r="K1002" s="16">
        <v>4</v>
      </c>
      <c r="L1002" s="16" t="s">
        <v>4370</v>
      </c>
    </row>
    <row r="1003" spans="1:12" x14ac:dyDescent="0.4">
      <c r="A1003" s="16" t="s">
        <v>318</v>
      </c>
      <c r="B1003" s="16">
        <v>14</v>
      </c>
      <c r="C1003" s="16" t="s">
        <v>669</v>
      </c>
      <c r="D1003" s="16" t="s">
        <v>4373</v>
      </c>
      <c r="E1003" s="16" t="s">
        <v>4374</v>
      </c>
      <c r="F1003" s="16" t="s">
        <v>4375</v>
      </c>
      <c r="G1003" s="17">
        <v>36389</v>
      </c>
      <c r="H1003" s="16" t="s">
        <v>1664</v>
      </c>
      <c r="I1003" s="16">
        <v>184</v>
      </c>
      <c r="J1003" s="16">
        <v>31</v>
      </c>
      <c r="K1003" s="16">
        <v>0</v>
      </c>
      <c r="L1003" s="16" t="s">
        <v>4375</v>
      </c>
    </row>
    <row r="1004" spans="1:12" x14ac:dyDescent="0.4">
      <c r="A1004" s="16" t="s">
        <v>318</v>
      </c>
      <c r="B1004" s="16">
        <v>15</v>
      </c>
      <c r="C1004" s="16" t="s">
        <v>669</v>
      </c>
      <c r="D1004" s="16" t="s">
        <v>4376</v>
      </c>
      <c r="E1004" s="16" t="s">
        <v>4377</v>
      </c>
      <c r="F1004" s="16" t="s">
        <v>4378</v>
      </c>
      <c r="G1004" s="17">
        <v>36216</v>
      </c>
      <c r="H1004" s="16" t="s">
        <v>1820</v>
      </c>
      <c r="I1004" s="16">
        <v>173</v>
      </c>
      <c r="J1004" s="16">
        <v>62</v>
      </c>
      <c r="K1004" s="16">
        <v>2</v>
      </c>
      <c r="L1004" s="16" t="s">
        <v>4378</v>
      </c>
    </row>
    <row r="1005" spans="1:12" x14ac:dyDescent="0.4">
      <c r="A1005" s="16" t="s">
        <v>318</v>
      </c>
      <c r="B1005" s="16">
        <v>16</v>
      </c>
      <c r="C1005" s="16" t="s">
        <v>664</v>
      </c>
      <c r="D1005" s="16" t="s">
        <v>4379</v>
      </c>
      <c r="E1005" s="16" t="s">
        <v>4380</v>
      </c>
      <c r="F1005" s="16" t="s">
        <v>4381</v>
      </c>
      <c r="G1005" s="17">
        <v>33664</v>
      </c>
      <c r="H1005" s="16" t="s">
        <v>695</v>
      </c>
      <c r="I1005" s="16">
        <v>194</v>
      </c>
      <c r="J1005" s="16">
        <v>58</v>
      </c>
      <c r="K1005" s="16">
        <v>0</v>
      </c>
      <c r="L1005" s="16" t="s">
        <v>4381</v>
      </c>
    </row>
    <row r="1006" spans="1:12" x14ac:dyDescent="0.4">
      <c r="A1006" s="16" t="s">
        <v>318</v>
      </c>
      <c r="B1006" s="16">
        <v>17</v>
      </c>
      <c r="C1006" s="16" t="s">
        <v>686</v>
      </c>
      <c r="D1006" s="16" t="s">
        <v>4382</v>
      </c>
      <c r="E1006" s="16" t="s">
        <v>4383</v>
      </c>
      <c r="F1006" s="16" t="s">
        <v>4384</v>
      </c>
      <c r="G1006" s="17">
        <v>37513</v>
      </c>
      <c r="H1006" s="16" t="s">
        <v>879</v>
      </c>
      <c r="I1006" s="16">
        <v>185</v>
      </c>
      <c r="J1006" s="16">
        <v>40</v>
      </c>
      <c r="K1006" s="16">
        <v>4</v>
      </c>
      <c r="L1006" s="16" t="s">
        <v>4332</v>
      </c>
    </row>
    <row r="1007" spans="1:12" x14ac:dyDescent="0.4">
      <c r="A1007" s="16" t="s">
        <v>318</v>
      </c>
      <c r="B1007" s="16">
        <v>18</v>
      </c>
      <c r="C1007" s="16" t="s">
        <v>691</v>
      </c>
      <c r="D1007" s="16" t="s">
        <v>4385</v>
      </c>
      <c r="E1007" s="16" t="s">
        <v>4386</v>
      </c>
      <c r="F1007" s="16" t="s">
        <v>4387</v>
      </c>
      <c r="G1007" s="17">
        <v>35851</v>
      </c>
      <c r="H1007" s="16" t="s">
        <v>1570</v>
      </c>
      <c r="I1007" s="16">
        <v>185</v>
      </c>
      <c r="J1007" s="16">
        <v>84</v>
      </c>
      <c r="K1007" s="16">
        <v>19</v>
      </c>
      <c r="L1007" s="16" t="s">
        <v>4332</v>
      </c>
    </row>
    <row r="1008" spans="1:12" x14ac:dyDescent="0.4">
      <c r="A1008" s="16" t="s">
        <v>318</v>
      </c>
      <c r="B1008" s="16">
        <v>19</v>
      </c>
      <c r="C1008" s="16" t="s">
        <v>669</v>
      </c>
      <c r="D1008" s="16" t="s">
        <v>4388</v>
      </c>
      <c r="E1008" s="16" t="s">
        <v>4389</v>
      </c>
      <c r="F1008" s="16" t="s">
        <v>4390</v>
      </c>
      <c r="G1008" s="17">
        <v>35132</v>
      </c>
      <c r="H1008" s="16" t="s">
        <v>1225</v>
      </c>
      <c r="I1008" s="16">
        <v>190</v>
      </c>
      <c r="J1008" s="16">
        <v>32</v>
      </c>
      <c r="K1008" s="16">
        <v>0</v>
      </c>
      <c r="L1008" s="16" t="s">
        <v>4391</v>
      </c>
    </row>
    <row r="1009" spans="1:12" x14ac:dyDescent="0.4">
      <c r="A1009" s="16" t="s">
        <v>318</v>
      </c>
      <c r="B1009" s="16">
        <v>20</v>
      </c>
      <c r="C1009" s="16" t="s">
        <v>691</v>
      </c>
      <c r="D1009" s="16" t="s">
        <v>4392</v>
      </c>
      <c r="E1009" s="16" t="s">
        <v>751</v>
      </c>
      <c r="F1009" s="16" t="s">
        <v>4393</v>
      </c>
      <c r="G1009" s="17">
        <v>39471</v>
      </c>
      <c r="H1009" s="16" t="s">
        <v>1165</v>
      </c>
      <c r="I1009" s="16">
        <v>175</v>
      </c>
      <c r="J1009" s="16">
        <v>11</v>
      </c>
      <c r="K1009" s="16">
        <v>3</v>
      </c>
      <c r="L1009" s="16" t="s">
        <v>4394</v>
      </c>
    </row>
    <row r="1010" spans="1:12" x14ac:dyDescent="0.4">
      <c r="A1010" s="16" t="s">
        <v>318</v>
      </c>
      <c r="B1010" s="16">
        <v>21</v>
      </c>
      <c r="C1010" s="16" t="s">
        <v>686</v>
      </c>
      <c r="D1010" s="16" t="s">
        <v>4395</v>
      </c>
      <c r="E1010" s="16" t="s">
        <v>4396</v>
      </c>
      <c r="F1010" s="16" t="s">
        <v>4397</v>
      </c>
      <c r="G1010" s="17">
        <v>37989</v>
      </c>
      <c r="H1010" s="16" t="s">
        <v>1735</v>
      </c>
      <c r="I1010" s="16">
        <v>178</v>
      </c>
      <c r="J1010" s="16">
        <v>21</v>
      </c>
      <c r="K1010" s="16">
        <v>4</v>
      </c>
      <c r="L1010" s="16" t="s">
        <v>4398</v>
      </c>
    </row>
    <row r="1011" spans="1:12" x14ac:dyDescent="0.4">
      <c r="A1011" s="16" t="s">
        <v>318</v>
      </c>
      <c r="B1011" s="16">
        <v>22</v>
      </c>
      <c r="C1011" s="16" t="s">
        <v>686</v>
      </c>
      <c r="D1011" s="16" t="s">
        <v>4399</v>
      </c>
      <c r="E1011" s="16" t="s">
        <v>4400</v>
      </c>
      <c r="F1011" s="16" t="s">
        <v>4401</v>
      </c>
      <c r="G1011" s="17">
        <v>39447</v>
      </c>
      <c r="H1011" s="16" t="s">
        <v>944</v>
      </c>
      <c r="I1011" s="16">
        <v>180</v>
      </c>
      <c r="J1011" s="16">
        <v>1</v>
      </c>
      <c r="K1011" s="16">
        <v>0</v>
      </c>
      <c r="L1011" s="16" t="s">
        <v>4370</v>
      </c>
    </row>
    <row r="1012" spans="1:12" x14ac:dyDescent="0.4">
      <c r="A1012" s="16" t="s">
        <v>318</v>
      </c>
      <c r="B1012" s="16">
        <v>23</v>
      </c>
      <c r="C1012" s="16" t="s">
        <v>664</v>
      </c>
      <c r="D1012" s="16" t="s">
        <v>4402</v>
      </c>
      <c r="E1012" s="16" t="s">
        <v>4403</v>
      </c>
      <c r="F1012" s="16" t="s">
        <v>4404</v>
      </c>
      <c r="G1012" s="17">
        <v>34142</v>
      </c>
      <c r="H1012" s="16" t="s">
        <v>1683</v>
      </c>
      <c r="I1012" s="16">
        <v>197</v>
      </c>
      <c r="J1012" s="16">
        <v>5</v>
      </c>
      <c r="K1012" s="16">
        <v>0</v>
      </c>
      <c r="L1012" s="16" t="s">
        <v>4404</v>
      </c>
    </row>
    <row r="1013" spans="1:12" x14ac:dyDescent="0.4">
      <c r="A1013" s="16" t="s">
        <v>318</v>
      </c>
      <c r="B1013" s="16">
        <v>24</v>
      </c>
      <c r="C1013" s="16" t="s">
        <v>669</v>
      </c>
      <c r="D1013" s="16" t="s">
        <v>4405</v>
      </c>
      <c r="E1013" s="16" t="s">
        <v>4406</v>
      </c>
      <c r="F1013" s="16" t="s">
        <v>4407</v>
      </c>
      <c r="G1013" s="17">
        <v>38134</v>
      </c>
      <c r="H1013" s="16" t="s">
        <v>723</v>
      </c>
      <c r="I1013" s="16">
        <v>187</v>
      </c>
      <c r="J1013" s="16">
        <v>7</v>
      </c>
      <c r="K1013" s="16">
        <v>0</v>
      </c>
      <c r="L1013" s="16" t="s">
        <v>4381</v>
      </c>
    </row>
    <row r="1014" spans="1:12" x14ac:dyDescent="0.4">
      <c r="A1014" s="16" t="s">
        <v>318</v>
      </c>
      <c r="B1014" s="16">
        <v>25</v>
      </c>
      <c r="C1014" s="16" t="s">
        <v>669</v>
      </c>
      <c r="D1014" s="16" t="s">
        <v>4408</v>
      </c>
      <c r="E1014" s="16" t="s">
        <v>4409</v>
      </c>
      <c r="F1014" s="16" t="s">
        <v>4329</v>
      </c>
      <c r="G1014" s="17">
        <v>38350</v>
      </c>
      <c r="H1014" s="16" t="s">
        <v>1687</v>
      </c>
      <c r="I1014" s="16">
        <v>177</v>
      </c>
      <c r="J1014" s="16">
        <v>20</v>
      </c>
      <c r="K1014" s="16">
        <v>1</v>
      </c>
      <c r="L1014" s="16" t="s">
        <v>4329</v>
      </c>
    </row>
    <row r="1015" spans="1:12" x14ac:dyDescent="0.4">
      <c r="A1015" s="16" t="s">
        <v>318</v>
      </c>
      <c r="B1015" s="16">
        <v>26</v>
      </c>
      <c r="C1015" s="16" t="s">
        <v>686</v>
      </c>
      <c r="D1015" s="16" t="s">
        <v>4410</v>
      </c>
      <c r="E1015" s="16" t="s">
        <v>4411</v>
      </c>
      <c r="F1015" s="16" t="s">
        <v>4072</v>
      </c>
      <c r="G1015" s="17">
        <v>36184</v>
      </c>
      <c r="H1015" s="16" t="s">
        <v>1274</v>
      </c>
      <c r="I1015" s="16">
        <v>189</v>
      </c>
      <c r="J1015" s="16">
        <v>42</v>
      </c>
      <c r="K1015" s="16">
        <v>5</v>
      </c>
      <c r="L1015" s="16" t="s">
        <v>4072</v>
      </c>
    </row>
    <row r="1016" spans="1:12" x14ac:dyDescent="0.4">
      <c r="A1016" s="16" t="s">
        <v>289</v>
      </c>
      <c r="B1016" s="16">
        <v>1</v>
      </c>
      <c r="C1016" s="16" t="s">
        <v>664</v>
      </c>
      <c r="D1016" s="16" t="s">
        <v>4412</v>
      </c>
      <c r="E1016" s="16" t="s">
        <v>4413</v>
      </c>
      <c r="F1016" s="16" t="s">
        <v>2643</v>
      </c>
      <c r="G1016" s="17">
        <v>33624</v>
      </c>
      <c r="H1016" s="16" t="s">
        <v>4414</v>
      </c>
      <c r="I1016" s="16">
        <v>184</v>
      </c>
      <c r="J1016" s="16">
        <v>62</v>
      </c>
      <c r="K1016" s="16">
        <v>0</v>
      </c>
      <c r="L1016" s="16" t="s">
        <v>2643</v>
      </c>
    </row>
    <row r="1017" spans="1:12" x14ac:dyDescent="0.4">
      <c r="A1017" s="16" t="s">
        <v>289</v>
      </c>
      <c r="B1017" s="16">
        <v>2</v>
      </c>
      <c r="C1017" s="16" t="s">
        <v>669</v>
      </c>
      <c r="D1017" s="16" t="s">
        <v>4415</v>
      </c>
      <c r="E1017" s="16" t="s">
        <v>4416</v>
      </c>
      <c r="F1017" s="16" t="s">
        <v>4417</v>
      </c>
      <c r="G1017" s="17">
        <v>36174</v>
      </c>
      <c r="H1017" s="16" t="s">
        <v>4418</v>
      </c>
      <c r="I1017" s="16">
        <v>189</v>
      </c>
      <c r="J1017" s="16">
        <v>3</v>
      </c>
      <c r="K1017" s="16">
        <v>0</v>
      </c>
      <c r="L1017" s="16" t="s">
        <v>4417</v>
      </c>
    </row>
    <row r="1018" spans="1:12" x14ac:dyDescent="0.4">
      <c r="A1018" s="16" t="s">
        <v>289</v>
      </c>
      <c r="B1018" s="16">
        <v>3</v>
      </c>
      <c r="C1018" s="16" t="s">
        <v>669</v>
      </c>
      <c r="D1018" s="16" t="s">
        <v>4419</v>
      </c>
      <c r="E1018" s="16" t="s">
        <v>4420</v>
      </c>
      <c r="F1018" s="16" t="s">
        <v>4421</v>
      </c>
      <c r="G1018" s="17">
        <v>38022</v>
      </c>
      <c r="H1018" s="16" t="s">
        <v>4414</v>
      </c>
      <c r="I1018" s="16">
        <v>183</v>
      </c>
      <c r="J1018" s="16">
        <v>5</v>
      </c>
      <c r="K1018" s="16">
        <v>0</v>
      </c>
      <c r="L1018" s="16" t="s">
        <v>4421</v>
      </c>
    </row>
    <row r="1019" spans="1:12" x14ac:dyDescent="0.4">
      <c r="A1019" s="16" t="s">
        <v>289</v>
      </c>
      <c r="B1019" s="16">
        <v>4</v>
      </c>
      <c r="C1019" s="16" t="s">
        <v>686</v>
      </c>
      <c r="D1019" s="16" t="s">
        <v>4422</v>
      </c>
      <c r="E1019" s="16" t="s">
        <v>4423</v>
      </c>
      <c r="F1019" s="16" t="s">
        <v>4424</v>
      </c>
      <c r="G1019" s="17">
        <v>35454</v>
      </c>
      <c r="H1019" s="16" t="s">
        <v>4414</v>
      </c>
      <c r="I1019" s="16">
        <v>177</v>
      </c>
      <c r="J1019" s="16">
        <v>51</v>
      </c>
      <c r="K1019" s="16">
        <v>9</v>
      </c>
      <c r="L1019" s="16" t="s">
        <v>4424</v>
      </c>
    </row>
    <row r="1020" spans="1:12" x14ac:dyDescent="0.4">
      <c r="A1020" s="16" t="s">
        <v>289</v>
      </c>
      <c r="B1020" s="16">
        <v>5</v>
      </c>
      <c r="C1020" s="16" t="s">
        <v>686</v>
      </c>
      <c r="D1020" s="16" t="s">
        <v>4425</v>
      </c>
      <c r="E1020" s="16" t="s">
        <v>4426</v>
      </c>
      <c r="F1020" s="16" t="s">
        <v>4427</v>
      </c>
      <c r="G1020" s="17">
        <v>36591</v>
      </c>
      <c r="H1020" s="16" t="s">
        <v>4428</v>
      </c>
      <c r="I1020" s="16">
        <v>179</v>
      </c>
      <c r="J1020" s="16">
        <v>15</v>
      </c>
      <c r="K1020" s="16">
        <v>3</v>
      </c>
      <c r="L1020" s="16" t="s">
        <v>4427</v>
      </c>
    </row>
    <row r="1021" spans="1:12" x14ac:dyDescent="0.4">
      <c r="A1021" s="16" t="s">
        <v>289</v>
      </c>
      <c r="B1021" s="16">
        <v>6</v>
      </c>
      <c r="C1021" s="16" t="s">
        <v>669</v>
      </c>
      <c r="D1021" s="16" t="s">
        <v>4429</v>
      </c>
      <c r="E1021" s="16" t="s">
        <v>4430</v>
      </c>
      <c r="F1021" s="16" t="s">
        <v>4431</v>
      </c>
      <c r="G1021" s="17">
        <v>34902</v>
      </c>
      <c r="H1021" s="16" t="s">
        <v>4414</v>
      </c>
      <c r="I1021" s="16">
        <v>171</v>
      </c>
      <c r="J1021" s="16">
        <v>44</v>
      </c>
      <c r="K1021" s="16">
        <v>3</v>
      </c>
      <c r="L1021" s="16" t="s">
        <v>4431</v>
      </c>
    </row>
    <row r="1022" spans="1:12" x14ac:dyDescent="0.4">
      <c r="A1022" s="16" t="s">
        <v>289</v>
      </c>
      <c r="B1022" s="16">
        <v>7</v>
      </c>
      <c r="C1022" s="16" t="s">
        <v>691</v>
      </c>
      <c r="D1022" s="16" t="s">
        <v>4432</v>
      </c>
      <c r="E1022" s="16" t="s">
        <v>4433</v>
      </c>
      <c r="F1022" s="16" t="s">
        <v>4434</v>
      </c>
      <c r="G1022" s="17">
        <v>37128</v>
      </c>
      <c r="H1022" s="16" t="s">
        <v>4428</v>
      </c>
      <c r="I1022" s="16">
        <v>171</v>
      </c>
      <c r="J1022" s="16">
        <v>26</v>
      </c>
      <c r="K1022" s="16">
        <v>8</v>
      </c>
      <c r="L1022" s="16" t="s">
        <v>4434</v>
      </c>
    </row>
    <row r="1023" spans="1:12" x14ac:dyDescent="0.4">
      <c r="A1023" s="16" t="s">
        <v>289</v>
      </c>
      <c r="B1023" s="16">
        <v>8</v>
      </c>
      <c r="C1023" s="16" t="s">
        <v>691</v>
      </c>
      <c r="D1023" s="16" t="s">
        <v>4435</v>
      </c>
      <c r="E1023" s="16" t="s">
        <v>4436</v>
      </c>
      <c r="F1023" s="16" t="s">
        <v>4437</v>
      </c>
      <c r="G1023" s="17">
        <v>36801</v>
      </c>
      <c r="H1023" s="16" t="s">
        <v>4428</v>
      </c>
      <c r="I1023" s="16">
        <v>169</v>
      </c>
      <c r="J1023" s="16">
        <v>10</v>
      </c>
      <c r="K1023" s="16">
        <v>1</v>
      </c>
      <c r="L1023" s="16" t="s">
        <v>4437</v>
      </c>
    </row>
    <row r="1024" spans="1:12" x14ac:dyDescent="0.4">
      <c r="A1024" s="16" t="s">
        <v>289</v>
      </c>
      <c r="B1024" s="16">
        <v>9</v>
      </c>
      <c r="C1024" s="16" t="s">
        <v>691</v>
      </c>
      <c r="D1024" s="16" t="s">
        <v>4438</v>
      </c>
      <c r="E1024" s="16" t="s">
        <v>4439</v>
      </c>
      <c r="F1024" s="16" t="s">
        <v>4440</v>
      </c>
      <c r="G1024" s="17">
        <v>36772</v>
      </c>
      <c r="H1024" s="16" t="s">
        <v>1696</v>
      </c>
      <c r="I1024" s="16">
        <v>185</v>
      </c>
      <c r="J1024" s="16">
        <v>27</v>
      </c>
      <c r="K1024" s="16">
        <v>10</v>
      </c>
      <c r="L1024" s="16" t="s">
        <v>4440</v>
      </c>
    </row>
    <row r="1025" spans="1:12" x14ac:dyDescent="0.4">
      <c r="A1025" s="16" t="s">
        <v>289</v>
      </c>
      <c r="B1025" s="16">
        <v>10</v>
      </c>
      <c r="C1025" s="16" t="s">
        <v>691</v>
      </c>
      <c r="D1025" s="16" t="s">
        <v>4441</v>
      </c>
      <c r="E1025" s="16" t="s">
        <v>4442</v>
      </c>
      <c r="F1025" s="16" t="s">
        <v>4443</v>
      </c>
      <c r="G1025" s="17">
        <v>38283</v>
      </c>
      <c r="H1025" s="16" t="s">
        <v>4428</v>
      </c>
      <c r="I1025" s="16">
        <v>168</v>
      </c>
      <c r="J1025" s="16">
        <v>13</v>
      </c>
      <c r="K1025" s="16">
        <v>0</v>
      </c>
      <c r="L1025" s="16" t="s">
        <v>4443</v>
      </c>
    </row>
    <row r="1026" spans="1:12" x14ac:dyDescent="0.4">
      <c r="A1026" s="16" t="s">
        <v>289</v>
      </c>
      <c r="B1026" s="16">
        <v>11</v>
      </c>
      <c r="C1026" s="16" t="s">
        <v>686</v>
      </c>
      <c r="D1026" s="16" t="s">
        <v>4444</v>
      </c>
      <c r="E1026" s="16" t="s">
        <v>4445</v>
      </c>
      <c r="F1026" s="16" t="s">
        <v>4446</v>
      </c>
      <c r="G1026" s="17">
        <v>32723</v>
      </c>
      <c r="H1026" s="16" t="s">
        <v>4414</v>
      </c>
      <c r="I1026" s="16">
        <v>178</v>
      </c>
      <c r="J1026" s="16">
        <v>54</v>
      </c>
      <c r="K1026" s="16">
        <v>12</v>
      </c>
      <c r="L1026" s="16" t="s">
        <v>4446</v>
      </c>
    </row>
    <row r="1027" spans="1:12" x14ac:dyDescent="0.4">
      <c r="A1027" s="16" t="s">
        <v>289</v>
      </c>
      <c r="B1027" s="16">
        <v>12</v>
      </c>
      <c r="C1027" s="16" t="s">
        <v>691</v>
      </c>
      <c r="D1027" s="16" t="s">
        <v>4447</v>
      </c>
      <c r="E1027" s="16" t="s">
        <v>4448</v>
      </c>
      <c r="F1027" s="16" t="s">
        <v>4449</v>
      </c>
      <c r="G1027" s="17">
        <v>37936</v>
      </c>
      <c r="H1027" s="16" t="s">
        <v>3333</v>
      </c>
      <c r="I1027" s="16">
        <v>178</v>
      </c>
      <c r="J1027" s="16">
        <v>10</v>
      </c>
      <c r="K1027" s="16">
        <v>1</v>
      </c>
      <c r="L1027" s="16" t="s">
        <v>4449</v>
      </c>
    </row>
    <row r="1028" spans="1:12" x14ac:dyDescent="0.4">
      <c r="A1028" s="16" t="s">
        <v>289</v>
      </c>
      <c r="B1028" s="16">
        <v>13</v>
      </c>
      <c r="C1028" s="16" t="s">
        <v>686</v>
      </c>
      <c r="D1028" s="16" t="s">
        <v>4450</v>
      </c>
      <c r="E1028" s="16" t="s">
        <v>4451</v>
      </c>
      <c r="F1028" s="16" t="s">
        <v>4452</v>
      </c>
      <c r="G1028" s="17">
        <v>36222</v>
      </c>
      <c r="H1028" s="16" t="s">
        <v>4453</v>
      </c>
      <c r="I1028" s="16">
        <v>197</v>
      </c>
      <c r="J1028" s="16">
        <v>28</v>
      </c>
      <c r="K1028" s="16">
        <v>1</v>
      </c>
      <c r="L1028" s="16" t="s">
        <v>4452</v>
      </c>
    </row>
    <row r="1029" spans="1:12" x14ac:dyDescent="0.4">
      <c r="A1029" s="16" t="s">
        <v>289</v>
      </c>
      <c r="B1029" s="16">
        <v>14</v>
      </c>
      <c r="C1029" s="16" t="s">
        <v>669</v>
      </c>
      <c r="D1029" s="16" t="s">
        <v>4454</v>
      </c>
      <c r="E1029" s="16" t="s">
        <v>4455</v>
      </c>
      <c r="F1029" s="16" t="s">
        <v>4456</v>
      </c>
      <c r="G1029" s="17">
        <v>38614</v>
      </c>
      <c r="H1029" s="16" t="s">
        <v>1395</v>
      </c>
      <c r="I1029" s="16">
        <v>177</v>
      </c>
      <c r="J1029" s="16">
        <v>10</v>
      </c>
      <c r="K1029" s="16">
        <v>1</v>
      </c>
      <c r="L1029" s="16" t="s">
        <v>4456</v>
      </c>
    </row>
    <row r="1030" spans="1:12" x14ac:dyDescent="0.4">
      <c r="A1030" s="16" t="s">
        <v>289</v>
      </c>
      <c r="B1030" s="16">
        <v>15</v>
      </c>
      <c r="C1030" s="16" t="s">
        <v>691</v>
      </c>
      <c r="D1030" s="16" t="s">
        <v>4457</v>
      </c>
      <c r="E1030" s="16" t="s">
        <v>4458</v>
      </c>
      <c r="F1030" s="16" t="s">
        <v>4459</v>
      </c>
      <c r="G1030" s="17">
        <v>35052</v>
      </c>
      <c r="H1030" s="16" t="s">
        <v>4414</v>
      </c>
      <c r="I1030" s="16">
        <v>174</v>
      </c>
      <c r="J1030" s="16">
        <v>14</v>
      </c>
      <c r="K1030" s="16">
        <v>4</v>
      </c>
      <c r="L1030" s="16" t="s">
        <v>4459</v>
      </c>
    </row>
    <row r="1031" spans="1:12" x14ac:dyDescent="0.4">
      <c r="A1031" s="16" t="s">
        <v>289</v>
      </c>
      <c r="B1031" s="16">
        <v>16</v>
      </c>
      <c r="C1031" s="16" t="s">
        <v>664</v>
      </c>
      <c r="D1031" s="16" t="s">
        <v>4460</v>
      </c>
      <c r="E1031" s="16" t="s">
        <v>4461</v>
      </c>
      <c r="F1031" s="16" t="s">
        <v>4462</v>
      </c>
      <c r="G1031" s="17">
        <v>35413</v>
      </c>
      <c r="H1031" s="16" t="s">
        <v>4428</v>
      </c>
      <c r="I1031" s="16">
        <v>186</v>
      </c>
      <c r="J1031" s="16">
        <v>4</v>
      </c>
      <c r="K1031" s="16">
        <v>0</v>
      </c>
      <c r="L1031" s="16" t="s">
        <v>4462</v>
      </c>
    </row>
    <row r="1032" spans="1:12" x14ac:dyDescent="0.4">
      <c r="A1032" s="16" t="s">
        <v>289</v>
      </c>
      <c r="B1032" s="16">
        <v>17</v>
      </c>
      <c r="C1032" s="16" t="s">
        <v>691</v>
      </c>
      <c r="D1032" s="16" t="s">
        <v>4463</v>
      </c>
      <c r="E1032" s="16" t="s">
        <v>4464</v>
      </c>
      <c r="F1032" s="16" t="s">
        <v>4465</v>
      </c>
      <c r="G1032" s="17">
        <v>36682</v>
      </c>
      <c r="H1032" s="16" t="s">
        <v>4428</v>
      </c>
      <c r="I1032" s="16">
        <v>183</v>
      </c>
      <c r="J1032" s="16">
        <v>26</v>
      </c>
      <c r="K1032" s="16">
        <v>6</v>
      </c>
      <c r="L1032" s="16" t="s">
        <v>4466</v>
      </c>
    </row>
    <row r="1033" spans="1:12" x14ac:dyDescent="0.4">
      <c r="A1033" s="16" t="s">
        <v>289</v>
      </c>
      <c r="B1033" s="16">
        <v>18</v>
      </c>
      <c r="C1033" s="16" t="s">
        <v>669</v>
      </c>
      <c r="D1033" s="16" t="s">
        <v>4467</v>
      </c>
      <c r="E1033" s="16" t="s">
        <v>4468</v>
      </c>
      <c r="F1033" s="16" t="s">
        <v>4469</v>
      </c>
      <c r="G1033" s="17">
        <v>38061</v>
      </c>
      <c r="H1033" s="16" t="s">
        <v>4470</v>
      </c>
      <c r="I1033" s="16">
        <v>179</v>
      </c>
      <c r="J1033" s="16">
        <v>6</v>
      </c>
      <c r="K1033" s="16">
        <v>0</v>
      </c>
      <c r="L1033" s="16" t="s">
        <v>4469</v>
      </c>
    </row>
    <row r="1034" spans="1:12" x14ac:dyDescent="0.4">
      <c r="A1034" s="16" t="s">
        <v>289</v>
      </c>
      <c r="B1034" s="16">
        <v>19</v>
      </c>
      <c r="C1034" s="16" t="s">
        <v>669</v>
      </c>
      <c r="D1034" s="16" t="s">
        <v>4471</v>
      </c>
      <c r="E1034" s="16" t="s">
        <v>4472</v>
      </c>
      <c r="F1034" s="16" t="s">
        <v>4473</v>
      </c>
      <c r="G1034" s="17">
        <v>34964</v>
      </c>
      <c r="H1034" s="16" t="s">
        <v>4428</v>
      </c>
      <c r="I1034" s="16">
        <v>172</v>
      </c>
      <c r="J1034" s="16">
        <v>20</v>
      </c>
      <c r="K1034" s="16">
        <v>0</v>
      </c>
      <c r="L1034" s="16" t="s">
        <v>4473</v>
      </c>
    </row>
    <row r="1035" spans="1:12" x14ac:dyDescent="0.4">
      <c r="A1035" s="16" t="s">
        <v>289</v>
      </c>
      <c r="B1035" s="16">
        <v>20</v>
      </c>
      <c r="C1035" s="16" t="s">
        <v>669</v>
      </c>
      <c r="D1035" s="16" t="s">
        <v>4474</v>
      </c>
      <c r="E1035" s="16" t="s">
        <v>4475</v>
      </c>
      <c r="F1035" s="16" t="s">
        <v>4476</v>
      </c>
      <c r="G1035" s="17">
        <v>34815</v>
      </c>
      <c r="H1035" s="16" t="s">
        <v>4414</v>
      </c>
      <c r="I1035" s="16">
        <v>179</v>
      </c>
      <c r="J1035" s="16">
        <v>32</v>
      </c>
      <c r="K1035" s="16">
        <v>1</v>
      </c>
      <c r="L1035" s="16" t="s">
        <v>4476</v>
      </c>
    </row>
    <row r="1036" spans="1:12" x14ac:dyDescent="0.4">
      <c r="A1036" s="16" t="s">
        <v>289</v>
      </c>
      <c r="B1036" s="16">
        <v>21</v>
      </c>
      <c r="C1036" s="16" t="s">
        <v>669</v>
      </c>
      <c r="D1036" s="16" t="s">
        <v>4477</v>
      </c>
      <c r="E1036" s="16" t="s">
        <v>4478</v>
      </c>
      <c r="F1036" s="16" t="s">
        <v>4479</v>
      </c>
      <c r="G1036" s="17">
        <v>38037</v>
      </c>
      <c r="H1036" s="16" t="s">
        <v>4480</v>
      </c>
      <c r="I1036" s="16">
        <v>187</v>
      </c>
      <c r="J1036" s="16">
        <v>8</v>
      </c>
      <c r="K1036" s="16">
        <v>1</v>
      </c>
      <c r="L1036" s="16" t="s">
        <v>4479</v>
      </c>
    </row>
    <row r="1037" spans="1:12" x14ac:dyDescent="0.4">
      <c r="A1037" s="16" t="s">
        <v>289</v>
      </c>
      <c r="B1037" s="16">
        <v>22</v>
      </c>
      <c r="C1037" s="16" t="s">
        <v>664</v>
      </c>
      <c r="D1037" s="16" t="s">
        <v>4481</v>
      </c>
      <c r="E1037" s="16" t="s">
        <v>4482</v>
      </c>
      <c r="F1037" s="16" t="s">
        <v>4483</v>
      </c>
      <c r="G1037" s="17">
        <v>34426</v>
      </c>
      <c r="H1037" s="16" t="s">
        <v>4484</v>
      </c>
      <c r="I1037" s="16">
        <v>181</v>
      </c>
      <c r="J1037" s="16">
        <v>5</v>
      </c>
      <c r="K1037" s="16">
        <v>0</v>
      </c>
      <c r="L1037" s="16" t="s">
        <v>4483</v>
      </c>
    </row>
    <row r="1038" spans="1:12" x14ac:dyDescent="0.4">
      <c r="A1038" s="16" t="s">
        <v>289</v>
      </c>
      <c r="B1038" s="16">
        <v>23</v>
      </c>
      <c r="C1038" s="16" t="s">
        <v>686</v>
      </c>
      <c r="D1038" s="16" t="s">
        <v>4485</v>
      </c>
      <c r="E1038" s="16" t="s">
        <v>4486</v>
      </c>
      <c r="F1038" s="16" t="s">
        <v>4277</v>
      </c>
      <c r="G1038" s="17">
        <v>37016</v>
      </c>
      <c r="H1038" s="16" t="s">
        <v>4487</v>
      </c>
      <c r="I1038" s="16">
        <v>177</v>
      </c>
      <c r="J1038" s="16">
        <v>9</v>
      </c>
      <c r="K1038" s="16">
        <v>1</v>
      </c>
      <c r="L1038" s="16" t="s">
        <v>4277</v>
      </c>
    </row>
    <row r="1039" spans="1:12" x14ac:dyDescent="0.4">
      <c r="A1039" s="16" t="s">
        <v>289</v>
      </c>
      <c r="B1039" s="16">
        <v>24</v>
      </c>
      <c r="C1039" s="16" t="s">
        <v>669</v>
      </c>
      <c r="D1039" s="16" t="s">
        <v>4488</v>
      </c>
      <c r="E1039" s="16" t="s">
        <v>4489</v>
      </c>
      <c r="F1039" s="16" t="s">
        <v>4490</v>
      </c>
      <c r="G1039" s="17">
        <v>38107</v>
      </c>
      <c r="H1039" s="16" t="s">
        <v>2733</v>
      </c>
      <c r="I1039" s="16">
        <v>185</v>
      </c>
      <c r="J1039" s="16">
        <v>1</v>
      </c>
      <c r="K1039" s="16">
        <v>0</v>
      </c>
      <c r="L1039" s="16" t="s">
        <v>4490</v>
      </c>
    </row>
    <row r="1040" spans="1:12" x14ac:dyDescent="0.4">
      <c r="A1040" s="16" t="s">
        <v>289</v>
      </c>
      <c r="B1040" s="16">
        <v>25</v>
      </c>
      <c r="C1040" s="16" t="s">
        <v>691</v>
      </c>
      <c r="D1040" s="16" t="s">
        <v>4491</v>
      </c>
      <c r="E1040" s="16" t="s">
        <v>4492</v>
      </c>
      <c r="F1040" s="16" t="s">
        <v>4493</v>
      </c>
      <c r="G1040" s="17">
        <v>37458</v>
      </c>
      <c r="H1040" s="16" t="s">
        <v>4428</v>
      </c>
      <c r="I1040" s="16">
        <v>166</v>
      </c>
      <c r="J1040" s="16">
        <v>3</v>
      </c>
      <c r="K1040" s="16">
        <v>0</v>
      </c>
      <c r="L1040" s="16" t="s">
        <v>4493</v>
      </c>
    </row>
    <row r="1041" spans="1:12" x14ac:dyDescent="0.4">
      <c r="A1041" s="16" t="s">
        <v>289</v>
      </c>
      <c r="B1041" s="16">
        <v>26</v>
      </c>
      <c r="C1041" s="16" t="s">
        <v>669</v>
      </c>
      <c r="D1041" s="16" t="s">
        <v>4494</v>
      </c>
      <c r="E1041" s="16" t="s">
        <v>4495</v>
      </c>
      <c r="F1041" s="16" t="s">
        <v>4496</v>
      </c>
      <c r="G1041" s="17">
        <v>36921</v>
      </c>
      <c r="H1041" s="16" t="s">
        <v>4497</v>
      </c>
      <c r="I1041" s="16">
        <v>175</v>
      </c>
      <c r="J1041" s="16">
        <v>1</v>
      </c>
      <c r="K1041" s="16">
        <v>0</v>
      </c>
      <c r="L1041" s="16" t="s">
        <v>4496</v>
      </c>
    </row>
    <row r="1042" spans="1:12" x14ac:dyDescent="0.4">
      <c r="A1042" s="16" t="s">
        <v>293</v>
      </c>
      <c r="B1042" s="16">
        <v>1</v>
      </c>
      <c r="C1042" s="16" t="s">
        <v>664</v>
      </c>
      <c r="D1042" s="16" t="s">
        <v>4498</v>
      </c>
      <c r="E1042" s="16" t="s">
        <v>896</v>
      </c>
      <c r="F1042" s="16" t="s">
        <v>4499</v>
      </c>
      <c r="G1042" s="17">
        <v>34957</v>
      </c>
      <c r="H1042" s="16" t="s">
        <v>1000</v>
      </c>
      <c r="I1042" s="16">
        <v>186</v>
      </c>
      <c r="J1042" s="16">
        <v>13</v>
      </c>
      <c r="K1042" s="16">
        <v>0</v>
      </c>
      <c r="L1042" s="16" t="s">
        <v>4500</v>
      </c>
    </row>
    <row r="1043" spans="1:12" x14ac:dyDescent="0.4">
      <c r="A1043" s="16" t="s">
        <v>293</v>
      </c>
      <c r="B1043" s="16">
        <v>2</v>
      </c>
      <c r="C1043" s="16" t="s">
        <v>669</v>
      </c>
      <c r="D1043" s="16" t="s">
        <v>4501</v>
      </c>
      <c r="E1043" s="16" t="s">
        <v>4502</v>
      </c>
      <c r="F1043" s="16" t="s">
        <v>4503</v>
      </c>
      <c r="G1043" s="17">
        <v>37792</v>
      </c>
      <c r="H1043" s="16" t="s">
        <v>1475</v>
      </c>
      <c r="I1043" s="16">
        <v>191</v>
      </c>
      <c r="J1043" s="16">
        <v>2</v>
      </c>
      <c r="K1043" s="16">
        <v>0</v>
      </c>
      <c r="L1043" s="16" t="s">
        <v>4504</v>
      </c>
    </row>
    <row r="1044" spans="1:12" x14ac:dyDescent="0.4">
      <c r="A1044" s="16" t="s">
        <v>293</v>
      </c>
      <c r="B1044" s="16">
        <v>3</v>
      </c>
      <c r="C1044" s="16" t="s">
        <v>669</v>
      </c>
      <c r="D1044" s="16" t="s">
        <v>4505</v>
      </c>
      <c r="E1044" s="16" t="s">
        <v>4506</v>
      </c>
      <c r="F1044" s="16" t="s">
        <v>4507</v>
      </c>
      <c r="G1044" s="17">
        <v>34962</v>
      </c>
      <c r="H1044" s="16" t="s">
        <v>753</v>
      </c>
      <c r="I1044" s="16">
        <v>171</v>
      </c>
      <c r="J1044" s="16">
        <v>14</v>
      </c>
      <c r="K1044" s="16">
        <v>0</v>
      </c>
      <c r="L1044" s="16" t="s">
        <v>4508</v>
      </c>
    </row>
    <row r="1045" spans="1:12" x14ac:dyDescent="0.4">
      <c r="A1045" s="16" t="s">
        <v>293</v>
      </c>
      <c r="B1045" s="16">
        <v>4</v>
      </c>
      <c r="C1045" s="16" t="s">
        <v>669</v>
      </c>
      <c r="D1045" s="16" t="s">
        <v>4509</v>
      </c>
      <c r="E1045" s="16" t="s">
        <v>4510</v>
      </c>
      <c r="F1045" s="16" t="s">
        <v>4511</v>
      </c>
      <c r="G1045" s="17">
        <v>36900</v>
      </c>
      <c r="H1045" s="16" t="s">
        <v>1193</v>
      </c>
      <c r="I1045" s="16">
        <v>183</v>
      </c>
      <c r="J1045" s="16">
        <v>21</v>
      </c>
      <c r="K1045" s="16">
        <v>0</v>
      </c>
      <c r="L1045" s="16" t="s">
        <v>4512</v>
      </c>
    </row>
    <row r="1046" spans="1:12" x14ac:dyDescent="0.4">
      <c r="A1046" s="16" t="s">
        <v>293</v>
      </c>
      <c r="B1046" s="16">
        <v>5</v>
      </c>
      <c r="C1046" s="16" t="s">
        <v>669</v>
      </c>
      <c r="D1046" s="16" t="s">
        <v>4513</v>
      </c>
      <c r="E1046" s="16" t="s">
        <v>1164</v>
      </c>
      <c r="F1046" s="16" t="s">
        <v>4514</v>
      </c>
      <c r="G1046" s="17">
        <v>34729</v>
      </c>
      <c r="H1046" s="16" t="s">
        <v>1475</v>
      </c>
      <c r="I1046" s="16">
        <v>183</v>
      </c>
      <c r="J1046" s="16">
        <v>24</v>
      </c>
      <c r="K1046" s="16">
        <v>0</v>
      </c>
      <c r="L1046" s="16" t="s">
        <v>4515</v>
      </c>
    </row>
    <row r="1047" spans="1:12" x14ac:dyDescent="0.4">
      <c r="A1047" s="16" t="s">
        <v>293</v>
      </c>
      <c r="B1047" s="16">
        <v>6</v>
      </c>
      <c r="C1047" s="16" t="s">
        <v>686</v>
      </c>
      <c r="D1047" s="16" t="s">
        <v>4516</v>
      </c>
      <c r="E1047" s="16" t="s">
        <v>4517</v>
      </c>
      <c r="F1047" s="16" t="s">
        <v>4518</v>
      </c>
      <c r="G1047" s="17">
        <v>35238</v>
      </c>
      <c r="H1047" s="16" t="s">
        <v>1000</v>
      </c>
      <c r="I1047" s="16">
        <v>188</v>
      </c>
      <c r="J1047" s="16">
        <v>43</v>
      </c>
      <c r="K1047" s="16">
        <v>10</v>
      </c>
      <c r="L1047" s="16" t="s">
        <v>4519</v>
      </c>
    </row>
    <row r="1048" spans="1:12" x14ac:dyDescent="0.4">
      <c r="A1048" s="16" t="s">
        <v>293</v>
      </c>
      <c r="B1048" s="16">
        <v>7</v>
      </c>
      <c r="C1048" s="16" t="s">
        <v>691</v>
      </c>
      <c r="D1048" s="16" t="s">
        <v>4520</v>
      </c>
      <c r="E1048" s="16" t="s">
        <v>4521</v>
      </c>
      <c r="F1048" s="16" t="s">
        <v>4522</v>
      </c>
      <c r="G1048" s="17">
        <v>36585</v>
      </c>
      <c r="H1048" s="16" t="s">
        <v>1193</v>
      </c>
      <c r="I1048" s="16">
        <v>183</v>
      </c>
      <c r="J1048" s="16">
        <v>57</v>
      </c>
      <c r="K1048" s="16">
        <v>24</v>
      </c>
      <c r="L1048" s="16" t="s">
        <v>4523</v>
      </c>
    </row>
    <row r="1049" spans="1:12" x14ac:dyDescent="0.4">
      <c r="A1049" s="16" t="s">
        <v>293</v>
      </c>
      <c r="B1049" s="16">
        <v>8</v>
      </c>
      <c r="C1049" s="16" t="s">
        <v>686</v>
      </c>
      <c r="D1049" s="16" t="s">
        <v>4524</v>
      </c>
      <c r="E1049" s="16" t="s">
        <v>4525</v>
      </c>
      <c r="F1049" s="16" t="s">
        <v>4526</v>
      </c>
      <c r="G1049" s="17">
        <v>35158</v>
      </c>
      <c r="H1049" s="16" t="s">
        <v>1165</v>
      </c>
      <c r="I1049" s="16">
        <v>188</v>
      </c>
      <c r="J1049" s="16">
        <v>42</v>
      </c>
      <c r="K1049" s="16">
        <v>6</v>
      </c>
      <c r="L1049" s="16" t="s">
        <v>4527</v>
      </c>
    </row>
    <row r="1050" spans="1:12" x14ac:dyDescent="0.4">
      <c r="A1050" s="16" t="s">
        <v>293</v>
      </c>
      <c r="B1050" s="16">
        <v>9</v>
      </c>
      <c r="C1050" s="16" t="s">
        <v>686</v>
      </c>
      <c r="D1050" s="16" t="s">
        <v>4528</v>
      </c>
      <c r="E1050" s="16" t="s">
        <v>4529</v>
      </c>
      <c r="F1050" s="16" t="s">
        <v>4528</v>
      </c>
      <c r="G1050" s="17">
        <v>38204</v>
      </c>
      <c r="H1050" s="16" t="s">
        <v>1193</v>
      </c>
      <c r="I1050" s="16">
        <v>173</v>
      </c>
      <c r="J1050" s="16">
        <v>30</v>
      </c>
      <c r="K1050" s="16">
        <v>5</v>
      </c>
      <c r="L1050" s="16" t="s">
        <v>4530</v>
      </c>
    </row>
    <row r="1051" spans="1:12" x14ac:dyDescent="0.4">
      <c r="A1051" s="16" t="s">
        <v>293</v>
      </c>
      <c r="B1051" s="16">
        <v>10</v>
      </c>
      <c r="C1051" s="16" t="s">
        <v>691</v>
      </c>
      <c r="D1051" s="16" t="s">
        <v>4531</v>
      </c>
      <c r="E1051" s="16" t="s">
        <v>1568</v>
      </c>
      <c r="F1051" s="16" t="s">
        <v>4532</v>
      </c>
      <c r="G1051" s="17">
        <v>35922</v>
      </c>
      <c r="H1051" s="16" t="s">
        <v>1193</v>
      </c>
      <c r="I1051" s="16">
        <v>179</v>
      </c>
      <c r="J1051" s="16">
        <v>50</v>
      </c>
      <c r="K1051" s="16">
        <v>12</v>
      </c>
      <c r="L1051" s="16" t="s">
        <v>4533</v>
      </c>
    </row>
    <row r="1052" spans="1:12" x14ac:dyDescent="0.4">
      <c r="A1052" s="16" t="s">
        <v>293</v>
      </c>
      <c r="B1052" s="16">
        <v>11</v>
      </c>
      <c r="C1052" s="16" t="s">
        <v>691</v>
      </c>
      <c r="D1052" s="16" t="s">
        <v>4534</v>
      </c>
      <c r="E1052" s="16" t="s">
        <v>4535</v>
      </c>
      <c r="F1052" s="16" t="s">
        <v>4536</v>
      </c>
      <c r="G1052" s="17">
        <v>37549</v>
      </c>
      <c r="H1052" s="16" t="s">
        <v>1570</v>
      </c>
      <c r="I1052" s="16">
        <v>174</v>
      </c>
      <c r="J1052" s="16">
        <v>23</v>
      </c>
      <c r="K1052" s="16">
        <v>4</v>
      </c>
      <c r="L1052" s="16" t="s">
        <v>4537</v>
      </c>
    </row>
    <row r="1053" spans="1:12" x14ac:dyDescent="0.4">
      <c r="A1053" s="16" t="s">
        <v>293</v>
      </c>
      <c r="B1053" s="16">
        <v>12</v>
      </c>
      <c r="C1053" s="16" t="s">
        <v>669</v>
      </c>
      <c r="D1053" s="16" t="s">
        <v>4538</v>
      </c>
      <c r="E1053" s="16" t="s">
        <v>4539</v>
      </c>
      <c r="F1053" s="16" t="s">
        <v>4540</v>
      </c>
      <c r="G1053" s="17">
        <v>36416</v>
      </c>
      <c r="H1053" s="16" t="s">
        <v>879</v>
      </c>
      <c r="I1053" s="16">
        <v>173</v>
      </c>
      <c r="J1053" s="16">
        <v>18</v>
      </c>
      <c r="K1053" s="16">
        <v>0</v>
      </c>
      <c r="L1053" s="16" t="s">
        <v>4541</v>
      </c>
    </row>
    <row r="1054" spans="1:12" x14ac:dyDescent="0.4">
      <c r="A1054" s="16" t="s">
        <v>293</v>
      </c>
      <c r="B1054" s="16">
        <v>13</v>
      </c>
      <c r="C1054" s="16" t="s">
        <v>664</v>
      </c>
      <c r="D1054" s="16" t="s">
        <v>4542</v>
      </c>
      <c r="E1054" s="16" t="s">
        <v>4543</v>
      </c>
      <c r="F1054" s="16" t="s">
        <v>4544</v>
      </c>
      <c r="G1054" s="17">
        <v>37015</v>
      </c>
      <c r="H1054" s="16" t="s">
        <v>1193</v>
      </c>
      <c r="I1054" s="16">
        <v>194</v>
      </c>
      <c r="J1054" s="16">
        <v>2</v>
      </c>
      <c r="K1054" s="16">
        <v>0</v>
      </c>
      <c r="L1054" s="16" t="s">
        <v>4545</v>
      </c>
    </row>
    <row r="1055" spans="1:12" x14ac:dyDescent="0.4">
      <c r="A1055" s="16" t="s">
        <v>293</v>
      </c>
      <c r="B1055" s="16">
        <v>14</v>
      </c>
      <c r="C1055" s="16" t="s">
        <v>669</v>
      </c>
      <c r="D1055" s="16" t="s">
        <v>4546</v>
      </c>
      <c r="E1055" s="16" t="s">
        <v>4547</v>
      </c>
      <c r="F1055" s="16" t="s">
        <v>4548</v>
      </c>
      <c r="G1055" s="17">
        <v>34481</v>
      </c>
      <c r="H1055" s="16" t="s">
        <v>2644</v>
      </c>
      <c r="I1055" s="16">
        <v>191</v>
      </c>
      <c r="J1055" s="16">
        <v>46</v>
      </c>
      <c r="K1055" s="16">
        <v>2</v>
      </c>
      <c r="L1055" s="16" t="s">
        <v>4549</v>
      </c>
    </row>
    <row r="1056" spans="1:12" x14ac:dyDescent="0.4">
      <c r="A1056" s="16" t="s">
        <v>293</v>
      </c>
      <c r="B1056" s="16">
        <v>15</v>
      </c>
      <c r="C1056" s="16" t="s">
        <v>686</v>
      </c>
      <c r="D1056" s="16" t="s">
        <v>4550</v>
      </c>
      <c r="E1056" s="16" t="s">
        <v>4506</v>
      </c>
      <c r="F1056" s="16" t="s">
        <v>4551</v>
      </c>
      <c r="G1056" s="17">
        <v>37092</v>
      </c>
      <c r="H1056" s="16" t="s">
        <v>1475</v>
      </c>
      <c r="I1056" s="16">
        <v>172</v>
      </c>
      <c r="J1056" s="16">
        <v>17</v>
      </c>
      <c r="K1056" s="16">
        <v>2</v>
      </c>
      <c r="L1056" s="16" t="s">
        <v>4552</v>
      </c>
    </row>
    <row r="1057" spans="1:12" x14ac:dyDescent="0.4">
      <c r="A1057" s="16" t="s">
        <v>293</v>
      </c>
      <c r="B1057" s="16">
        <v>16</v>
      </c>
      <c r="C1057" s="16" t="s">
        <v>686</v>
      </c>
      <c r="D1057" s="16" t="s">
        <v>4553</v>
      </c>
      <c r="E1057" s="16" t="s">
        <v>4554</v>
      </c>
      <c r="F1057" s="16" t="s">
        <v>4555</v>
      </c>
      <c r="G1057" s="17">
        <v>35238</v>
      </c>
      <c r="H1057" s="16" t="s">
        <v>727</v>
      </c>
      <c r="I1057" s="16">
        <v>190</v>
      </c>
      <c r="J1057" s="16">
        <v>62</v>
      </c>
      <c r="K1057" s="16">
        <v>4</v>
      </c>
      <c r="L1057" s="16" t="s">
        <v>4556</v>
      </c>
    </row>
    <row r="1058" spans="1:12" x14ac:dyDescent="0.4">
      <c r="A1058" s="16" t="s">
        <v>293</v>
      </c>
      <c r="B1058" s="16">
        <v>17</v>
      </c>
      <c r="C1058" s="16" t="s">
        <v>691</v>
      </c>
      <c r="D1058" s="16" t="s">
        <v>4557</v>
      </c>
      <c r="E1058" s="16" t="s">
        <v>4558</v>
      </c>
      <c r="F1058" s="16" t="s">
        <v>4559</v>
      </c>
      <c r="G1058" s="17">
        <v>37449</v>
      </c>
      <c r="H1058" s="16" t="s">
        <v>2644</v>
      </c>
      <c r="I1058" s="16">
        <v>181</v>
      </c>
      <c r="J1058" s="16">
        <v>30</v>
      </c>
      <c r="K1058" s="16">
        <v>6</v>
      </c>
      <c r="L1058" s="16" t="s">
        <v>2645</v>
      </c>
    </row>
    <row r="1059" spans="1:12" x14ac:dyDescent="0.4">
      <c r="A1059" s="16" t="s">
        <v>293</v>
      </c>
      <c r="B1059" s="16">
        <v>18</v>
      </c>
      <c r="C1059" s="16" t="s">
        <v>686</v>
      </c>
      <c r="D1059" s="16" t="s">
        <v>4560</v>
      </c>
      <c r="E1059" s="16" t="s">
        <v>1132</v>
      </c>
      <c r="F1059" s="16" t="s">
        <v>4561</v>
      </c>
      <c r="G1059" s="17">
        <v>36193</v>
      </c>
      <c r="H1059" s="16" t="s">
        <v>1000</v>
      </c>
      <c r="I1059" s="16">
        <v>181</v>
      </c>
      <c r="J1059" s="16">
        <v>26</v>
      </c>
      <c r="K1059" s="16">
        <v>3</v>
      </c>
      <c r="L1059" s="16" t="s">
        <v>4562</v>
      </c>
    </row>
    <row r="1060" spans="1:12" x14ac:dyDescent="0.4">
      <c r="A1060" s="16" t="s">
        <v>293</v>
      </c>
      <c r="B1060" s="16">
        <v>19</v>
      </c>
      <c r="C1060" s="16" t="s">
        <v>691</v>
      </c>
      <c r="D1060" s="16" t="s">
        <v>4563</v>
      </c>
      <c r="E1060" s="16" t="s">
        <v>4564</v>
      </c>
      <c r="F1060" s="16" t="s">
        <v>4565</v>
      </c>
      <c r="G1060" s="17">
        <v>39276</v>
      </c>
      <c r="H1060" s="16" t="s">
        <v>1193</v>
      </c>
      <c r="I1060" s="16">
        <v>183</v>
      </c>
      <c r="J1060" s="16">
        <v>25</v>
      </c>
      <c r="K1060" s="16">
        <v>6</v>
      </c>
      <c r="L1060" s="16" t="s">
        <v>4566</v>
      </c>
    </row>
    <row r="1061" spans="1:12" x14ac:dyDescent="0.4">
      <c r="A1061" s="16" t="s">
        <v>293</v>
      </c>
      <c r="B1061" s="16">
        <v>20</v>
      </c>
      <c r="C1061" s="16" t="s">
        <v>686</v>
      </c>
      <c r="D1061" s="16" t="s">
        <v>4567</v>
      </c>
      <c r="E1061" s="16" t="s">
        <v>4025</v>
      </c>
      <c r="F1061" s="16" t="s">
        <v>4567</v>
      </c>
      <c r="G1061" s="17">
        <v>37585</v>
      </c>
      <c r="H1061" s="16" t="s">
        <v>1193</v>
      </c>
      <c r="I1061" s="16">
        <v>174</v>
      </c>
      <c r="J1061" s="16">
        <v>41</v>
      </c>
      <c r="K1061" s="16">
        <v>6</v>
      </c>
      <c r="L1061" s="16" t="s">
        <v>4568</v>
      </c>
    </row>
    <row r="1062" spans="1:12" x14ac:dyDescent="0.4">
      <c r="A1062" s="16" t="s">
        <v>293</v>
      </c>
      <c r="B1062" s="16">
        <v>21</v>
      </c>
      <c r="C1062" s="16" t="s">
        <v>691</v>
      </c>
      <c r="D1062" s="16" t="s">
        <v>4569</v>
      </c>
      <c r="E1062" s="16" t="s">
        <v>4517</v>
      </c>
      <c r="F1062" s="16" t="s">
        <v>4570</v>
      </c>
      <c r="G1062" s="17">
        <v>35541</v>
      </c>
      <c r="H1062" s="16" t="s">
        <v>1890</v>
      </c>
      <c r="I1062" s="16">
        <v>181</v>
      </c>
      <c r="J1062" s="16">
        <v>53</v>
      </c>
      <c r="K1062" s="16">
        <v>25</v>
      </c>
      <c r="L1062" s="16" t="s">
        <v>4571</v>
      </c>
    </row>
    <row r="1063" spans="1:12" x14ac:dyDescent="0.4">
      <c r="A1063" s="16" t="s">
        <v>293</v>
      </c>
      <c r="B1063" s="16">
        <v>22</v>
      </c>
      <c r="C1063" s="16" t="s">
        <v>669</v>
      </c>
      <c r="D1063" s="16" t="s">
        <v>4572</v>
      </c>
      <c r="E1063" s="16" t="s">
        <v>4573</v>
      </c>
      <c r="F1063" s="16" t="s">
        <v>4574</v>
      </c>
      <c r="G1063" s="17">
        <v>39104</v>
      </c>
      <c r="H1063" s="16" t="s">
        <v>1193</v>
      </c>
      <c r="I1063" s="16">
        <v>183</v>
      </c>
      <c r="J1063" s="16">
        <v>12</v>
      </c>
      <c r="K1063" s="16">
        <v>0</v>
      </c>
      <c r="L1063" s="16" t="s">
        <v>4575</v>
      </c>
    </row>
    <row r="1064" spans="1:12" x14ac:dyDescent="0.4">
      <c r="A1064" s="16" t="s">
        <v>293</v>
      </c>
      <c r="B1064" s="16">
        <v>23</v>
      </c>
      <c r="C1064" s="16" t="s">
        <v>664</v>
      </c>
      <c r="D1064" s="16" t="s">
        <v>4576</v>
      </c>
      <c r="E1064" s="16" t="s">
        <v>4577</v>
      </c>
      <c r="F1064" s="16" t="s">
        <v>4578</v>
      </c>
      <c r="G1064" s="17">
        <v>35592</v>
      </c>
      <c r="H1064" s="16" t="s">
        <v>2644</v>
      </c>
      <c r="I1064" s="16">
        <v>190</v>
      </c>
      <c r="J1064" s="16">
        <v>58</v>
      </c>
      <c r="K1064" s="16">
        <v>0</v>
      </c>
      <c r="L1064" s="16" t="s">
        <v>4579</v>
      </c>
    </row>
    <row r="1065" spans="1:12" x14ac:dyDescent="0.4">
      <c r="A1065" s="16" t="s">
        <v>293</v>
      </c>
      <c r="B1065" s="16">
        <v>24</v>
      </c>
      <c r="C1065" s="16" t="s">
        <v>669</v>
      </c>
      <c r="D1065" s="16" t="s">
        <v>4580</v>
      </c>
      <c r="E1065" s="16" t="s">
        <v>4502</v>
      </c>
      <c r="F1065" s="16" t="s">
        <v>4581</v>
      </c>
      <c r="G1065" s="17">
        <v>35998</v>
      </c>
      <c r="H1065" s="16" t="s">
        <v>1554</v>
      </c>
      <c r="I1065" s="16">
        <v>173</v>
      </c>
      <c r="J1065" s="16">
        <v>24</v>
      </c>
      <c r="K1065" s="16">
        <v>1</v>
      </c>
      <c r="L1065" s="16" t="s">
        <v>4582</v>
      </c>
    </row>
    <row r="1066" spans="1:12" x14ac:dyDescent="0.4">
      <c r="A1066" s="16" t="s">
        <v>293</v>
      </c>
      <c r="B1066" s="16">
        <v>25</v>
      </c>
      <c r="C1066" s="16" t="s">
        <v>691</v>
      </c>
      <c r="D1066" s="16" t="s">
        <v>4583</v>
      </c>
      <c r="E1066" s="16" t="s">
        <v>4584</v>
      </c>
      <c r="F1066" s="16" t="s">
        <v>4585</v>
      </c>
      <c r="G1066" s="17">
        <v>37815</v>
      </c>
      <c r="H1066" s="16" t="s">
        <v>1908</v>
      </c>
      <c r="I1066" s="16">
        <v>173</v>
      </c>
      <c r="J1066" s="16">
        <v>2</v>
      </c>
      <c r="K1066" s="16">
        <v>1</v>
      </c>
      <c r="L1066" s="16" t="s">
        <v>4586</v>
      </c>
    </row>
    <row r="1067" spans="1:12" x14ac:dyDescent="0.4">
      <c r="A1067" s="16" t="s">
        <v>293</v>
      </c>
      <c r="B1067" s="16">
        <v>26</v>
      </c>
      <c r="C1067" s="16" t="s">
        <v>691</v>
      </c>
      <c r="D1067" s="16" t="s">
        <v>4587</v>
      </c>
      <c r="E1067" s="16" t="s">
        <v>4588</v>
      </c>
      <c r="F1067" s="16" t="s">
        <v>4589</v>
      </c>
      <c r="G1067" s="17">
        <v>33986</v>
      </c>
      <c r="H1067" s="16" t="s">
        <v>4590</v>
      </c>
      <c r="I1067" s="16">
        <v>187</v>
      </c>
      <c r="J1067" s="16">
        <v>8</v>
      </c>
      <c r="K1067" s="16">
        <v>0</v>
      </c>
      <c r="L1067" s="16" t="s">
        <v>4591</v>
      </c>
    </row>
    <row r="1068" spans="1:12" x14ac:dyDescent="0.4">
      <c r="A1068" s="16" t="s">
        <v>291</v>
      </c>
      <c r="B1068" s="16">
        <v>1</v>
      </c>
      <c r="C1068" s="16" t="s">
        <v>664</v>
      </c>
      <c r="D1068" s="16" t="s">
        <v>4592</v>
      </c>
      <c r="E1068" s="16" t="s">
        <v>4593</v>
      </c>
      <c r="F1068" s="16" t="s">
        <v>4594</v>
      </c>
      <c r="G1068" s="17">
        <v>35987</v>
      </c>
      <c r="H1068" s="16" t="s">
        <v>3727</v>
      </c>
      <c r="I1068" s="16">
        <v>197</v>
      </c>
      <c r="J1068" s="16">
        <v>3</v>
      </c>
      <c r="K1068" s="16">
        <v>0</v>
      </c>
      <c r="L1068" s="16" t="s">
        <v>4595</v>
      </c>
    </row>
    <row r="1069" spans="1:12" x14ac:dyDescent="0.4">
      <c r="A1069" s="16" t="s">
        <v>291</v>
      </c>
      <c r="B1069" s="16">
        <v>2</v>
      </c>
      <c r="C1069" s="16" t="s">
        <v>669</v>
      </c>
      <c r="D1069" s="16" t="s">
        <v>4596</v>
      </c>
      <c r="E1069" s="16" t="s">
        <v>4597</v>
      </c>
      <c r="F1069" s="16" t="s">
        <v>4598</v>
      </c>
      <c r="G1069" s="17">
        <v>36626</v>
      </c>
      <c r="H1069" s="16" t="s">
        <v>905</v>
      </c>
      <c r="I1069" s="16">
        <v>193</v>
      </c>
      <c r="J1069" s="16">
        <v>11</v>
      </c>
      <c r="K1069" s="16">
        <v>2</v>
      </c>
      <c r="L1069" s="16" t="s">
        <v>4598</v>
      </c>
    </row>
    <row r="1070" spans="1:12" x14ac:dyDescent="0.4">
      <c r="A1070" s="16" t="s">
        <v>291</v>
      </c>
      <c r="B1070" s="16">
        <v>3</v>
      </c>
      <c r="C1070" s="16" t="s">
        <v>669</v>
      </c>
      <c r="D1070" s="16" t="s">
        <v>4599</v>
      </c>
      <c r="E1070" s="16" t="s">
        <v>4600</v>
      </c>
      <c r="F1070" s="16" t="s">
        <v>4601</v>
      </c>
      <c r="G1070" s="17">
        <v>34532</v>
      </c>
      <c r="H1070" s="16" t="s">
        <v>992</v>
      </c>
      <c r="I1070" s="16">
        <v>187</v>
      </c>
      <c r="J1070" s="16">
        <v>76</v>
      </c>
      <c r="K1070" s="16">
        <v>3</v>
      </c>
      <c r="L1070" s="16" t="s">
        <v>4602</v>
      </c>
    </row>
    <row r="1071" spans="1:12" x14ac:dyDescent="0.4">
      <c r="A1071" s="16" t="s">
        <v>291</v>
      </c>
      <c r="B1071" s="16">
        <v>4</v>
      </c>
      <c r="C1071" s="16" t="s">
        <v>669</v>
      </c>
      <c r="D1071" s="16" t="s">
        <v>4603</v>
      </c>
      <c r="E1071" s="16" t="s">
        <v>4604</v>
      </c>
      <c r="F1071" s="16" t="s">
        <v>4605</v>
      </c>
      <c r="G1071" s="17">
        <v>36173</v>
      </c>
      <c r="H1071" s="16" t="s">
        <v>1027</v>
      </c>
      <c r="I1071" s="16">
        <v>191</v>
      </c>
      <c r="J1071" s="16">
        <v>29</v>
      </c>
      <c r="K1071" s="16">
        <v>0</v>
      </c>
      <c r="L1071" s="16" t="s">
        <v>4605</v>
      </c>
    </row>
    <row r="1072" spans="1:12" x14ac:dyDescent="0.4">
      <c r="A1072" s="16" t="s">
        <v>291</v>
      </c>
      <c r="B1072" s="16">
        <v>5</v>
      </c>
      <c r="C1072" s="16" t="s">
        <v>669</v>
      </c>
      <c r="D1072" s="16" t="s">
        <v>4606</v>
      </c>
      <c r="E1072" s="16" t="s">
        <v>4607</v>
      </c>
      <c r="F1072" s="16" t="s">
        <v>4608</v>
      </c>
      <c r="G1072" s="17">
        <v>36279</v>
      </c>
      <c r="H1072" s="16" t="s">
        <v>3014</v>
      </c>
      <c r="I1072" s="16">
        <v>181</v>
      </c>
      <c r="J1072" s="16">
        <v>24</v>
      </c>
      <c r="K1072" s="16">
        <v>0</v>
      </c>
      <c r="L1072" s="16" t="s">
        <v>4608</v>
      </c>
    </row>
    <row r="1073" spans="1:12" x14ac:dyDescent="0.4">
      <c r="A1073" s="16" t="s">
        <v>291</v>
      </c>
      <c r="B1073" s="16">
        <v>6</v>
      </c>
      <c r="C1073" s="16" t="s">
        <v>669</v>
      </c>
      <c r="D1073" s="16" t="s">
        <v>4609</v>
      </c>
      <c r="E1073" s="16" t="s">
        <v>4610</v>
      </c>
      <c r="F1073" s="16" t="s">
        <v>4611</v>
      </c>
      <c r="G1073" s="17">
        <v>35719</v>
      </c>
      <c r="H1073" s="16" t="s">
        <v>1949</v>
      </c>
      <c r="I1073" s="16">
        <v>190</v>
      </c>
      <c r="J1073" s="16">
        <v>3</v>
      </c>
      <c r="K1073" s="16">
        <v>0</v>
      </c>
      <c r="L1073" s="16" t="s">
        <v>4612</v>
      </c>
    </row>
    <row r="1074" spans="1:12" x14ac:dyDescent="0.4">
      <c r="A1074" s="16" t="s">
        <v>291</v>
      </c>
      <c r="B1074" s="16">
        <v>7</v>
      </c>
      <c r="C1074" s="16" t="s">
        <v>686</v>
      </c>
      <c r="D1074" s="16" t="s">
        <v>4613</v>
      </c>
      <c r="E1074" s="16" t="s">
        <v>4614</v>
      </c>
      <c r="F1074" s="16" t="s">
        <v>4615</v>
      </c>
      <c r="G1074" s="17">
        <v>38750</v>
      </c>
      <c r="H1074" s="16" t="s">
        <v>879</v>
      </c>
      <c r="I1074" s="16">
        <v>187</v>
      </c>
      <c r="J1074" s="16">
        <v>10</v>
      </c>
      <c r="K1074" s="16">
        <v>0</v>
      </c>
      <c r="L1074" s="16" t="s">
        <v>4615</v>
      </c>
    </row>
    <row r="1075" spans="1:12" x14ac:dyDescent="0.4">
      <c r="A1075" s="16" t="s">
        <v>291</v>
      </c>
      <c r="B1075" s="16">
        <v>8</v>
      </c>
      <c r="C1075" s="16" t="s">
        <v>669</v>
      </c>
      <c r="D1075" s="16" t="s">
        <v>4616</v>
      </c>
      <c r="E1075" s="16" t="s">
        <v>4617</v>
      </c>
      <c r="F1075" s="16" t="s">
        <v>4618</v>
      </c>
      <c r="G1075" s="17">
        <v>37299</v>
      </c>
      <c r="H1075" s="16" t="s">
        <v>749</v>
      </c>
      <c r="I1075" s="16">
        <v>183</v>
      </c>
      <c r="J1075" s="16">
        <v>13</v>
      </c>
      <c r="K1075" s="16">
        <v>0</v>
      </c>
      <c r="L1075" s="16" t="s">
        <v>4618</v>
      </c>
    </row>
    <row r="1076" spans="1:12" x14ac:dyDescent="0.4">
      <c r="A1076" s="16" t="s">
        <v>291</v>
      </c>
      <c r="B1076" s="16">
        <v>9</v>
      </c>
      <c r="C1076" s="16" t="s">
        <v>691</v>
      </c>
      <c r="D1076" s="16" t="s">
        <v>4619</v>
      </c>
      <c r="E1076" s="16" t="s">
        <v>869</v>
      </c>
      <c r="F1076" s="16" t="s">
        <v>4620</v>
      </c>
      <c r="G1076" s="17">
        <v>36424</v>
      </c>
      <c r="H1076" s="16" t="s">
        <v>1153</v>
      </c>
      <c r="I1076" s="16">
        <v>190</v>
      </c>
      <c r="J1076" s="16">
        <v>58</v>
      </c>
      <c r="K1076" s="16">
        <v>17</v>
      </c>
      <c r="L1076" s="16" t="s">
        <v>4620</v>
      </c>
    </row>
    <row r="1077" spans="1:12" x14ac:dyDescent="0.4">
      <c r="A1077" s="16" t="s">
        <v>291</v>
      </c>
      <c r="B1077" s="16">
        <v>10</v>
      </c>
      <c r="C1077" s="16" t="s">
        <v>686</v>
      </c>
      <c r="D1077" s="16" t="s">
        <v>4621</v>
      </c>
      <c r="E1077" s="16" t="s">
        <v>4622</v>
      </c>
      <c r="F1077" s="16" t="s">
        <v>4623</v>
      </c>
      <c r="G1077" s="17">
        <v>37080</v>
      </c>
      <c r="H1077" s="16" t="s">
        <v>1382</v>
      </c>
      <c r="I1077" s="16">
        <v>187</v>
      </c>
      <c r="J1077" s="16">
        <v>11</v>
      </c>
      <c r="K1077" s="16">
        <v>3</v>
      </c>
      <c r="L1077" s="16" t="s">
        <v>4623</v>
      </c>
    </row>
    <row r="1078" spans="1:12" x14ac:dyDescent="0.4">
      <c r="A1078" s="16" t="s">
        <v>291</v>
      </c>
      <c r="B1078" s="16">
        <v>11</v>
      </c>
      <c r="C1078" s="16" t="s">
        <v>691</v>
      </c>
      <c r="D1078" s="16" t="s">
        <v>4624</v>
      </c>
      <c r="E1078" s="16" t="s">
        <v>4625</v>
      </c>
      <c r="F1078" s="16" t="s">
        <v>4626</v>
      </c>
      <c r="G1078" s="17">
        <v>37373</v>
      </c>
      <c r="H1078" s="16" t="s">
        <v>1181</v>
      </c>
      <c r="I1078" s="16">
        <v>178</v>
      </c>
      <c r="J1078" s="16">
        <v>30</v>
      </c>
      <c r="K1078" s="16">
        <v>6</v>
      </c>
      <c r="L1078" s="16" t="s">
        <v>4626</v>
      </c>
    </row>
    <row r="1079" spans="1:12" x14ac:dyDescent="0.4">
      <c r="A1079" s="16" t="s">
        <v>291</v>
      </c>
      <c r="B1079" s="16">
        <v>12</v>
      </c>
      <c r="C1079" s="16" t="s">
        <v>664</v>
      </c>
      <c r="D1079" s="16" t="s">
        <v>4627</v>
      </c>
      <c r="E1079" s="16" t="s">
        <v>4628</v>
      </c>
      <c r="F1079" s="16" t="s">
        <v>4629</v>
      </c>
      <c r="G1079" s="17">
        <v>36052</v>
      </c>
      <c r="H1079" s="16" t="s">
        <v>3241</v>
      </c>
      <c r="I1079" s="16">
        <v>187</v>
      </c>
      <c r="J1079" s="16">
        <v>12</v>
      </c>
      <c r="K1079" s="16">
        <v>0</v>
      </c>
      <c r="L1079" s="16" t="s">
        <v>4612</v>
      </c>
    </row>
    <row r="1080" spans="1:12" x14ac:dyDescent="0.4">
      <c r="A1080" s="16" t="s">
        <v>291</v>
      </c>
      <c r="B1080" s="16">
        <v>13</v>
      </c>
      <c r="C1080" s="16" t="s">
        <v>686</v>
      </c>
      <c r="D1080" s="16" t="s">
        <v>4630</v>
      </c>
      <c r="E1080" s="16" t="s">
        <v>4631</v>
      </c>
      <c r="F1080" s="16" t="s">
        <v>4632</v>
      </c>
      <c r="G1080" s="17">
        <v>34242</v>
      </c>
      <c r="H1080" s="16" t="s">
        <v>1108</v>
      </c>
      <c r="I1080" s="16">
        <v>180</v>
      </c>
      <c r="J1080" s="16">
        <v>33</v>
      </c>
      <c r="K1080" s="16">
        <v>5</v>
      </c>
      <c r="L1080" s="16" t="s">
        <v>4632</v>
      </c>
    </row>
    <row r="1081" spans="1:12" x14ac:dyDescent="0.4">
      <c r="A1081" s="16" t="s">
        <v>291</v>
      </c>
      <c r="B1081" s="16">
        <v>14</v>
      </c>
      <c r="C1081" s="16" t="s">
        <v>669</v>
      </c>
      <c r="D1081" s="16" t="s">
        <v>4633</v>
      </c>
      <c r="E1081" s="16" t="s">
        <v>4634</v>
      </c>
      <c r="F1081" s="16" t="s">
        <v>4635</v>
      </c>
      <c r="G1081" s="17">
        <v>36089</v>
      </c>
      <c r="H1081" s="16" t="s">
        <v>1696</v>
      </c>
      <c r="I1081" s="16">
        <v>187</v>
      </c>
      <c r="J1081" s="16">
        <v>13</v>
      </c>
      <c r="K1081" s="16">
        <v>0</v>
      </c>
      <c r="L1081" s="16" t="s">
        <v>4635</v>
      </c>
    </row>
    <row r="1082" spans="1:12" x14ac:dyDescent="0.4">
      <c r="A1082" s="16" t="s">
        <v>291</v>
      </c>
      <c r="B1082" s="16">
        <v>15</v>
      </c>
      <c r="C1082" s="16" t="s">
        <v>669</v>
      </c>
      <c r="D1082" s="16" t="s">
        <v>4636</v>
      </c>
      <c r="E1082" s="16" t="s">
        <v>4637</v>
      </c>
      <c r="F1082" s="16" t="s">
        <v>4638</v>
      </c>
      <c r="G1082" s="17">
        <v>34851</v>
      </c>
      <c r="H1082" s="16" t="s">
        <v>4590</v>
      </c>
      <c r="I1082" s="16">
        <v>185</v>
      </c>
      <c r="J1082" s="16">
        <v>18</v>
      </c>
      <c r="K1082" s="16">
        <v>0</v>
      </c>
      <c r="L1082" s="16" t="s">
        <v>4638</v>
      </c>
    </row>
    <row r="1083" spans="1:12" x14ac:dyDescent="0.4">
      <c r="A1083" s="16" t="s">
        <v>291</v>
      </c>
      <c r="B1083" s="16">
        <v>16</v>
      </c>
      <c r="C1083" s="16" t="s">
        <v>686</v>
      </c>
      <c r="D1083" s="16" t="s">
        <v>4639</v>
      </c>
      <c r="E1083" s="16" t="s">
        <v>4640</v>
      </c>
      <c r="F1083" s="16" t="s">
        <v>4641</v>
      </c>
      <c r="G1083" s="17">
        <v>34871</v>
      </c>
      <c r="H1083" s="16" t="s">
        <v>4642</v>
      </c>
      <c r="I1083" s="16">
        <v>182</v>
      </c>
      <c r="J1083" s="16">
        <v>25</v>
      </c>
      <c r="K1083" s="16">
        <v>0</v>
      </c>
      <c r="L1083" s="16" t="s">
        <v>4641</v>
      </c>
    </row>
    <row r="1084" spans="1:12" x14ac:dyDescent="0.4">
      <c r="A1084" s="16" t="s">
        <v>291</v>
      </c>
      <c r="B1084" s="16">
        <v>17</v>
      </c>
      <c r="C1084" s="16" t="s">
        <v>691</v>
      </c>
      <c r="D1084" s="16" t="s">
        <v>4643</v>
      </c>
      <c r="E1084" s="16" t="s">
        <v>4644</v>
      </c>
      <c r="F1084" s="16" t="s">
        <v>4645</v>
      </c>
      <c r="G1084" s="17">
        <v>35950</v>
      </c>
      <c r="H1084" s="16" t="s">
        <v>1000</v>
      </c>
      <c r="I1084" s="16">
        <v>189</v>
      </c>
      <c r="J1084" s="16">
        <v>33</v>
      </c>
      <c r="K1084" s="16">
        <v>20</v>
      </c>
      <c r="L1084" s="16" t="s">
        <v>4645</v>
      </c>
    </row>
    <row r="1085" spans="1:12" x14ac:dyDescent="0.4">
      <c r="A1085" s="16" t="s">
        <v>291</v>
      </c>
      <c r="B1085" s="16">
        <v>18</v>
      </c>
      <c r="C1085" s="16" t="s">
        <v>686</v>
      </c>
      <c r="D1085" s="16" t="s">
        <v>4646</v>
      </c>
      <c r="E1085" s="16" t="s">
        <v>4647</v>
      </c>
      <c r="F1085" s="16" t="s">
        <v>4648</v>
      </c>
      <c r="G1085" s="17">
        <v>37900</v>
      </c>
      <c r="H1085" s="16" t="s">
        <v>981</v>
      </c>
      <c r="I1085" s="16">
        <v>172</v>
      </c>
      <c r="J1085" s="16">
        <v>21</v>
      </c>
      <c r="K1085" s="16">
        <v>3</v>
      </c>
      <c r="L1085" s="16" t="s">
        <v>4648</v>
      </c>
    </row>
    <row r="1086" spans="1:12" x14ac:dyDescent="0.4">
      <c r="A1086" s="16" t="s">
        <v>291</v>
      </c>
      <c r="B1086" s="16">
        <v>19</v>
      </c>
      <c r="C1086" s="16" t="s">
        <v>686</v>
      </c>
      <c r="D1086" s="16" t="s">
        <v>4649</v>
      </c>
      <c r="E1086" s="16" t="s">
        <v>4650</v>
      </c>
      <c r="F1086" s="16" t="s">
        <v>4651</v>
      </c>
      <c r="G1086" s="17">
        <v>36165</v>
      </c>
      <c r="H1086" s="16" t="s">
        <v>738</v>
      </c>
      <c r="I1086" s="16">
        <v>186</v>
      </c>
      <c r="J1086" s="16">
        <v>41</v>
      </c>
      <c r="K1086" s="16">
        <v>2</v>
      </c>
      <c r="L1086" s="16" t="s">
        <v>4651</v>
      </c>
    </row>
    <row r="1087" spans="1:12" x14ac:dyDescent="0.4">
      <c r="A1087" s="16" t="s">
        <v>291</v>
      </c>
      <c r="B1087" s="16">
        <v>20</v>
      </c>
      <c r="C1087" s="16" t="s">
        <v>669</v>
      </c>
      <c r="D1087" s="16" t="s">
        <v>4652</v>
      </c>
      <c r="E1087" s="16" t="s">
        <v>4653</v>
      </c>
      <c r="F1087" s="16" t="s">
        <v>3647</v>
      </c>
      <c r="G1087" s="17">
        <v>35438</v>
      </c>
      <c r="H1087" s="16" t="s">
        <v>799</v>
      </c>
      <c r="I1087" s="16">
        <v>192</v>
      </c>
      <c r="J1087" s="16">
        <v>2</v>
      </c>
      <c r="K1087" s="16">
        <v>0</v>
      </c>
      <c r="L1087" s="16" t="s">
        <v>3647</v>
      </c>
    </row>
    <row r="1088" spans="1:12" x14ac:dyDescent="0.4">
      <c r="A1088" s="16" t="s">
        <v>291</v>
      </c>
      <c r="B1088" s="16">
        <v>21</v>
      </c>
      <c r="C1088" s="16" t="s">
        <v>669</v>
      </c>
      <c r="D1088" s="16" t="s">
        <v>4654</v>
      </c>
      <c r="E1088" s="16" t="s">
        <v>4655</v>
      </c>
      <c r="F1088" s="16" t="s">
        <v>4656</v>
      </c>
      <c r="G1088" s="17">
        <v>36046</v>
      </c>
      <c r="H1088" s="16" t="s">
        <v>4657</v>
      </c>
      <c r="I1088" s="16">
        <v>184</v>
      </c>
      <c r="J1088" s="16">
        <v>11</v>
      </c>
      <c r="K1088" s="16">
        <v>0</v>
      </c>
      <c r="L1088" s="16" t="s">
        <v>4656</v>
      </c>
    </row>
    <row r="1089" spans="1:12" x14ac:dyDescent="0.4">
      <c r="A1089" s="16" t="s">
        <v>291</v>
      </c>
      <c r="B1089" s="16">
        <v>22</v>
      </c>
      <c r="C1089" s="16" t="s">
        <v>686</v>
      </c>
      <c r="D1089" s="16" t="s">
        <v>4658</v>
      </c>
      <c r="E1089" s="16" t="s">
        <v>4659</v>
      </c>
      <c r="F1089" s="16" t="s">
        <v>4660</v>
      </c>
      <c r="G1089" s="17">
        <v>37581</v>
      </c>
      <c r="H1089" s="16" t="s">
        <v>1463</v>
      </c>
      <c r="I1089" s="16">
        <v>187</v>
      </c>
      <c r="J1089" s="16">
        <v>8</v>
      </c>
      <c r="K1089" s="16">
        <v>0</v>
      </c>
      <c r="L1089" s="16" t="s">
        <v>4660</v>
      </c>
    </row>
    <row r="1090" spans="1:12" x14ac:dyDescent="0.4">
      <c r="A1090" s="16" t="s">
        <v>291</v>
      </c>
      <c r="B1090" s="16">
        <v>23</v>
      </c>
      <c r="C1090" s="16" t="s">
        <v>664</v>
      </c>
      <c r="D1090" s="16" t="s">
        <v>4661</v>
      </c>
      <c r="E1090" s="16" t="s">
        <v>4662</v>
      </c>
      <c r="F1090" s="16" t="s">
        <v>4663</v>
      </c>
      <c r="G1090" s="17">
        <v>32682</v>
      </c>
      <c r="H1090" s="16" t="s">
        <v>4664</v>
      </c>
      <c r="I1090" s="16">
        <v>190</v>
      </c>
      <c r="J1090" s="16">
        <v>21</v>
      </c>
      <c r="K1090" s="16">
        <v>0</v>
      </c>
      <c r="L1090" s="16" t="s">
        <v>4663</v>
      </c>
    </row>
    <row r="1091" spans="1:12" x14ac:dyDescent="0.4">
      <c r="A1091" s="16" t="s">
        <v>291</v>
      </c>
      <c r="B1091" s="16">
        <v>24</v>
      </c>
      <c r="C1091" s="16" t="s">
        <v>669</v>
      </c>
      <c r="D1091" s="16" t="s">
        <v>4665</v>
      </c>
      <c r="E1091" s="16" t="s">
        <v>4666</v>
      </c>
      <c r="F1091" s="16" t="s">
        <v>4667</v>
      </c>
      <c r="G1091" s="17">
        <v>37429</v>
      </c>
      <c r="H1091" s="16" t="s">
        <v>4668</v>
      </c>
      <c r="I1091" s="16">
        <v>185</v>
      </c>
      <c r="J1091" s="16">
        <v>1</v>
      </c>
      <c r="K1091" s="16">
        <v>0</v>
      </c>
      <c r="L1091" s="16" t="s">
        <v>4667</v>
      </c>
    </row>
    <row r="1092" spans="1:12" x14ac:dyDescent="0.4">
      <c r="A1092" s="16" t="s">
        <v>291</v>
      </c>
      <c r="B1092" s="16">
        <v>25</v>
      </c>
      <c r="C1092" s="16" t="s">
        <v>691</v>
      </c>
      <c r="D1092" s="16" t="s">
        <v>4669</v>
      </c>
      <c r="E1092" s="16" t="s">
        <v>4670</v>
      </c>
      <c r="F1092" s="16" t="s">
        <v>4671</v>
      </c>
      <c r="G1092" s="17">
        <v>35573</v>
      </c>
      <c r="H1092" s="16" t="s">
        <v>977</v>
      </c>
      <c r="I1092" s="16">
        <v>197</v>
      </c>
      <c r="J1092" s="16">
        <v>10</v>
      </c>
      <c r="K1092" s="16">
        <v>4</v>
      </c>
      <c r="L1092" s="16" t="s">
        <v>4671</v>
      </c>
    </row>
    <row r="1093" spans="1:12" x14ac:dyDescent="0.4">
      <c r="A1093" s="16" t="s">
        <v>291</v>
      </c>
      <c r="B1093" s="16">
        <v>26</v>
      </c>
      <c r="C1093" s="16" t="s">
        <v>691</v>
      </c>
      <c r="D1093" s="16" t="s">
        <v>4672</v>
      </c>
      <c r="E1093" s="16" t="s">
        <v>4673</v>
      </c>
      <c r="F1093" s="16" t="s">
        <v>2846</v>
      </c>
      <c r="G1093" s="17">
        <v>35977</v>
      </c>
      <c r="H1093" s="16" t="s">
        <v>4674</v>
      </c>
      <c r="I1093" s="16">
        <v>174</v>
      </c>
      <c r="J1093" s="16">
        <v>2</v>
      </c>
      <c r="K1093" s="16">
        <v>0</v>
      </c>
      <c r="L1093" s="16" t="s">
        <v>2846</v>
      </c>
    </row>
    <row r="1094" spans="1:12" x14ac:dyDescent="0.4">
      <c r="A1094" s="16" t="s">
        <v>301</v>
      </c>
      <c r="B1094" s="16">
        <v>1</v>
      </c>
      <c r="C1094" s="16" t="s">
        <v>664</v>
      </c>
      <c r="D1094" s="16" t="s">
        <v>4675</v>
      </c>
      <c r="E1094" s="16" t="s">
        <v>4676</v>
      </c>
      <c r="F1094" s="16" t="s">
        <v>4677</v>
      </c>
      <c r="G1094" s="17">
        <v>35770</v>
      </c>
      <c r="H1094" s="16" t="s">
        <v>749</v>
      </c>
      <c r="I1094" s="16">
        <v>196</v>
      </c>
      <c r="J1094" s="16">
        <v>21</v>
      </c>
      <c r="K1094" s="16">
        <v>0</v>
      </c>
      <c r="L1094" s="16" t="s">
        <v>4677</v>
      </c>
    </row>
    <row r="1095" spans="1:12" x14ac:dyDescent="0.4">
      <c r="A1095" s="16" t="s">
        <v>301</v>
      </c>
      <c r="B1095" s="16">
        <v>2</v>
      </c>
      <c r="C1095" s="16" t="s">
        <v>669</v>
      </c>
      <c r="D1095" s="16" t="s">
        <v>4678</v>
      </c>
      <c r="E1095" s="16" t="s">
        <v>4679</v>
      </c>
      <c r="F1095" s="16" t="s">
        <v>4680</v>
      </c>
      <c r="G1095" s="17">
        <v>35878</v>
      </c>
      <c r="H1095" s="16" t="s">
        <v>1938</v>
      </c>
      <c r="I1095" s="16">
        <v>182</v>
      </c>
      <c r="J1095" s="16">
        <v>10</v>
      </c>
      <c r="K1095" s="16">
        <v>0</v>
      </c>
      <c r="L1095" s="16" t="s">
        <v>4680</v>
      </c>
    </row>
    <row r="1096" spans="1:12" x14ac:dyDescent="0.4">
      <c r="A1096" s="16" t="s">
        <v>301</v>
      </c>
      <c r="B1096" s="16">
        <v>3</v>
      </c>
      <c r="C1096" s="16" t="s">
        <v>669</v>
      </c>
      <c r="D1096" s="16" t="s">
        <v>4681</v>
      </c>
      <c r="E1096" s="16" t="s">
        <v>4682</v>
      </c>
      <c r="F1096" s="16" t="s">
        <v>4683</v>
      </c>
      <c r="G1096" s="17">
        <v>34033</v>
      </c>
      <c r="H1096" s="16" t="s">
        <v>887</v>
      </c>
      <c r="I1096" s="16">
        <v>183</v>
      </c>
      <c r="J1096" s="16">
        <v>60</v>
      </c>
      <c r="K1096" s="16">
        <v>5</v>
      </c>
      <c r="L1096" s="16" t="s">
        <v>4683</v>
      </c>
    </row>
    <row r="1097" spans="1:12" x14ac:dyDescent="0.4">
      <c r="A1097" s="16" t="s">
        <v>301</v>
      </c>
      <c r="B1097" s="16">
        <v>4</v>
      </c>
      <c r="C1097" s="16" t="s">
        <v>669</v>
      </c>
      <c r="D1097" s="16" t="s">
        <v>4684</v>
      </c>
      <c r="E1097" s="16" t="s">
        <v>2346</v>
      </c>
      <c r="F1097" s="16" t="s">
        <v>4685</v>
      </c>
      <c r="G1097" s="17">
        <v>35338</v>
      </c>
      <c r="H1097" s="16" t="s">
        <v>1137</v>
      </c>
      <c r="I1097" s="16">
        <v>189</v>
      </c>
      <c r="J1097" s="16">
        <v>67</v>
      </c>
      <c r="K1097" s="16">
        <v>3</v>
      </c>
      <c r="L1097" s="16" t="s">
        <v>4685</v>
      </c>
    </row>
    <row r="1098" spans="1:12" x14ac:dyDescent="0.4">
      <c r="A1098" s="16" t="s">
        <v>301</v>
      </c>
      <c r="B1098" s="16">
        <v>5</v>
      </c>
      <c r="C1098" s="16" t="s">
        <v>669</v>
      </c>
      <c r="D1098" s="16" t="s">
        <v>4686</v>
      </c>
      <c r="E1098" s="16" t="s">
        <v>4687</v>
      </c>
      <c r="F1098" s="16" t="s">
        <v>4688</v>
      </c>
      <c r="G1098" s="17">
        <v>34899</v>
      </c>
      <c r="H1098" s="16" t="s">
        <v>1547</v>
      </c>
      <c r="I1098" s="16">
        <v>188</v>
      </c>
      <c r="J1098" s="16">
        <v>81</v>
      </c>
      <c r="K1098" s="16">
        <v>4</v>
      </c>
      <c r="L1098" s="16" t="s">
        <v>4688</v>
      </c>
    </row>
    <row r="1099" spans="1:12" x14ac:dyDescent="0.4">
      <c r="A1099" s="16" t="s">
        <v>301</v>
      </c>
      <c r="B1099" s="16">
        <v>6</v>
      </c>
      <c r="C1099" s="16" t="s">
        <v>686</v>
      </c>
      <c r="D1099" s="16" t="s">
        <v>4689</v>
      </c>
      <c r="E1099" s="16" t="s">
        <v>4690</v>
      </c>
      <c r="F1099" s="16" t="s">
        <v>4691</v>
      </c>
      <c r="G1099" s="17">
        <v>35389</v>
      </c>
      <c r="H1099" s="16" t="s">
        <v>1820</v>
      </c>
      <c r="I1099" s="16">
        <v>189</v>
      </c>
      <c r="J1099" s="16">
        <v>65</v>
      </c>
      <c r="K1099" s="16">
        <v>3</v>
      </c>
      <c r="L1099" s="16" t="s">
        <v>4692</v>
      </c>
    </row>
    <row r="1100" spans="1:12" x14ac:dyDescent="0.4">
      <c r="A1100" s="16" t="s">
        <v>301</v>
      </c>
      <c r="B1100" s="16">
        <v>7</v>
      </c>
      <c r="C1100" s="16" t="s">
        <v>691</v>
      </c>
      <c r="D1100" s="16" t="s">
        <v>4693</v>
      </c>
      <c r="E1100" s="16" t="s">
        <v>4694</v>
      </c>
      <c r="F1100" s="16" t="s">
        <v>4695</v>
      </c>
      <c r="G1100" s="17">
        <v>35475</v>
      </c>
      <c r="H1100" s="16" t="s">
        <v>2419</v>
      </c>
      <c r="I1100" s="16">
        <v>184</v>
      </c>
      <c r="J1100" s="16">
        <v>86</v>
      </c>
      <c r="K1100" s="16">
        <v>24</v>
      </c>
      <c r="L1100" s="16" t="s">
        <v>4695</v>
      </c>
    </row>
    <row r="1101" spans="1:12" x14ac:dyDescent="0.4">
      <c r="A1101" s="16" t="s">
        <v>301</v>
      </c>
      <c r="B1101" s="16">
        <v>8</v>
      </c>
      <c r="C1101" s="16" t="s">
        <v>686</v>
      </c>
      <c r="D1101" s="16" t="s">
        <v>4696</v>
      </c>
      <c r="E1101" s="16" t="s">
        <v>4697</v>
      </c>
      <c r="F1101" s="16" t="s">
        <v>4698</v>
      </c>
      <c r="G1101" s="17">
        <v>33709</v>
      </c>
      <c r="H1101" s="16" t="s">
        <v>1575</v>
      </c>
      <c r="I1101" s="16">
        <v>181</v>
      </c>
      <c r="J1101" s="16">
        <v>88</v>
      </c>
      <c r="K1101" s="16">
        <v>11</v>
      </c>
      <c r="L1101" s="16" t="s">
        <v>4698</v>
      </c>
    </row>
    <row r="1102" spans="1:12" x14ac:dyDescent="0.4">
      <c r="A1102" s="16" t="s">
        <v>301</v>
      </c>
      <c r="B1102" s="16">
        <v>9</v>
      </c>
      <c r="C1102" s="16" t="s">
        <v>686</v>
      </c>
      <c r="D1102" s="16" t="s">
        <v>4699</v>
      </c>
      <c r="E1102" s="16" t="s">
        <v>4700</v>
      </c>
      <c r="F1102" s="16" t="s">
        <v>4701</v>
      </c>
      <c r="G1102" s="17">
        <v>38639</v>
      </c>
      <c r="H1102" s="16" t="s">
        <v>925</v>
      </c>
      <c r="I1102" s="16">
        <v>182</v>
      </c>
      <c r="J1102" s="16">
        <v>12</v>
      </c>
      <c r="K1102" s="16">
        <v>3</v>
      </c>
      <c r="L1102" s="16" t="s">
        <v>4701</v>
      </c>
    </row>
    <row r="1103" spans="1:12" x14ac:dyDescent="0.4">
      <c r="A1103" s="16" t="s">
        <v>301</v>
      </c>
      <c r="B1103" s="16">
        <v>10</v>
      </c>
      <c r="C1103" s="16" t="s">
        <v>686</v>
      </c>
      <c r="D1103" s="16" t="s">
        <v>4702</v>
      </c>
      <c r="E1103" s="16" t="s">
        <v>4703</v>
      </c>
      <c r="F1103" s="16" t="s">
        <v>4704</v>
      </c>
      <c r="G1103" s="17">
        <v>33874</v>
      </c>
      <c r="H1103" s="16" t="s">
        <v>1735</v>
      </c>
      <c r="I1103" s="16">
        <v>183</v>
      </c>
      <c r="J1103" s="16">
        <v>146</v>
      </c>
      <c r="K1103" s="16">
        <v>17</v>
      </c>
      <c r="L1103" s="16" t="s">
        <v>4704</v>
      </c>
    </row>
    <row r="1104" spans="1:12" x14ac:dyDescent="0.4">
      <c r="A1104" s="16" t="s">
        <v>301</v>
      </c>
      <c r="B1104" s="16">
        <v>11</v>
      </c>
      <c r="C1104" s="16" t="s">
        <v>691</v>
      </c>
      <c r="D1104" s="16" t="s">
        <v>4705</v>
      </c>
      <c r="E1104" s="16" t="s">
        <v>4706</v>
      </c>
      <c r="F1104" s="16" t="s">
        <v>4707</v>
      </c>
      <c r="G1104" s="17">
        <v>36824</v>
      </c>
      <c r="H1104" s="16" t="s">
        <v>1846</v>
      </c>
      <c r="I1104" s="16">
        <v>184</v>
      </c>
      <c r="J1104" s="16">
        <v>31</v>
      </c>
      <c r="K1104" s="16">
        <v>8</v>
      </c>
      <c r="L1104" s="16" t="s">
        <v>4707</v>
      </c>
    </row>
    <row r="1105" spans="1:12" x14ac:dyDescent="0.4">
      <c r="A1105" s="16" t="s">
        <v>301</v>
      </c>
      <c r="B1105" s="16">
        <v>12</v>
      </c>
      <c r="C1105" s="16" t="s">
        <v>664</v>
      </c>
      <c r="D1105" s="16" t="s">
        <v>4708</v>
      </c>
      <c r="E1105" s="16" t="s">
        <v>4709</v>
      </c>
      <c r="F1105" s="16" t="s">
        <v>4710</v>
      </c>
      <c r="G1105" s="17">
        <v>34491</v>
      </c>
      <c r="H1105" s="16" t="s">
        <v>4357</v>
      </c>
      <c r="I1105" s="16">
        <v>190</v>
      </c>
      <c r="J1105" s="16">
        <v>13</v>
      </c>
      <c r="K1105" s="16">
        <v>0</v>
      </c>
      <c r="L1105" s="16" t="s">
        <v>4711</v>
      </c>
    </row>
    <row r="1106" spans="1:12" x14ac:dyDescent="0.4">
      <c r="A1106" s="16" t="s">
        <v>301</v>
      </c>
      <c r="B1106" s="16">
        <v>13</v>
      </c>
      <c r="C1106" s="16" t="s">
        <v>669</v>
      </c>
      <c r="D1106" s="16" t="s">
        <v>4712</v>
      </c>
      <c r="E1106" s="16" t="s">
        <v>4713</v>
      </c>
      <c r="F1106" s="16" t="s">
        <v>2166</v>
      </c>
      <c r="G1106" s="17">
        <v>33841</v>
      </c>
      <c r="H1106" s="16" t="s">
        <v>1510</v>
      </c>
      <c r="I1106" s="16">
        <v>182</v>
      </c>
      <c r="J1106" s="16">
        <v>138</v>
      </c>
      <c r="K1106" s="16">
        <v>9</v>
      </c>
      <c r="L1106" s="16" t="s">
        <v>4714</v>
      </c>
    </row>
    <row r="1107" spans="1:12" x14ac:dyDescent="0.4">
      <c r="A1107" s="16" t="s">
        <v>301</v>
      </c>
      <c r="B1107" s="16">
        <v>14</v>
      </c>
      <c r="C1107" s="16" t="s">
        <v>686</v>
      </c>
      <c r="D1107" s="16" t="s">
        <v>4715</v>
      </c>
      <c r="E1107" s="16" t="s">
        <v>4716</v>
      </c>
      <c r="F1107" s="16" t="s">
        <v>4717</v>
      </c>
      <c r="G1107" s="17">
        <v>37467</v>
      </c>
      <c r="H1107" s="16" t="s">
        <v>1023</v>
      </c>
      <c r="I1107" s="16">
        <v>181</v>
      </c>
      <c r="J1107" s="16">
        <v>8</v>
      </c>
      <c r="K1107" s="16">
        <v>0</v>
      </c>
      <c r="L1107" s="16" t="s">
        <v>4717</v>
      </c>
    </row>
    <row r="1108" spans="1:12" x14ac:dyDescent="0.4">
      <c r="A1108" s="16" t="s">
        <v>301</v>
      </c>
      <c r="B1108" s="16">
        <v>15</v>
      </c>
      <c r="C1108" s="16" t="s">
        <v>686</v>
      </c>
      <c r="D1108" s="16" t="s">
        <v>4718</v>
      </c>
      <c r="E1108" s="16" t="s">
        <v>4719</v>
      </c>
      <c r="F1108" s="16" t="s">
        <v>4720</v>
      </c>
      <c r="G1108" s="17">
        <v>35467</v>
      </c>
      <c r="H1108" s="16" t="s">
        <v>3652</v>
      </c>
      <c r="I1108" s="16">
        <v>183</v>
      </c>
      <c r="J1108" s="16">
        <v>52</v>
      </c>
      <c r="K1108" s="16">
        <v>0</v>
      </c>
      <c r="L1108" s="16" t="s">
        <v>4720</v>
      </c>
    </row>
    <row r="1109" spans="1:12" x14ac:dyDescent="0.4">
      <c r="A1109" s="16" t="s">
        <v>301</v>
      </c>
      <c r="B1109" s="16">
        <v>16</v>
      </c>
      <c r="C1109" s="16" t="s">
        <v>691</v>
      </c>
      <c r="D1109" s="16" t="s">
        <v>4721</v>
      </c>
      <c r="E1109" s="16" t="s">
        <v>4722</v>
      </c>
      <c r="F1109" s="16" t="s">
        <v>4723</v>
      </c>
      <c r="G1109" s="17">
        <v>34284</v>
      </c>
      <c r="H1109" s="16" t="s">
        <v>719</v>
      </c>
      <c r="I1109" s="16">
        <v>185</v>
      </c>
      <c r="J1109" s="16">
        <v>23</v>
      </c>
      <c r="K1109" s="16">
        <v>5</v>
      </c>
      <c r="L1109" s="16" t="s">
        <v>4723</v>
      </c>
    </row>
    <row r="1110" spans="1:12" x14ac:dyDescent="0.4">
      <c r="A1110" s="16" t="s">
        <v>301</v>
      </c>
      <c r="B1110" s="16">
        <v>17</v>
      </c>
      <c r="C1110" s="16" t="s">
        <v>691</v>
      </c>
      <c r="D1110" s="16" t="s">
        <v>4724</v>
      </c>
      <c r="E1110" s="16" t="s">
        <v>4725</v>
      </c>
      <c r="F1110" s="16" t="s">
        <v>3355</v>
      </c>
      <c r="G1110" s="17">
        <v>36012</v>
      </c>
      <c r="H1110" s="16" t="s">
        <v>3652</v>
      </c>
      <c r="I1110" s="16">
        <v>179</v>
      </c>
      <c r="J1110" s="16">
        <v>61</v>
      </c>
      <c r="K1110" s="16">
        <v>11</v>
      </c>
      <c r="L1110" s="16" t="s">
        <v>4726</v>
      </c>
    </row>
    <row r="1111" spans="1:12" x14ac:dyDescent="0.4">
      <c r="A1111" s="16" t="s">
        <v>301</v>
      </c>
      <c r="B1111" s="16">
        <v>18</v>
      </c>
      <c r="C1111" s="16" t="s">
        <v>669</v>
      </c>
      <c r="D1111" s="16" t="s">
        <v>4727</v>
      </c>
      <c r="E1111" s="16" t="s">
        <v>4728</v>
      </c>
      <c r="F1111" s="16" t="s">
        <v>4729</v>
      </c>
      <c r="G1111" s="17">
        <v>35830</v>
      </c>
      <c r="H1111" s="16" t="s">
        <v>4730</v>
      </c>
      <c r="I1111" s="16">
        <v>183</v>
      </c>
      <c r="J1111" s="16">
        <v>22</v>
      </c>
      <c r="K1111" s="16">
        <v>0</v>
      </c>
      <c r="L1111" s="16" t="s">
        <v>4729</v>
      </c>
    </row>
    <row r="1112" spans="1:12" x14ac:dyDescent="0.4">
      <c r="A1112" s="16" t="s">
        <v>301</v>
      </c>
      <c r="B1112" s="16">
        <v>19</v>
      </c>
      <c r="C1112" s="16" t="s">
        <v>691</v>
      </c>
      <c r="D1112" s="16" t="s">
        <v>4731</v>
      </c>
      <c r="E1112" s="16" t="s">
        <v>4732</v>
      </c>
      <c r="F1112" s="16" t="s">
        <v>4733</v>
      </c>
      <c r="G1112" s="17">
        <v>36670</v>
      </c>
      <c r="H1112" s="16" t="s">
        <v>3014</v>
      </c>
      <c r="I1112" s="16">
        <v>185</v>
      </c>
      <c r="J1112" s="16">
        <v>25</v>
      </c>
      <c r="K1112" s="16">
        <v>2</v>
      </c>
      <c r="L1112" s="16" t="s">
        <v>4733</v>
      </c>
    </row>
    <row r="1113" spans="1:12" x14ac:dyDescent="0.4">
      <c r="A1113" s="16" t="s">
        <v>301</v>
      </c>
      <c r="B1113" s="16">
        <v>20</v>
      </c>
      <c r="C1113" s="16" t="s">
        <v>686</v>
      </c>
      <c r="D1113" s="16" t="s">
        <v>4734</v>
      </c>
      <c r="E1113" s="16" t="s">
        <v>4735</v>
      </c>
      <c r="F1113" s="16" t="s">
        <v>4736</v>
      </c>
      <c r="G1113" s="17">
        <v>35436</v>
      </c>
      <c r="H1113" s="16" t="s">
        <v>4737</v>
      </c>
      <c r="I1113" s="16">
        <v>183</v>
      </c>
      <c r="J1113" s="16">
        <v>40</v>
      </c>
      <c r="K1113" s="16">
        <v>2</v>
      </c>
      <c r="L1113" s="16" t="s">
        <v>4736</v>
      </c>
    </row>
    <row r="1114" spans="1:12" x14ac:dyDescent="0.4">
      <c r="A1114" s="16" t="s">
        <v>301</v>
      </c>
      <c r="B1114" s="16">
        <v>21</v>
      </c>
      <c r="C1114" s="16" t="s">
        <v>664</v>
      </c>
      <c r="D1114" s="16" t="s">
        <v>4738</v>
      </c>
      <c r="E1114" s="16" t="s">
        <v>4739</v>
      </c>
      <c r="F1114" s="16" t="s">
        <v>4740</v>
      </c>
      <c r="G1114" s="17">
        <v>37440</v>
      </c>
      <c r="H1114" s="16" t="s">
        <v>719</v>
      </c>
      <c r="I1114" s="16">
        <v>189</v>
      </c>
      <c r="J1114" s="16">
        <v>1</v>
      </c>
      <c r="K1114" s="16">
        <v>0</v>
      </c>
      <c r="L1114" s="16" t="s">
        <v>4740</v>
      </c>
    </row>
    <row r="1115" spans="1:12" x14ac:dyDescent="0.4">
      <c r="A1115" s="16" t="s">
        <v>301</v>
      </c>
      <c r="B1115" s="16">
        <v>22</v>
      </c>
      <c r="C1115" s="16" t="s">
        <v>686</v>
      </c>
      <c r="D1115" s="16" t="s">
        <v>4741</v>
      </c>
      <c r="E1115" s="16" t="s">
        <v>4525</v>
      </c>
      <c r="F1115" s="16" t="s">
        <v>4742</v>
      </c>
      <c r="G1115" s="17">
        <v>37303</v>
      </c>
      <c r="H1115" s="16" t="s">
        <v>909</v>
      </c>
      <c r="I1115" s="16">
        <v>181</v>
      </c>
      <c r="J1115" s="16">
        <v>28</v>
      </c>
      <c r="K1115" s="16">
        <v>1</v>
      </c>
      <c r="L1115" s="16" t="s">
        <v>4742</v>
      </c>
    </row>
    <row r="1116" spans="1:12" x14ac:dyDescent="0.4">
      <c r="A1116" s="16" t="s">
        <v>301</v>
      </c>
      <c r="B1116" s="16">
        <v>23</v>
      </c>
      <c r="C1116" s="16" t="s">
        <v>691</v>
      </c>
      <c r="D1116" s="16" t="s">
        <v>4743</v>
      </c>
      <c r="E1116" s="16" t="s">
        <v>4744</v>
      </c>
      <c r="F1116" s="16" t="s">
        <v>4745</v>
      </c>
      <c r="G1116" s="17">
        <v>36864</v>
      </c>
      <c r="H1116" s="16" t="s">
        <v>1696</v>
      </c>
      <c r="I1116" s="16">
        <v>183</v>
      </c>
      <c r="J1116" s="16">
        <v>29</v>
      </c>
      <c r="K1116" s="16">
        <v>11</v>
      </c>
      <c r="L1116" s="16" t="s">
        <v>4745</v>
      </c>
    </row>
    <row r="1117" spans="1:12" x14ac:dyDescent="0.4">
      <c r="A1117" s="16" t="s">
        <v>301</v>
      </c>
      <c r="B1117" s="16">
        <v>24</v>
      </c>
      <c r="C1117" s="16" t="s">
        <v>669</v>
      </c>
      <c r="D1117" s="16" t="s">
        <v>4746</v>
      </c>
      <c r="E1117" s="16" t="s">
        <v>4747</v>
      </c>
      <c r="F1117" s="16" t="s">
        <v>4748</v>
      </c>
      <c r="G1117" s="17">
        <v>37833</v>
      </c>
      <c r="H1117" s="16" t="s">
        <v>707</v>
      </c>
      <c r="I1117" s="16">
        <v>194</v>
      </c>
      <c r="J1117" s="16">
        <v>7</v>
      </c>
      <c r="K1117" s="16">
        <v>0</v>
      </c>
      <c r="L1117" s="16" t="s">
        <v>4748</v>
      </c>
    </row>
    <row r="1118" spans="1:12" x14ac:dyDescent="0.4">
      <c r="A1118" s="16" t="s">
        <v>301</v>
      </c>
      <c r="B1118" s="16">
        <v>25</v>
      </c>
      <c r="C1118" s="16" t="s">
        <v>669</v>
      </c>
      <c r="D1118" s="16" t="s">
        <v>4749</v>
      </c>
      <c r="E1118" s="16" t="s">
        <v>4750</v>
      </c>
      <c r="F1118" s="16" t="s">
        <v>4751</v>
      </c>
      <c r="G1118" s="17">
        <v>37774</v>
      </c>
      <c r="H1118" s="16" t="s">
        <v>1094</v>
      </c>
      <c r="I1118" s="16">
        <v>187</v>
      </c>
      <c r="J1118" s="16">
        <v>3</v>
      </c>
      <c r="K1118" s="16">
        <v>0</v>
      </c>
      <c r="L1118" s="16" t="s">
        <v>4751</v>
      </c>
    </row>
    <row r="1119" spans="1:12" x14ac:dyDescent="0.4">
      <c r="A1119" s="16" t="s">
        <v>301</v>
      </c>
      <c r="B1119" s="16">
        <v>26</v>
      </c>
      <c r="C1119" s="16" t="s">
        <v>691</v>
      </c>
      <c r="D1119" s="16" t="s">
        <v>4752</v>
      </c>
      <c r="E1119" s="16" t="s">
        <v>4753</v>
      </c>
      <c r="F1119" s="16" t="s">
        <v>4754</v>
      </c>
      <c r="G1119" s="17">
        <v>35426</v>
      </c>
      <c r="H1119" s="16" t="s">
        <v>4755</v>
      </c>
      <c r="I1119" s="16">
        <v>190</v>
      </c>
      <c r="J1119" s="16">
        <v>15</v>
      </c>
      <c r="K1119" s="16">
        <v>5</v>
      </c>
      <c r="L1119" s="16" t="s">
        <v>4754</v>
      </c>
    </row>
    <row r="1120" spans="1:12" x14ac:dyDescent="0.4">
      <c r="A1120" s="16" t="s">
        <v>308</v>
      </c>
      <c r="B1120" s="16">
        <v>1</v>
      </c>
      <c r="C1120" s="16" t="s">
        <v>664</v>
      </c>
      <c r="D1120" s="16" t="s">
        <v>4756</v>
      </c>
      <c r="E1120" s="16" t="s">
        <v>4757</v>
      </c>
      <c r="F1120" s="16" t="s">
        <v>4758</v>
      </c>
      <c r="G1120" s="17">
        <v>37128</v>
      </c>
      <c r="H1120" s="16" t="s">
        <v>4759</v>
      </c>
      <c r="I1120" s="16">
        <v>189</v>
      </c>
      <c r="J1120" s="16">
        <v>3</v>
      </c>
      <c r="K1120" s="16">
        <v>0</v>
      </c>
      <c r="L1120" s="16" t="s">
        <v>4758</v>
      </c>
    </row>
    <row r="1121" spans="1:12" x14ac:dyDescent="0.4">
      <c r="A1121" s="16" t="s">
        <v>308</v>
      </c>
      <c r="B1121" s="16">
        <v>2</v>
      </c>
      <c r="C1121" s="16" t="s">
        <v>669</v>
      </c>
      <c r="D1121" s="16" t="s">
        <v>4760</v>
      </c>
      <c r="E1121" s="16" t="s">
        <v>1447</v>
      </c>
      <c r="F1121" s="16" t="s">
        <v>4761</v>
      </c>
      <c r="G1121" s="17">
        <v>34323</v>
      </c>
      <c r="H1121" s="16" t="s">
        <v>723</v>
      </c>
      <c r="I1121" s="16">
        <v>177</v>
      </c>
      <c r="J1121" s="16">
        <v>46</v>
      </c>
      <c r="K1121" s="16">
        <v>7</v>
      </c>
      <c r="L1121" s="16" t="s">
        <v>4762</v>
      </c>
    </row>
    <row r="1122" spans="1:12" x14ac:dyDescent="0.4">
      <c r="A1122" s="16" t="s">
        <v>308</v>
      </c>
      <c r="B1122" s="16">
        <v>3</v>
      </c>
      <c r="C1122" s="16" t="s">
        <v>669</v>
      </c>
      <c r="D1122" s="16" t="s">
        <v>4763</v>
      </c>
      <c r="E1122" s="16" t="s">
        <v>4764</v>
      </c>
      <c r="F1122" s="16" t="s">
        <v>3410</v>
      </c>
      <c r="G1122" s="17">
        <v>35941</v>
      </c>
      <c r="H1122" s="16" t="s">
        <v>4357</v>
      </c>
      <c r="I1122" s="16">
        <v>190</v>
      </c>
      <c r="J1122" s="16">
        <v>64</v>
      </c>
      <c r="K1122" s="16">
        <v>4</v>
      </c>
      <c r="L1122" s="16" t="s">
        <v>3410</v>
      </c>
    </row>
    <row r="1123" spans="1:12" x14ac:dyDescent="0.4">
      <c r="A1123" s="16" t="s">
        <v>308</v>
      </c>
      <c r="B1123" s="16">
        <v>4</v>
      </c>
      <c r="C1123" s="16" t="s">
        <v>669</v>
      </c>
      <c r="D1123" s="16" t="s">
        <v>4765</v>
      </c>
      <c r="E1123" s="16" t="s">
        <v>4766</v>
      </c>
      <c r="F1123" s="16" t="s">
        <v>4767</v>
      </c>
      <c r="G1123" s="17">
        <v>37245</v>
      </c>
      <c r="H1123" s="16" t="s">
        <v>1801</v>
      </c>
      <c r="I1123" s="16">
        <v>188</v>
      </c>
      <c r="J1123" s="16">
        <v>6</v>
      </c>
      <c r="K1123" s="16">
        <v>0</v>
      </c>
      <c r="L1123" s="16" t="s">
        <v>4767</v>
      </c>
    </row>
    <row r="1124" spans="1:12" x14ac:dyDescent="0.4">
      <c r="A1124" s="16" t="s">
        <v>308</v>
      </c>
      <c r="B1124" s="16">
        <v>5</v>
      </c>
      <c r="C1124" s="16" t="s">
        <v>669</v>
      </c>
      <c r="D1124" s="16" t="s">
        <v>4768</v>
      </c>
      <c r="E1124" s="16" t="s">
        <v>2073</v>
      </c>
      <c r="F1124" s="16" t="s">
        <v>4769</v>
      </c>
      <c r="G1124" s="17">
        <v>38185</v>
      </c>
      <c r="H1124" s="16" t="s">
        <v>4770</v>
      </c>
      <c r="I1124" s="16">
        <v>188</v>
      </c>
      <c r="J1124" s="16">
        <v>2</v>
      </c>
      <c r="K1124" s="16">
        <v>0</v>
      </c>
      <c r="L1124" s="16" t="s">
        <v>4769</v>
      </c>
    </row>
    <row r="1125" spans="1:12" x14ac:dyDescent="0.4">
      <c r="A1125" s="16" t="s">
        <v>308</v>
      </c>
      <c r="B1125" s="16">
        <v>6</v>
      </c>
      <c r="C1125" s="16" t="s">
        <v>669</v>
      </c>
      <c r="D1125" s="16" t="s">
        <v>4771</v>
      </c>
      <c r="E1125" s="16" t="s">
        <v>4772</v>
      </c>
      <c r="F1125" s="16" t="s">
        <v>4773</v>
      </c>
      <c r="G1125" s="17">
        <v>34869</v>
      </c>
      <c r="H1125" s="16" t="s">
        <v>4774</v>
      </c>
      <c r="I1125" s="16">
        <v>186</v>
      </c>
      <c r="J1125" s="16">
        <v>52</v>
      </c>
      <c r="K1125" s="16">
        <v>2</v>
      </c>
      <c r="L1125" s="16" t="s">
        <v>4773</v>
      </c>
    </row>
    <row r="1126" spans="1:12" x14ac:dyDescent="0.4">
      <c r="A1126" s="16" t="s">
        <v>308</v>
      </c>
      <c r="B1126" s="16">
        <v>7</v>
      </c>
      <c r="C1126" s="16" t="s">
        <v>691</v>
      </c>
      <c r="D1126" s="16" t="s">
        <v>4775</v>
      </c>
      <c r="E1126" s="16" t="s">
        <v>4776</v>
      </c>
      <c r="F1126" s="16" t="s">
        <v>4777</v>
      </c>
      <c r="G1126" s="17">
        <v>36201</v>
      </c>
      <c r="H1126" s="16" t="s">
        <v>1941</v>
      </c>
      <c r="I1126" s="16">
        <v>187</v>
      </c>
      <c r="J1126" s="16">
        <v>30</v>
      </c>
      <c r="K1126" s="16">
        <v>4</v>
      </c>
      <c r="L1126" s="16" t="s">
        <v>4777</v>
      </c>
    </row>
    <row r="1127" spans="1:12" x14ac:dyDescent="0.4">
      <c r="A1127" s="16" t="s">
        <v>308</v>
      </c>
      <c r="B1127" s="16">
        <v>8</v>
      </c>
      <c r="C1127" s="16" t="s">
        <v>691</v>
      </c>
      <c r="D1127" s="16" t="s">
        <v>4778</v>
      </c>
      <c r="E1127" s="16" t="s">
        <v>4779</v>
      </c>
      <c r="F1127" s="16" t="s">
        <v>4780</v>
      </c>
      <c r="G1127" s="17">
        <v>36521</v>
      </c>
      <c r="H1127" s="16" t="s">
        <v>4480</v>
      </c>
      <c r="I1127" s="16">
        <v>185</v>
      </c>
      <c r="J1127" s="16">
        <v>15</v>
      </c>
      <c r="K1127" s="16">
        <v>4</v>
      </c>
      <c r="L1127" s="16" t="s">
        <v>4780</v>
      </c>
    </row>
    <row r="1128" spans="1:12" x14ac:dyDescent="0.4">
      <c r="A1128" s="16" t="s">
        <v>308</v>
      </c>
      <c r="B1128" s="16">
        <v>9</v>
      </c>
      <c r="C1128" s="16" t="s">
        <v>691</v>
      </c>
      <c r="D1128" s="16" t="s">
        <v>4781</v>
      </c>
      <c r="E1128" s="16" t="s">
        <v>4782</v>
      </c>
      <c r="F1128" s="16" t="s">
        <v>4783</v>
      </c>
      <c r="G1128" s="17">
        <v>35599</v>
      </c>
      <c r="H1128" s="16" t="s">
        <v>4784</v>
      </c>
      <c r="I1128" s="16">
        <v>191</v>
      </c>
      <c r="J1128" s="16">
        <v>19</v>
      </c>
      <c r="K1128" s="16">
        <v>4</v>
      </c>
      <c r="L1128" s="16" t="s">
        <v>4783</v>
      </c>
    </row>
    <row r="1129" spans="1:12" x14ac:dyDescent="0.4">
      <c r="A1129" s="16" t="s">
        <v>308</v>
      </c>
      <c r="B1129" s="16">
        <v>10</v>
      </c>
      <c r="C1129" s="16" t="s">
        <v>686</v>
      </c>
      <c r="D1129" s="16" t="s">
        <v>4785</v>
      </c>
      <c r="E1129" s="16" t="s">
        <v>4786</v>
      </c>
      <c r="F1129" s="16" t="s">
        <v>4787</v>
      </c>
      <c r="G1129" s="17">
        <v>37642</v>
      </c>
      <c r="H1129" s="16" t="s">
        <v>1696</v>
      </c>
      <c r="I1129" s="16">
        <v>177</v>
      </c>
      <c r="J1129" s="16">
        <v>45</v>
      </c>
      <c r="K1129" s="16">
        <v>1</v>
      </c>
      <c r="L1129" s="16" t="s">
        <v>4788</v>
      </c>
    </row>
    <row r="1130" spans="1:12" x14ac:dyDescent="0.4">
      <c r="A1130" s="16" t="s">
        <v>308</v>
      </c>
      <c r="B1130" s="16">
        <v>11</v>
      </c>
      <c r="C1130" s="16" t="s">
        <v>686</v>
      </c>
      <c r="D1130" s="16" t="s">
        <v>4789</v>
      </c>
      <c r="E1130" s="16" t="s">
        <v>4790</v>
      </c>
      <c r="F1130" s="16" t="s">
        <v>4791</v>
      </c>
      <c r="G1130" s="17">
        <v>38087</v>
      </c>
      <c r="H1130" s="16" t="s">
        <v>909</v>
      </c>
      <c r="I1130" s="16">
        <v>180</v>
      </c>
      <c r="J1130" s="16">
        <v>17</v>
      </c>
      <c r="K1130" s="16">
        <v>2</v>
      </c>
      <c r="L1130" s="16" t="s">
        <v>4791</v>
      </c>
    </row>
    <row r="1131" spans="1:12" x14ac:dyDescent="0.4">
      <c r="A1131" s="16" t="s">
        <v>308</v>
      </c>
      <c r="B1131" s="16">
        <v>12</v>
      </c>
      <c r="C1131" s="16" t="s">
        <v>669</v>
      </c>
      <c r="D1131" s="16" t="s">
        <v>4792</v>
      </c>
      <c r="E1131" s="16" t="s">
        <v>4793</v>
      </c>
      <c r="F1131" s="16" t="s">
        <v>4794</v>
      </c>
      <c r="G1131" s="17">
        <v>34517</v>
      </c>
      <c r="H1131" s="16" t="s">
        <v>4770</v>
      </c>
      <c r="I1131" s="16">
        <v>188</v>
      </c>
      <c r="J1131" s="16">
        <v>18</v>
      </c>
      <c r="K1131" s="16">
        <v>0</v>
      </c>
      <c r="L1131" s="16" t="s">
        <v>4794</v>
      </c>
    </row>
    <row r="1132" spans="1:12" x14ac:dyDescent="0.4">
      <c r="A1132" s="16" t="s">
        <v>308</v>
      </c>
      <c r="B1132" s="16">
        <v>13</v>
      </c>
      <c r="C1132" s="16" t="s">
        <v>686</v>
      </c>
      <c r="D1132" s="16" t="s">
        <v>4795</v>
      </c>
      <c r="E1132" s="16" t="s">
        <v>4796</v>
      </c>
      <c r="F1132" s="16" t="s">
        <v>4797</v>
      </c>
      <c r="G1132" s="17">
        <v>34361</v>
      </c>
      <c r="H1132" s="16" t="s">
        <v>4798</v>
      </c>
      <c r="I1132" s="16">
        <v>188</v>
      </c>
      <c r="J1132" s="16">
        <v>3</v>
      </c>
      <c r="K1132" s="16">
        <v>0</v>
      </c>
      <c r="L1132" s="16" t="s">
        <v>4797</v>
      </c>
    </row>
    <row r="1133" spans="1:12" x14ac:dyDescent="0.4">
      <c r="A1133" s="16" t="s">
        <v>308</v>
      </c>
      <c r="B1133" s="16">
        <v>14</v>
      </c>
      <c r="C1133" s="16" t="s">
        <v>686</v>
      </c>
      <c r="D1133" s="16" t="s">
        <v>4799</v>
      </c>
      <c r="E1133" s="16" t="s">
        <v>4800</v>
      </c>
      <c r="F1133" s="16" t="s">
        <v>4648</v>
      </c>
      <c r="G1133" s="17">
        <v>38385</v>
      </c>
      <c r="H1133" s="16" t="s">
        <v>1165</v>
      </c>
      <c r="I1133" s="16">
        <v>174</v>
      </c>
      <c r="J1133" s="16">
        <v>4</v>
      </c>
      <c r="K1133" s="16">
        <v>0</v>
      </c>
      <c r="L1133" s="16" t="s">
        <v>4648</v>
      </c>
    </row>
    <row r="1134" spans="1:12" x14ac:dyDescent="0.4">
      <c r="A1134" s="16" t="s">
        <v>308</v>
      </c>
      <c r="B1134" s="16">
        <v>15</v>
      </c>
      <c r="C1134" s="16" t="s">
        <v>686</v>
      </c>
      <c r="D1134" s="16" t="s">
        <v>4801</v>
      </c>
      <c r="E1134" s="16" t="s">
        <v>1839</v>
      </c>
      <c r="F1134" s="16" t="s">
        <v>4802</v>
      </c>
      <c r="G1134" s="17">
        <v>36640</v>
      </c>
      <c r="H1134" s="16" t="s">
        <v>2689</v>
      </c>
      <c r="I1134" s="16">
        <v>179</v>
      </c>
      <c r="J1134" s="16">
        <v>9</v>
      </c>
      <c r="K1134" s="16">
        <v>0</v>
      </c>
      <c r="L1134" s="16" t="s">
        <v>4803</v>
      </c>
    </row>
    <row r="1135" spans="1:12" x14ac:dyDescent="0.4">
      <c r="A1135" s="16" t="s">
        <v>308</v>
      </c>
      <c r="B1135" s="16">
        <v>16</v>
      </c>
      <c r="C1135" s="16" t="s">
        <v>664</v>
      </c>
      <c r="D1135" s="16" t="s">
        <v>4804</v>
      </c>
      <c r="E1135" s="16" t="s">
        <v>4805</v>
      </c>
      <c r="F1135" s="16" t="s">
        <v>4806</v>
      </c>
      <c r="G1135" s="17">
        <v>35458</v>
      </c>
      <c r="H1135" s="16" t="s">
        <v>4807</v>
      </c>
      <c r="I1135" s="16">
        <v>188</v>
      </c>
      <c r="J1135" s="16">
        <v>37</v>
      </c>
      <c r="K1135" s="16">
        <v>0</v>
      </c>
      <c r="L1135" s="16" t="s">
        <v>4806</v>
      </c>
    </row>
    <row r="1136" spans="1:12" x14ac:dyDescent="0.4">
      <c r="A1136" s="16" t="s">
        <v>308</v>
      </c>
      <c r="B1136" s="16">
        <v>17</v>
      </c>
      <c r="C1136" s="16" t="s">
        <v>686</v>
      </c>
      <c r="D1136" s="16" t="s">
        <v>4808</v>
      </c>
      <c r="E1136" s="16" t="s">
        <v>4809</v>
      </c>
      <c r="F1136" s="16" t="s">
        <v>4810</v>
      </c>
      <c r="G1136" s="17">
        <v>34829</v>
      </c>
      <c r="H1136" s="16" t="s">
        <v>707</v>
      </c>
      <c r="I1136" s="16">
        <v>185</v>
      </c>
      <c r="J1136" s="16">
        <v>83</v>
      </c>
      <c r="K1136" s="16">
        <v>4</v>
      </c>
      <c r="L1136" s="16" t="s">
        <v>4810</v>
      </c>
    </row>
    <row r="1137" spans="1:12" x14ac:dyDescent="0.4">
      <c r="A1137" s="16" t="s">
        <v>308</v>
      </c>
      <c r="B1137" s="16">
        <v>18</v>
      </c>
      <c r="C1137" s="16" t="s">
        <v>691</v>
      </c>
      <c r="D1137" s="16" t="s">
        <v>4811</v>
      </c>
      <c r="E1137" s="16" t="s">
        <v>725</v>
      </c>
      <c r="F1137" s="16" t="s">
        <v>4812</v>
      </c>
      <c r="G1137" s="17">
        <v>39342</v>
      </c>
      <c r="H1137" s="16" t="s">
        <v>3905</v>
      </c>
      <c r="I1137" s="16">
        <v>180</v>
      </c>
      <c r="J1137" s="16">
        <v>4</v>
      </c>
      <c r="K1137" s="16">
        <v>0</v>
      </c>
      <c r="L1137" s="16" t="s">
        <v>4812</v>
      </c>
    </row>
    <row r="1138" spans="1:12" x14ac:dyDescent="0.4">
      <c r="A1138" s="16" t="s">
        <v>308</v>
      </c>
      <c r="B1138" s="16">
        <v>19</v>
      </c>
      <c r="C1138" s="16" t="s">
        <v>691</v>
      </c>
      <c r="D1138" s="16" t="s">
        <v>4813</v>
      </c>
      <c r="E1138" s="16" t="s">
        <v>4814</v>
      </c>
      <c r="F1138" s="16" t="s">
        <v>4815</v>
      </c>
      <c r="G1138" s="17">
        <v>35193</v>
      </c>
      <c r="H1138" s="16" t="s">
        <v>4759</v>
      </c>
      <c r="I1138" s="16">
        <v>185</v>
      </c>
      <c r="J1138" s="16">
        <v>30</v>
      </c>
      <c r="K1138" s="16">
        <v>6</v>
      </c>
      <c r="L1138" s="16" t="s">
        <v>4815</v>
      </c>
    </row>
    <row r="1139" spans="1:12" x14ac:dyDescent="0.4">
      <c r="A1139" s="16" t="s">
        <v>308</v>
      </c>
      <c r="B1139" s="16">
        <v>20</v>
      </c>
      <c r="C1139" s="16" t="s">
        <v>669</v>
      </c>
      <c r="D1139" s="16" t="s">
        <v>4816</v>
      </c>
      <c r="E1139" s="16" t="s">
        <v>1822</v>
      </c>
      <c r="F1139" s="16" t="s">
        <v>4817</v>
      </c>
      <c r="G1139" s="17">
        <v>36213</v>
      </c>
      <c r="H1139" s="16" t="s">
        <v>719</v>
      </c>
      <c r="I1139" s="16">
        <v>181</v>
      </c>
      <c r="J1139" s="16">
        <v>22</v>
      </c>
      <c r="K1139" s="16">
        <v>0</v>
      </c>
      <c r="L1139" s="16" t="s">
        <v>4817</v>
      </c>
    </row>
    <row r="1140" spans="1:12" x14ac:dyDescent="0.4">
      <c r="A1140" s="16" t="s">
        <v>308</v>
      </c>
      <c r="B1140" s="16">
        <v>21</v>
      </c>
      <c r="C1140" s="16" t="s">
        <v>669</v>
      </c>
      <c r="D1140" s="16" t="s">
        <v>4818</v>
      </c>
      <c r="E1140" s="16" t="s">
        <v>679</v>
      </c>
      <c r="F1140" s="16" t="s">
        <v>4819</v>
      </c>
      <c r="G1140" s="17">
        <v>35048</v>
      </c>
      <c r="H1140" s="16" t="s">
        <v>681</v>
      </c>
      <c r="I1140" s="16">
        <v>181</v>
      </c>
      <c r="J1140" s="16">
        <v>13</v>
      </c>
      <c r="K1140" s="16">
        <v>0</v>
      </c>
      <c r="L1140" s="16" t="s">
        <v>4819</v>
      </c>
    </row>
    <row r="1141" spans="1:12" x14ac:dyDescent="0.4">
      <c r="A1141" s="16" t="s">
        <v>308</v>
      </c>
      <c r="B1141" s="16">
        <v>22</v>
      </c>
      <c r="C1141" s="16" t="s">
        <v>664</v>
      </c>
      <c r="D1141" s="16" t="s">
        <v>4820</v>
      </c>
      <c r="E1141" s="16" t="s">
        <v>4821</v>
      </c>
      <c r="F1141" s="16" t="s">
        <v>4822</v>
      </c>
      <c r="G1141" s="17">
        <v>35229</v>
      </c>
      <c r="H1141" s="16" t="s">
        <v>4823</v>
      </c>
      <c r="I1141" s="16">
        <v>189</v>
      </c>
      <c r="J1141" s="16">
        <v>2</v>
      </c>
      <c r="K1141" s="16">
        <v>0</v>
      </c>
      <c r="L1141" s="16" t="s">
        <v>4824</v>
      </c>
    </row>
    <row r="1142" spans="1:12" x14ac:dyDescent="0.4">
      <c r="A1142" s="16" t="s">
        <v>308</v>
      </c>
      <c r="B1142" s="16">
        <v>23</v>
      </c>
      <c r="C1142" s="16" t="s">
        <v>669</v>
      </c>
      <c r="D1142" s="16" t="s">
        <v>4825</v>
      </c>
      <c r="E1142" s="16" t="s">
        <v>4826</v>
      </c>
      <c r="F1142" s="16" t="s">
        <v>4827</v>
      </c>
      <c r="G1142" s="17">
        <v>38234</v>
      </c>
      <c r="H1142" s="16" t="s">
        <v>4828</v>
      </c>
      <c r="I1142" s="16">
        <v>182</v>
      </c>
      <c r="J1142" s="16">
        <v>5</v>
      </c>
      <c r="K1142" s="16">
        <v>0</v>
      </c>
      <c r="L1142" s="16" t="s">
        <v>4827</v>
      </c>
    </row>
    <row r="1143" spans="1:12" x14ac:dyDescent="0.4">
      <c r="A1143" s="16" t="s">
        <v>308</v>
      </c>
      <c r="B1143" s="16">
        <v>24</v>
      </c>
      <c r="C1143" s="16" t="s">
        <v>669</v>
      </c>
      <c r="D1143" s="16" t="s">
        <v>4829</v>
      </c>
      <c r="E1143" s="16" t="s">
        <v>4830</v>
      </c>
      <c r="F1143" s="16" t="s">
        <v>4831</v>
      </c>
      <c r="G1143" s="17">
        <v>38147</v>
      </c>
      <c r="H1143" s="16" t="s">
        <v>4832</v>
      </c>
      <c r="I1143" s="16">
        <v>191</v>
      </c>
      <c r="J1143" s="16">
        <v>0</v>
      </c>
      <c r="K1143" s="16">
        <v>0</v>
      </c>
      <c r="L1143" s="16" t="s">
        <v>4831</v>
      </c>
    </row>
    <row r="1144" spans="1:12" x14ac:dyDescent="0.4">
      <c r="A1144" s="16" t="s">
        <v>308</v>
      </c>
      <c r="B1144" s="16">
        <v>25</v>
      </c>
      <c r="C1144" s="16" t="s">
        <v>686</v>
      </c>
      <c r="D1144" s="16" t="s">
        <v>4833</v>
      </c>
      <c r="E1144" s="16" t="s">
        <v>709</v>
      </c>
      <c r="F1144" s="16" t="s">
        <v>4834</v>
      </c>
      <c r="G1144" s="17">
        <v>36966</v>
      </c>
      <c r="H1144" s="16" t="s">
        <v>803</v>
      </c>
      <c r="I1144" s="16">
        <v>188</v>
      </c>
      <c r="J1144" s="16">
        <v>41</v>
      </c>
      <c r="K1144" s="16">
        <v>4</v>
      </c>
      <c r="L1144" s="16" t="s">
        <v>4835</v>
      </c>
    </row>
    <row r="1145" spans="1:12" x14ac:dyDescent="0.4">
      <c r="A1145" s="16" t="s">
        <v>308</v>
      </c>
      <c r="B1145" s="16">
        <v>26</v>
      </c>
      <c r="C1145" s="16" t="s">
        <v>686</v>
      </c>
      <c r="D1145" s="16" t="s">
        <v>4836</v>
      </c>
      <c r="E1145" s="16" t="s">
        <v>4837</v>
      </c>
      <c r="F1145" s="16" t="s">
        <v>4838</v>
      </c>
      <c r="G1145" s="17">
        <v>37450</v>
      </c>
      <c r="H1145" s="16" t="s">
        <v>1382</v>
      </c>
      <c r="I1145" s="16">
        <v>182</v>
      </c>
      <c r="J1145" s="16">
        <v>12</v>
      </c>
      <c r="K1145" s="16">
        <v>1</v>
      </c>
      <c r="L1145" s="16" t="s">
        <v>4838</v>
      </c>
    </row>
    <row r="1146" spans="1:12" x14ac:dyDescent="0.4">
      <c r="A1146" s="16" t="s">
        <v>306</v>
      </c>
      <c r="B1146" s="16">
        <v>1</v>
      </c>
      <c r="C1146" s="16" t="s">
        <v>664</v>
      </c>
      <c r="D1146" s="16" t="s">
        <v>4839</v>
      </c>
      <c r="E1146" s="16" t="s">
        <v>4840</v>
      </c>
      <c r="F1146" s="16" t="s">
        <v>4841</v>
      </c>
      <c r="G1146" s="17">
        <v>32568</v>
      </c>
      <c r="H1146" s="16" t="s">
        <v>1239</v>
      </c>
      <c r="I1146" s="16">
        <v>196</v>
      </c>
      <c r="J1146" s="16">
        <v>37</v>
      </c>
      <c r="K1146" s="16">
        <v>0</v>
      </c>
      <c r="L1146" s="16" t="s">
        <v>4842</v>
      </c>
    </row>
    <row r="1147" spans="1:12" x14ac:dyDescent="0.4">
      <c r="A1147" s="16" t="s">
        <v>306</v>
      </c>
      <c r="B1147" s="16">
        <v>2</v>
      </c>
      <c r="C1147" s="16" t="s">
        <v>669</v>
      </c>
      <c r="D1147" s="16" t="s">
        <v>4843</v>
      </c>
      <c r="E1147" s="16" t="s">
        <v>4844</v>
      </c>
      <c r="F1147" s="16" t="s">
        <v>4845</v>
      </c>
      <c r="G1147" s="17">
        <v>35478</v>
      </c>
      <c r="H1147" s="16" t="s">
        <v>1856</v>
      </c>
      <c r="I1147" s="16">
        <v>180</v>
      </c>
      <c r="J1147" s="16">
        <v>61</v>
      </c>
      <c r="K1147" s="16">
        <v>3</v>
      </c>
      <c r="L1147" s="16" t="s">
        <v>4846</v>
      </c>
    </row>
    <row r="1148" spans="1:12" x14ac:dyDescent="0.4">
      <c r="A1148" s="16" t="s">
        <v>306</v>
      </c>
      <c r="B1148" s="16">
        <v>3</v>
      </c>
      <c r="C1148" s="16" t="s">
        <v>669</v>
      </c>
      <c r="D1148" s="16" t="s">
        <v>4847</v>
      </c>
      <c r="E1148" s="16" t="s">
        <v>4848</v>
      </c>
      <c r="F1148" s="16" t="s">
        <v>4849</v>
      </c>
      <c r="G1148" s="17">
        <v>35859</v>
      </c>
      <c r="H1148" s="16" t="s">
        <v>695</v>
      </c>
      <c r="I1148" s="16">
        <v>190</v>
      </c>
      <c r="J1148" s="16">
        <v>62</v>
      </c>
      <c r="K1148" s="16">
        <v>6</v>
      </c>
      <c r="L1148" s="16" t="s">
        <v>4849</v>
      </c>
    </row>
    <row r="1149" spans="1:12" x14ac:dyDescent="0.4">
      <c r="A1149" s="16" t="s">
        <v>306</v>
      </c>
      <c r="B1149" s="16">
        <v>4</v>
      </c>
      <c r="C1149" s="16" t="s">
        <v>669</v>
      </c>
      <c r="D1149" s="16" t="s">
        <v>4850</v>
      </c>
      <c r="E1149" s="16" t="s">
        <v>4851</v>
      </c>
      <c r="F1149" s="16" t="s">
        <v>4852</v>
      </c>
      <c r="G1149" s="17">
        <v>35208</v>
      </c>
      <c r="H1149" s="16" t="s">
        <v>1239</v>
      </c>
      <c r="I1149" s="16">
        <v>185</v>
      </c>
      <c r="J1149" s="16">
        <v>60</v>
      </c>
      <c r="K1149" s="16">
        <v>2</v>
      </c>
      <c r="L1149" s="16" t="s">
        <v>4853</v>
      </c>
    </row>
    <row r="1150" spans="1:12" x14ac:dyDescent="0.4">
      <c r="A1150" s="16" t="s">
        <v>306</v>
      </c>
      <c r="B1150" s="16">
        <v>5</v>
      </c>
      <c r="C1150" s="16" t="s">
        <v>686</v>
      </c>
      <c r="D1150" s="16" t="s">
        <v>4854</v>
      </c>
      <c r="E1150" s="16" t="s">
        <v>4855</v>
      </c>
      <c r="F1150" s="16" t="s">
        <v>4856</v>
      </c>
      <c r="G1150" s="17">
        <v>35806</v>
      </c>
      <c r="H1150" s="16" t="s">
        <v>749</v>
      </c>
      <c r="I1150" s="16">
        <v>182</v>
      </c>
      <c r="J1150" s="16">
        <v>30</v>
      </c>
      <c r="K1150" s="16">
        <v>1</v>
      </c>
      <c r="L1150" s="16" t="s">
        <v>4856</v>
      </c>
    </row>
    <row r="1151" spans="1:12" x14ac:dyDescent="0.4">
      <c r="A1151" s="16" t="s">
        <v>306</v>
      </c>
      <c r="B1151" s="16">
        <v>6</v>
      </c>
      <c r="C1151" s="16" t="s">
        <v>686</v>
      </c>
      <c r="D1151" s="16" t="s">
        <v>4857</v>
      </c>
      <c r="E1151" s="16" t="s">
        <v>4858</v>
      </c>
      <c r="F1151" s="16" t="s">
        <v>4859</v>
      </c>
      <c r="G1151" s="17">
        <v>36889</v>
      </c>
      <c r="H1151" s="16" t="s">
        <v>1852</v>
      </c>
      <c r="I1151" s="16">
        <v>175</v>
      </c>
      <c r="J1151" s="16">
        <v>50</v>
      </c>
      <c r="K1151" s="16">
        <v>4</v>
      </c>
      <c r="L1151" s="16" t="s">
        <v>4860</v>
      </c>
    </row>
    <row r="1152" spans="1:12" x14ac:dyDescent="0.4">
      <c r="A1152" s="16" t="s">
        <v>306</v>
      </c>
      <c r="B1152" s="16">
        <v>7</v>
      </c>
      <c r="C1152" s="16" t="s">
        <v>691</v>
      </c>
      <c r="D1152" s="16" t="s">
        <v>4861</v>
      </c>
      <c r="E1152" s="16" t="s">
        <v>4862</v>
      </c>
      <c r="F1152" s="16" t="s">
        <v>4863</v>
      </c>
      <c r="G1152" s="17">
        <v>36089</v>
      </c>
      <c r="H1152" s="16" t="s">
        <v>1239</v>
      </c>
      <c r="I1152" s="16">
        <v>172</v>
      </c>
      <c r="J1152" s="16">
        <v>52</v>
      </c>
      <c r="K1152" s="16">
        <v>15</v>
      </c>
      <c r="L1152" s="16" t="s">
        <v>4863</v>
      </c>
    </row>
    <row r="1153" spans="1:12" x14ac:dyDescent="0.4">
      <c r="A1153" s="16" t="s">
        <v>306</v>
      </c>
      <c r="B1153" s="16">
        <v>8</v>
      </c>
      <c r="C1153" s="16" t="s">
        <v>691</v>
      </c>
      <c r="D1153" s="16" t="s">
        <v>4864</v>
      </c>
      <c r="E1153" s="16" t="s">
        <v>4865</v>
      </c>
      <c r="F1153" s="16" t="s">
        <v>4866</v>
      </c>
      <c r="G1153" s="17">
        <v>38408</v>
      </c>
      <c r="H1153" s="16" t="s">
        <v>898</v>
      </c>
      <c r="I1153" s="16">
        <v>175</v>
      </c>
      <c r="J1153" s="16">
        <v>29</v>
      </c>
      <c r="K1153" s="16">
        <v>6</v>
      </c>
      <c r="L1153" s="16" t="s">
        <v>4867</v>
      </c>
    </row>
    <row r="1154" spans="1:12" x14ac:dyDescent="0.4">
      <c r="A1154" s="16" t="s">
        <v>306</v>
      </c>
      <c r="B1154" s="16">
        <v>9</v>
      </c>
      <c r="C1154" s="16" t="s">
        <v>691</v>
      </c>
      <c r="D1154" s="16" t="s">
        <v>4868</v>
      </c>
      <c r="E1154" s="16" t="s">
        <v>4869</v>
      </c>
      <c r="F1154" s="16" t="s">
        <v>4870</v>
      </c>
      <c r="G1154" s="17">
        <v>38170</v>
      </c>
      <c r="H1154" s="16" t="s">
        <v>1807</v>
      </c>
      <c r="I1154" s="16">
        <v>192</v>
      </c>
      <c r="J1154" s="16">
        <v>8</v>
      </c>
      <c r="K1154" s="16">
        <v>2</v>
      </c>
      <c r="L1154" s="16" t="s">
        <v>4871</v>
      </c>
    </row>
    <row r="1155" spans="1:12" x14ac:dyDescent="0.4">
      <c r="A1155" s="16" t="s">
        <v>306</v>
      </c>
      <c r="B1155" s="16">
        <v>10</v>
      </c>
      <c r="C1155" s="16" t="s">
        <v>686</v>
      </c>
      <c r="D1155" s="16" t="s">
        <v>4872</v>
      </c>
      <c r="E1155" s="16" t="s">
        <v>4873</v>
      </c>
      <c r="F1155" s="16" t="s">
        <v>4874</v>
      </c>
      <c r="G1155" s="17">
        <v>34373</v>
      </c>
      <c r="H1155" s="16" t="s">
        <v>1547</v>
      </c>
      <c r="I1155" s="16">
        <v>178</v>
      </c>
      <c r="J1155" s="16">
        <v>105</v>
      </c>
      <c r="K1155" s="16">
        <v>22</v>
      </c>
      <c r="L1155" s="16" t="s">
        <v>4874</v>
      </c>
    </row>
    <row r="1156" spans="1:12" x14ac:dyDescent="0.4">
      <c r="A1156" s="16" t="s">
        <v>306</v>
      </c>
      <c r="B1156" s="16">
        <v>11</v>
      </c>
      <c r="C1156" s="16" t="s">
        <v>691</v>
      </c>
      <c r="D1156" s="16" t="s">
        <v>4875</v>
      </c>
      <c r="E1156" s="16" t="s">
        <v>4876</v>
      </c>
      <c r="F1156" s="16" t="s">
        <v>4877</v>
      </c>
      <c r="G1156" s="17">
        <v>38476</v>
      </c>
      <c r="H1156" s="16" t="s">
        <v>1204</v>
      </c>
      <c r="I1156" s="16">
        <v>187</v>
      </c>
      <c r="J1156" s="16">
        <v>28</v>
      </c>
      <c r="K1156" s="16">
        <v>5</v>
      </c>
      <c r="L1156" s="16" t="s">
        <v>4877</v>
      </c>
    </row>
    <row r="1157" spans="1:12" x14ac:dyDescent="0.4">
      <c r="A1157" s="16" t="s">
        <v>306</v>
      </c>
      <c r="B1157" s="16">
        <v>12</v>
      </c>
      <c r="C1157" s="16" t="s">
        <v>664</v>
      </c>
      <c r="D1157" s="16" t="s">
        <v>4878</v>
      </c>
      <c r="E1157" s="16" t="s">
        <v>4879</v>
      </c>
      <c r="F1157" s="16" t="s">
        <v>4880</v>
      </c>
      <c r="G1157" s="17">
        <v>35899</v>
      </c>
      <c r="H1157" s="16" t="s">
        <v>1007</v>
      </c>
      <c r="I1157" s="16">
        <v>198</v>
      </c>
      <c r="J1157" s="16">
        <v>12</v>
      </c>
      <c r="K1157" s="16">
        <v>0</v>
      </c>
      <c r="L1157" s="16" t="s">
        <v>4881</v>
      </c>
    </row>
    <row r="1158" spans="1:12" x14ac:dyDescent="0.4">
      <c r="A1158" s="16" t="s">
        <v>306</v>
      </c>
      <c r="B1158" s="16">
        <v>13</v>
      </c>
      <c r="C1158" s="16" t="s">
        <v>669</v>
      </c>
      <c r="D1158" s="16" t="s">
        <v>4882</v>
      </c>
      <c r="E1158" s="16" t="s">
        <v>4883</v>
      </c>
      <c r="F1158" s="16" t="s">
        <v>4884</v>
      </c>
      <c r="G1158" s="17">
        <v>36714</v>
      </c>
      <c r="H1158" s="16" t="s">
        <v>1664</v>
      </c>
      <c r="I1158" s="16">
        <v>181</v>
      </c>
      <c r="J1158" s="16">
        <v>23</v>
      </c>
      <c r="K1158" s="16">
        <v>0</v>
      </c>
      <c r="L1158" s="16" t="s">
        <v>4885</v>
      </c>
    </row>
    <row r="1159" spans="1:12" x14ac:dyDescent="0.4">
      <c r="A1159" s="16" t="s">
        <v>306</v>
      </c>
      <c r="B1159" s="16">
        <v>14</v>
      </c>
      <c r="C1159" s="16" t="s">
        <v>669</v>
      </c>
      <c r="D1159" s="16" t="s">
        <v>4886</v>
      </c>
      <c r="E1159" s="16" t="s">
        <v>4887</v>
      </c>
      <c r="F1159" s="16" t="s">
        <v>4888</v>
      </c>
      <c r="G1159" s="17">
        <v>34584</v>
      </c>
      <c r="H1159" s="16" t="s">
        <v>1664</v>
      </c>
      <c r="I1159" s="16">
        <v>185</v>
      </c>
      <c r="J1159" s="16">
        <v>27</v>
      </c>
      <c r="K1159" s="16">
        <v>2</v>
      </c>
      <c r="L1159" s="16" t="s">
        <v>4889</v>
      </c>
    </row>
    <row r="1160" spans="1:12" x14ac:dyDescent="0.4">
      <c r="A1160" s="16" t="s">
        <v>306</v>
      </c>
      <c r="B1160" s="16">
        <v>15</v>
      </c>
      <c r="C1160" s="16" t="s">
        <v>669</v>
      </c>
      <c r="D1160" s="16" t="s">
        <v>4890</v>
      </c>
      <c r="E1160" s="16" t="s">
        <v>4891</v>
      </c>
      <c r="F1160" s="16" t="s">
        <v>4892</v>
      </c>
      <c r="G1160" s="17">
        <v>36610</v>
      </c>
      <c r="H1160" s="16" t="s">
        <v>949</v>
      </c>
      <c r="I1160" s="16">
        <v>187</v>
      </c>
      <c r="J1160" s="16">
        <v>30</v>
      </c>
      <c r="K1160" s="16">
        <v>2</v>
      </c>
      <c r="L1160" s="16" t="s">
        <v>4893</v>
      </c>
    </row>
    <row r="1161" spans="1:12" x14ac:dyDescent="0.4">
      <c r="A1161" s="16" t="s">
        <v>306</v>
      </c>
      <c r="B1161" s="16">
        <v>16</v>
      </c>
      <c r="C1161" s="16" t="s">
        <v>686</v>
      </c>
      <c r="D1161" s="16" t="s">
        <v>4894</v>
      </c>
      <c r="E1161" s="16" t="s">
        <v>4895</v>
      </c>
      <c r="F1161" s="16" t="s">
        <v>4896</v>
      </c>
      <c r="G1161" s="17">
        <v>36186</v>
      </c>
      <c r="H1161" s="16" t="s">
        <v>1239</v>
      </c>
      <c r="I1161" s="16">
        <v>183</v>
      </c>
      <c r="J1161" s="16">
        <v>32</v>
      </c>
      <c r="K1161" s="16">
        <v>1</v>
      </c>
      <c r="L1161" s="16" t="s">
        <v>4897</v>
      </c>
    </row>
    <row r="1162" spans="1:12" x14ac:dyDescent="0.4">
      <c r="A1162" s="16" t="s">
        <v>306</v>
      </c>
      <c r="B1162" s="16">
        <v>17</v>
      </c>
      <c r="C1162" s="16" t="s">
        <v>691</v>
      </c>
      <c r="D1162" s="16" t="s">
        <v>4898</v>
      </c>
      <c r="E1162" s="16" t="s">
        <v>4899</v>
      </c>
      <c r="F1162" s="16" t="s">
        <v>4900</v>
      </c>
      <c r="G1162" s="17">
        <v>34895</v>
      </c>
      <c r="H1162" s="16" t="s">
        <v>4770</v>
      </c>
      <c r="I1162" s="16">
        <v>180</v>
      </c>
      <c r="J1162" s="16">
        <v>47</v>
      </c>
      <c r="K1162" s="16">
        <v>6</v>
      </c>
      <c r="L1162" s="16" t="s">
        <v>4900</v>
      </c>
    </row>
    <row r="1163" spans="1:12" x14ac:dyDescent="0.4">
      <c r="A1163" s="16" t="s">
        <v>306</v>
      </c>
      <c r="B1163" s="16">
        <v>18</v>
      </c>
      <c r="C1163" s="16" t="s">
        <v>669</v>
      </c>
      <c r="D1163" s="16" t="s">
        <v>4901</v>
      </c>
      <c r="E1163" s="16" t="s">
        <v>4902</v>
      </c>
      <c r="F1163" s="16" t="s">
        <v>4903</v>
      </c>
      <c r="G1163" s="17">
        <v>36253</v>
      </c>
      <c r="H1163" s="16" t="s">
        <v>1239</v>
      </c>
      <c r="I1163" s="16">
        <v>184</v>
      </c>
      <c r="J1163" s="16">
        <v>45</v>
      </c>
      <c r="K1163" s="16">
        <v>3</v>
      </c>
      <c r="L1163" s="16" t="s">
        <v>4904</v>
      </c>
    </row>
    <row r="1164" spans="1:12" x14ac:dyDescent="0.4">
      <c r="A1164" s="16" t="s">
        <v>306</v>
      </c>
      <c r="B1164" s="16">
        <v>19</v>
      </c>
      <c r="C1164" s="16" t="s">
        <v>691</v>
      </c>
      <c r="D1164" s="16" t="s">
        <v>4905</v>
      </c>
      <c r="E1164" s="16" t="s">
        <v>4906</v>
      </c>
      <c r="F1164" s="16" t="s">
        <v>4907</v>
      </c>
      <c r="G1164" s="17">
        <v>36714</v>
      </c>
      <c r="H1164" s="16" t="s">
        <v>1664</v>
      </c>
      <c r="I1164" s="16">
        <v>173</v>
      </c>
      <c r="J1164" s="16">
        <v>19</v>
      </c>
      <c r="K1164" s="16">
        <v>4</v>
      </c>
      <c r="L1164" s="16" t="s">
        <v>4908</v>
      </c>
    </row>
    <row r="1165" spans="1:12" x14ac:dyDescent="0.4">
      <c r="A1165" s="16" t="s">
        <v>306</v>
      </c>
      <c r="B1165" s="16">
        <v>20</v>
      </c>
      <c r="C1165" s="16" t="s">
        <v>669</v>
      </c>
      <c r="D1165" s="16" t="s">
        <v>4909</v>
      </c>
      <c r="E1165" s="16" t="s">
        <v>4910</v>
      </c>
      <c r="F1165" s="16" t="s">
        <v>4911</v>
      </c>
      <c r="G1165" s="17">
        <v>36440</v>
      </c>
      <c r="H1165" s="16" t="s">
        <v>981</v>
      </c>
      <c r="I1165" s="16">
        <v>174</v>
      </c>
      <c r="J1165" s="16">
        <v>30</v>
      </c>
      <c r="K1165" s="16">
        <v>2</v>
      </c>
      <c r="L1165" s="16" t="s">
        <v>4912</v>
      </c>
    </row>
    <row r="1166" spans="1:12" x14ac:dyDescent="0.4">
      <c r="A1166" s="16" t="s">
        <v>306</v>
      </c>
      <c r="B1166" s="16">
        <v>21</v>
      </c>
      <c r="C1166" s="16" t="s">
        <v>691</v>
      </c>
      <c r="D1166" s="16" t="s">
        <v>4913</v>
      </c>
      <c r="E1166" s="16" t="s">
        <v>4914</v>
      </c>
      <c r="F1166" s="16" t="s">
        <v>4915</v>
      </c>
      <c r="G1166" s="17">
        <v>36669</v>
      </c>
      <c r="H1166" s="16" t="s">
        <v>1664</v>
      </c>
      <c r="I1166" s="16">
        <v>186</v>
      </c>
      <c r="J1166" s="16">
        <v>35</v>
      </c>
      <c r="K1166" s="16">
        <v>4</v>
      </c>
      <c r="L1166" s="16" t="s">
        <v>4916</v>
      </c>
    </row>
    <row r="1167" spans="1:12" x14ac:dyDescent="0.4">
      <c r="A1167" s="16" t="s">
        <v>306</v>
      </c>
      <c r="B1167" s="16">
        <v>22</v>
      </c>
      <c r="C1167" s="16" t="s">
        <v>686</v>
      </c>
      <c r="D1167" s="16" t="s">
        <v>4917</v>
      </c>
      <c r="E1167" s="16" t="s">
        <v>4918</v>
      </c>
      <c r="F1167" s="16" t="s">
        <v>4919</v>
      </c>
      <c r="G1167" s="17">
        <v>34648</v>
      </c>
      <c r="H1167" s="16" t="s">
        <v>1664</v>
      </c>
      <c r="I1167" s="16">
        <v>185</v>
      </c>
      <c r="J1167" s="16">
        <v>73</v>
      </c>
      <c r="K1167" s="16">
        <v>5</v>
      </c>
      <c r="L1167" s="16" t="s">
        <v>4920</v>
      </c>
    </row>
    <row r="1168" spans="1:12" x14ac:dyDescent="0.4">
      <c r="A1168" s="16" t="s">
        <v>306</v>
      </c>
      <c r="B1168" s="16">
        <v>23</v>
      </c>
      <c r="C1168" s="16" t="s">
        <v>664</v>
      </c>
      <c r="D1168" s="16" t="s">
        <v>4921</v>
      </c>
      <c r="E1168" s="16" t="s">
        <v>4922</v>
      </c>
      <c r="F1168" s="16" t="s">
        <v>4923</v>
      </c>
      <c r="G1168" s="17">
        <v>35160</v>
      </c>
      <c r="H1168" s="16" t="s">
        <v>1664</v>
      </c>
      <c r="I1168" s="16">
        <v>191</v>
      </c>
      <c r="J1168" s="16">
        <v>39</v>
      </c>
      <c r="K1168" s="16">
        <v>0</v>
      </c>
      <c r="L1168" s="16" t="s">
        <v>4924</v>
      </c>
    </row>
    <row r="1169" spans="1:12" x14ac:dyDescent="0.4">
      <c r="A1169" s="16" t="s">
        <v>306</v>
      </c>
      <c r="B1169" s="16">
        <v>24</v>
      </c>
      <c r="C1169" s="16" t="s">
        <v>691</v>
      </c>
      <c r="D1169" s="16" t="s">
        <v>4925</v>
      </c>
      <c r="E1169" s="16" t="s">
        <v>4926</v>
      </c>
      <c r="F1169" s="16" t="s">
        <v>4927</v>
      </c>
      <c r="G1169" s="17">
        <v>36826</v>
      </c>
      <c r="H1169" s="16" t="s">
        <v>1239</v>
      </c>
      <c r="I1169" s="16">
        <v>183</v>
      </c>
      <c r="J1169" s="16">
        <v>11</v>
      </c>
      <c r="K1169" s="16">
        <v>0</v>
      </c>
      <c r="L1169" s="16" t="s">
        <v>4928</v>
      </c>
    </row>
    <row r="1170" spans="1:12" x14ac:dyDescent="0.4">
      <c r="A1170" s="16" t="s">
        <v>306</v>
      </c>
      <c r="B1170" s="16">
        <v>25</v>
      </c>
      <c r="C1170" s="16" t="s">
        <v>669</v>
      </c>
      <c r="D1170" s="16" t="s">
        <v>4929</v>
      </c>
      <c r="E1170" s="16" t="s">
        <v>4930</v>
      </c>
      <c r="F1170" s="16" t="s">
        <v>4931</v>
      </c>
      <c r="G1170" s="17">
        <v>34406</v>
      </c>
      <c r="H1170" s="16" t="s">
        <v>1787</v>
      </c>
      <c r="I1170" s="16">
        <v>190</v>
      </c>
      <c r="J1170" s="16">
        <v>19</v>
      </c>
      <c r="K1170" s="16">
        <v>1</v>
      </c>
      <c r="L1170" s="16" t="s">
        <v>4932</v>
      </c>
    </row>
    <row r="1171" spans="1:12" x14ac:dyDescent="0.4">
      <c r="A1171" s="16" t="s">
        <v>306</v>
      </c>
      <c r="B1171" s="16">
        <v>26</v>
      </c>
      <c r="C1171" s="16" t="s">
        <v>691</v>
      </c>
      <c r="D1171" s="16" t="s">
        <v>4933</v>
      </c>
      <c r="E1171" s="16" t="s">
        <v>4934</v>
      </c>
      <c r="F1171" s="16" t="s">
        <v>4935</v>
      </c>
      <c r="G1171" s="17">
        <v>38667</v>
      </c>
      <c r="H1171" s="16" t="s">
        <v>707</v>
      </c>
      <c r="I1171" s="16">
        <v>186</v>
      </c>
      <c r="J1171" s="16">
        <v>6</v>
      </c>
      <c r="K1171" s="16">
        <v>1</v>
      </c>
      <c r="L1171" s="16" t="s">
        <v>4936</v>
      </c>
    </row>
    <row r="1172" spans="1:12" x14ac:dyDescent="0.4">
      <c r="A1172" s="16" t="s">
        <v>307</v>
      </c>
      <c r="B1172" s="16">
        <v>1</v>
      </c>
      <c r="C1172" s="16" t="s">
        <v>664</v>
      </c>
      <c r="D1172" s="16" t="s">
        <v>4937</v>
      </c>
      <c r="E1172" s="16" t="s">
        <v>4938</v>
      </c>
      <c r="F1172" s="16" t="s">
        <v>4939</v>
      </c>
      <c r="G1172" s="17">
        <v>34051</v>
      </c>
      <c r="H1172" s="16" t="s">
        <v>2129</v>
      </c>
      <c r="I1172" s="16">
        <v>189</v>
      </c>
      <c r="J1172" s="16">
        <v>35</v>
      </c>
      <c r="K1172" s="16">
        <v>0</v>
      </c>
      <c r="L1172" s="16" t="s">
        <v>4940</v>
      </c>
    </row>
    <row r="1173" spans="1:12" x14ac:dyDescent="0.4">
      <c r="A1173" s="16" t="s">
        <v>307</v>
      </c>
      <c r="B1173" s="16">
        <v>2</v>
      </c>
      <c r="C1173" s="16" t="s">
        <v>669</v>
      </c>
      <c r="D1173" s="16" t="s">
        <v>4941</v>
      </c>
      <c r="E1173" s="16" t="s">
        <v>4942</v>
      </c>
      <c r="F1173" s="16" t="s">
        <v>4943</v>
      </c>
      <c r="G1173" s="17">
        <v>34719</v>
      </c>
      <c r="H1173" s="16" t="s">
        <v>1475</v>
      </c>
      <c r="I1173" s="16">
        <v>186</v>
      </c>
      <c r="J1173" s="16">
        <v>99</v>
      </c>
      <c r="K1173" s="16">
        <v>8</v>
      </c>
      <c r="L1173" s="16" t="s">
        <v>4944</v>
      </c>
    </row>
    <row r="1174" spans="1:12" x14ac:dyDescent="0.4">
      <c r="A1174" s="16" t="s">
        <v>307</v>
      </c>
      <c r="B1174" s="16">
        <v>3</v>
      </c>
      <c r="C1174" s="16" t="s">
        <v>669</v>
      </c>
      <c r="D1174" s="16" t="s">
        <v>4945</v>
      </c>
      <c r="E1174" s="16" t="s">
        <v>4946</v>
      </c>
      <c r="F1174" s="16" t="s">
        <v>4947</v>
      </c>
      <c r="G1174" s="17">
        <v>36390</v>
      </c>
      <c r="H1174" s="16" t="s">
        <v>3341</v>
      </c>
      <c r="I1174" s="16">
        <v>180</v>
      </c>
      <c r="J1174" s="16">
        <v>24</v>
      </c>
      <c r="K1174" s="16">
        <v>0</v>
      </c>
      <c r="L1174" s="16" t="s">
        <v>4948</v>
      </c>
    </row>
    <row r="1175" spans="1:12" x14ac:dyDescent="0.4">
      <c r="A1175" s="16" t="s">
        <v>307</v>
      </c>
      <c r="B1175" s="16">
        <v>4</v>
      </c>
      <c r="C1175" s="16" t="s">
        <v>669</v>
      </c>
      <c r="D1175" s="16" t="s">
        <v>4949</v>
      </c>
      <c r="E1175" s="16" t="s">
        <v>4950</v>
      </c>
      <c r="F1175" s="16" t="s">
        <v>4951</v>
      </c>
      <c r="G1175" s="17">
        <v>36226</v>
      </c>
      <c r="H1175" s="16" t="s">
        <v>1193</v>
      </c>
      <c r="I1175" s="16">
        <v>185</v>
      </c>
      <c r="J1175" s="16">
        <v>27</v>
      </c>
      <c r="K1175" s="16">
        <v>1</v>
      </c>
      <c r="L1175" s="16" t="s">
        <v>4952</v>
      </c>
    </row>
    <row r="1176" spans="1:12" x14ac:dyDescent="0.4">
      <c r="A1176" s="16" t="s">
        <v>307</v>
      </c>
      <c r="B1176" s="16">
        <v>5</v>
      </c>
      <c r="C1176" s="16" t="s">
        <v>686</v>
      </c>
      <c r="D1176" s="16" t="s">
        <v>4953</v>
      </c>
      <c r="E1176" s="16" t="s">
        <v>4954</v>
      </c>
      <c r="F1176" s="16" t="s">
        <v>4955</v>
      </c>
      <c r="G1176" s="17">
        <v>36992</v>
      </c>
      <c r="H1176" s="16" t="s">
        <v>1007</v>
      </c>
      <c r="I1176" s="16">
        <v>182</v>
      </c>
      <c r="J1176" s="16">
        <v>36</v>
      </c>
      <c r="K1176" s="16">
        <v>1</v>
      </c>
      <c r="L1176" s="16" t="s">
        <v>4956</v>
      </c>
    </row>
    <row r="1177" spans="1:12" x14ac:dyDescent="0.4">
      <c r="A1177" s="16" t="s">
        <v>307</v>
      </c>
      <c r="B1177" s="16">
        <v>6</v>
      </c>
      <c r="C1177" s="16" t="s">
        <v>686</v>
      </c>
      <c r="D1177" s="16" t="s">
        <v>4957</v>
      </c>
      <c r="E1177" s="16" t="s">
        <v>4554</v>
      </c>
      <c r="F1177" s="16" t="s">
        <v>4958</v>
      </c>
      <c r="G1177" s="17">
        <v>35606</v>
      </c>
      <c r="H1177" s="16" t="s">
        <v>879</v>
      </c>
      <c r="I1177" s="16">
        <v>187</v>
      </c>
      <c r="J1177" s="16">
        <v>74</v>
      </c>
      <c r="K1177" s="16">
        <v>3</v>
      </c>
      <c r="L1177" s="16" t="s">
        <v>4959</v>
      </c>
    </row>
    <row r="1178" spans="1:12" x14ac:dyDescent="0.4">
      <c r="A1178" s="16" t="s">
        <v>307</v>
      </c>
      <c r="B1178" s="16">
        <v>7</v>
      </c>
      <c r="C1178" s="16" t="s">
        <v>686</v>
      </c>
      <c r="D1178" s="16" t="s">
        <v>4960</v>
      </c>
      <c r="E1178" s="16" t="s">
        <v>4961</v>
      </c>
      <c r="F1178" s="16" t="s">
        <v>4962</v>
      </c>
      <c r="G1178" s="17">
        <v>35582</v>
      </c>
      <c r="H1178" s="16" t="s">
        <v>1172</v>
      </c>
      <c r="I1178" s="16">
        <v>167</v>
      </c>
      <c r="J1178" s="16">
        <v>34</v>
      </c>
      <c r="K1178" s="16">
        <v>5</v>
      </c>
      <c r="L1178" s="16" t="s">
        <v>4963</v>
      </c>
    </row>
    <row r="1179" spans="1:12" x14ac:dyDescent="0.4">
      <c r="A1179" s="16" t="s">
        <v>307</v>
      </c>
      <c r="B1179" s="16">
        <v>8</v>
      </c>
      <c r="C1179" s="16" t="s">
        <v>686</v>
      </c>
      <c r="D1179" s="16" t="s">
        <v>4964</v>
      </c>
      <c r="E1179" s="16" t="s">
        <v>4965</v>
      </c>
      <c r="F1179" s="16" t="s">
        <v>4966</v>
      </c>
      <c r="G1179" s="17">
        <v>35998</v>
      </c>
      <c r="H1179" s="16" t="s">
        <v>898</v>
      </c>
      <c r="I1179" s="16">
        <v>182</v>
      </c>
      <c r="J1179" s="16">
        <v>73</v>
      </c>
      <c r="K1179" s="16">
        <v>9</v>
      </c>
      <c r="L1179" s="16" t="s">
        <v>4967</v>
      </c>
    </row>
    <row r="1180" spans="1:12" x14ac:dyDescent="0.4">
      <c r="A1180" s="16" t="s">
        <v>307</v>
      </c>
      <c r="B1180" s="16">
        <v>9</v>
      </c>
      <c r="C1180" s="16" t="s">
        <v>691</v>
      </c>
      <c r="D1180" s="16" t="s">
        <v>4968</v>
      </c>
      <c r="E1180" s="16" t="s">
        <v>4969</v>
      </c>
      <c r="F1180" s="16" t="s">
        <v>4970</v>
      </c>
      <c r="G1180" s="17">
        <v>36335</v>
      </c>
      <c r="H1180" s="16" t="s">
        <v>2475</v>
      </c>
      <c r="I1180" s="16">
        <v>185</v>
      </c>
      <c r="J1180" s="16">
        <v>38</v>
      </c>
      <c r="K1180" s="16">
        <v>13</v>
      </c>
      <c r="L1180" s="16" t="s">
        <v>4971</v>
      </c>
    </row>
    <row r="1181" spans="1:12" x14ac:dyDescent="0.4">
      <c r="A1181" s="16" t="s">
        <v>307</v>
      </c>
      <c r="B1181" s="16">
        <v>10</v>
      </c>
      <c r="C1181" s="16" t="s">
        <v>686</v>
      </c>
      <c r="D1181" s="16" t="s">
        <v>4972</v>
      </c>
      <c r="E1181" s="16" t="s">
        <v>4973</v>
      </c>
      <c r="F1181" s="16" t="s">
        <v>4974</v>
      </c>
      <c r="G1181" s="17">
        <v>34486</v>
      </c>
      <c r="H1181" s="16" t="s">
        <v>1172</v>
      </c>
      <c r="I1181" s="16">
        <v>177</v>
      </c>
      <c r="J1181" s="16">
        <v>60</v>
      </c>
      <c r="K1181" s="16">
        <v>13</v>
      </c>
      <c r="L1181" s="16" t="s">
        <v>4975</v>
      </c>
    </row>
    <row r="1182" spans="1:12" x14ac:dyDescent="0.4">
      <c r="A1182" s="16" t="s">
        <v>307</v>
      </c>
      <c r="B1182" s="16">
        <v>11</v>
      </c>
      <c r="C1182" s="16" t="s">
        <v>691</v>
      </c>
      <c r="D1182" s="16" t="s">
        <v>4976</v>
      </c>
      <c r="E1182" s="16" t="s">
        <v>4977</v>
      </c>
      <c r="F1182" s="16" t="s">
        <v>4978</v>
      </c>
      <c r="G1182" s="17">
        <v>37245</v>
      </c>
      <c r="H1182" s="16" t="s">
        <v>1863</v>
      </c>
      <c r="I1182" s="16">
        <v>174</v>
      </c>
      <c r="J1182" s="16">
        <v>39</v>
      </c>
      <c r="K1182" s="16">
        <v>2</v>
      </c>
      <c r="L1182" s="16" t="s">
        <v>4979</v>
      </c>
    </row>
    <row r="1183" spans="1:12" x14ac:dyDescent="0.4">
      <c r="A1183" s="16" t="s">
        <v>307</v>
      </c>
      <c r="B1183" s="16">
        <v>12</v>
      </c>
      <c r="C1183" s="16" t="s">
        <v>664</v>
      </c>
      <c r="D1183" s="16" t="s">
        <v>4980</v>
      </c>
      <c r="E1183" s="16" t="s">
        <v>4981</v>
      </c>
      <c r="F1183" s="16" t="s">
        <v>4982</v>
      </c>
      <c r="G1183" s="17">
        <v>35679</v>
      </c>
      <c r="H1183" s="16" t="s">
        <v>4983</v>
      </c>
      <c r="I1183" s="16">
        <v>185</v>
      </c>
      <c r="J1183" s="16">
        <v>8</v>
      </c>
      <c r="K1183" s="16">
        <v>0</v>
      </c>
      <c r="L1183" s="16" t="s">
        <v>4984</v>
      </c>
    </row>
    <row r="1184" spans="1:12" x14ac:dyDescent="0.4">
      <c r="A1184" s="16" t="s">
        <v>307</v>
      </c>
      <c r="B1184" s="16">
        <v>13</v>
      </c>
      <c r="C1184" s="16" t="s">
        <v>669</v>
      </c>
      <c r="D1184" s="16" t="s">
        <v>4985</v>
      </c>
      <c r="E1184" s="16" t="s">
        <v>3369</v>
      </c>
      <c r="F1184" s="16" t="s">
        <v>4986</v>
      </c>
      <c r="G1184" s="17">
        <v>34052</v>
      </c>
      <c r="H1184" s="16" t="s">
        <v>1172</v>
      </c>
      <c r="I1184" s="16">
        <v>174</v>
      </c>
      <c r="J1184" s="16">
        <v>28</v>
      </c>
      <c r="K1184" s="16">
        <v>0</v>
      </c>
      <c r="L1184" s="16" t="s">
        <v>4987</v>
      </c>
    </row>
    <row r="1185" spans="1:12" x14ac:dyDescent="0.4">
      <c r="A1185" s="16" t="s">
        <v>307</v>
      </c>
      <c r="B1185" s="16">
        <v>14</v>
      </c>
      <c r="C1185" s="16" t="s">
        <v>686</v>
      </c>
      <c r="D1185" s="16" t="s">
        <v>4988</v>
      </c>
      <c r="E1185" s="16" t="s">
        <v>4989</v>
      </c>
      <c r="F1185" s="16" t="s">
        <v>4990</v>
      </c>
      <c r="G1185" s="17">
        <v>36069</v>
      </c>
      <c r="H1185" s="16" t="s">
        <v>4991</v>
      </c>
      <c r="I1185" s="16">
        <v>176</v>
      </c>
      <c r="J1185" s="16">
        <v>15</v>
      </c>
      <c r="K1185" s="16">
        <v>1</v>
      </c>
      <c r="L1185" s="16" t="s">
        <v>4992</v>
      </c>
    </row>
    <row r="1186" spans="1:12" x14ac:dyDescent="0.4">
      <c r="A1186" s="16" t="s">
        <v>307</v>
      </c>
      <c r="B1186" s="16">
        <v>15</v>
      </c>
      <c r="C1186" s="16" t="s">
        <v>686</v>
      </c>
      <c r="D1186" s="16" t="s">
        <v>1548</v>
      </c>
      <c r="E1186" s="16" t="s">
        <v>4993</v>
      </c>
      <c r="F1186" s="16" t="s">
        <v>1550</v>
      </c>
      <c r="G1186" s="17">
        <v>36389</v>
      </c>
      <c r="H1186" s="16" t="s">
        <v>1543</v>
      </c>
      <c r="I1186" s="16">
        <v>184</v>
      </c>
      <c r="J1186" s="16">
        <v>10</v>
      </c>
      <c r="K1186" s="16">
        <v>0</v>
      </c>
      <c r="L1186" s="16" t="s">
        <v>4994</v>
      </c>
    </row>
    <row r="1187" spans="1:12" x14ac:dyDescent="0.4">
      <c r="A1187" s="16" t="s">
        <v>307</v>
      </c>
      <c r="B1187" s="16">
        <v>16</v>
      </c>
      <c r="C1187" s="16" t="s">
        <v>669</v>
      </c>
      <c r="D1187" s="16" t="s">
        <v>4995</v>
      </c>
      <c r="E1187" s="16" t="s">
        <v>4996</v>
      </c>
      <c r="F1187" s="16" t="s">
        <v>4997</v>
      </c>
      <c r="G1187" s="17">
        <v>35734</v>
      </c>
      <c r="H1187" s="16" t="s">
        <v>988</v>
      </c>
      <c r="I1187" s="16">
        <v>174</v>
      </c>
      <c r="J1187" s="16">
        <v>35</v>
      </c>
      <c r="K1187" s="16">
        <v>2</v>
      </c>
      <c r="L1187" s="16" t="s">
        <v>4998</v>
      </c>
    </row>
    <row r="1188" spans="1:12" x14ac:dyDescent="0.4">
      <c r="A1188" s="16" t="s">
        <v>307</v>
      </c>
      <c r="B1188" s="16">
        <v>17</v>
      </c>
      <c r="C1188" s="16" t="s">
        <v>669</v>
      </c>
      <c r="D1188" s="16" t="s">
        <v>4999</v>
      </c>
      <c r="E1188" s="16" t="s">
        <v>5000</v>
      </c>
      <c r="F1188" s="16" t="s">
        <v>5001</v>
      </c>
      <c r="G1188" s="17">
        <v>35743</v>
      </c>
      <c r="H1188" s="16" t="s">
        <v>1486</v>
      </c>
      <c r="I1188" s="16">
        <v>180</v>
      </c>
      <c r="J1188" s="16">
        <v>43</v>
      </c>
      <c r="K1188" s="16">
        <v>1</v>
      </c>
      <c r="L1188" s="16" t="s">
        <v>5002</v>
      </c>
    </row>
    <row r="1189" spans="1:12" x14ac:dyDescent="0.4">
      <c r="A1189" s="16" t="s">
        <v>307</v>
      </c>
      <c r="B1189" s="16">
        <v>18</v>
      </c>
      <c r="C1189" s="16" t="s">
        <v>691</v>
      </c>
      <c r="D1189" s="16" t="s">
        <v>5003</v>
      </c>
      <c r="E1189" s="16" t="s">
        <v>5004</v>
      </c>
      <c r="F1189" s="16" t="s">
        <v>5005</v>
      </c>
      <c r="G1189" s="17">
        <v>36666</v>
      </c>
      <c r="H1189" s="16" t="s">
        <v>3341</v>
      </c>
      <c r="I1189" s="16">
        <v>175</v>
      </c>
      <c r="J1189" s="16">
        <v>32</v>
      </c>
      <c r="K1189" s="16">
        <v>4</v>
      </c>
      <c r="L1189" s="16" t="s">
        <v>5006</v>
      </c>
    </row>
    <row r="1190" spans="1:12" x14ac:dyDescent="0.4">
      <c r="A1190" s="16" t="s">
        <v>307</v>
      </c>
      <c r="B1190" s="16">
        <v>19</v>
      </c>
      <c r="C1190" s="16" t="s">
        <v>691</v>
      </c>
      <c r="D1190" s="16" t="s">
        <v>5007</v>
      </c>
      <c r="E1190" s="16" t="s">
        <v>5008</v>
      </c>
      <c r="F1190" s="16" t="s">
        <v>5009</v>
      </c>
      <c r="G1190" s="17">
        <v>34608</v>
      </c>
      <c r="H1190" s="16" t="s">
        <v>5010</v>
      </c>
      <c r="I1190" s="16">
        <v>182</v>
      </c>
      <c r="J1190" s="16">
        <v>10</v>
      </c>
      <c r="K1190" s="16">
        <v>3</v>
      </c>
      <c r="L1190" s="16" t="s">
        <v>5011</v>
      </c>
    </row>
    <row r="1191" spans="1:12" x14ac:dyDescent="0.4">
      <c r="A1191" s="16" t="s">
        <v>307</v>
      </c>
      <c r="B1191" s="16">
        <v>20</v>
      </c>
      <c r="C1191" s="16" t="s">
        <v>686</v>
      </c>
      <c r="D1191" s="16" t="s">
        <v>5012</v>
      </c>
      <c r="E1191" s="16" t="s">
        <v>5013</v>
      </c>
      <c r="F1191" s="16" t="s">
        <v>5014</v>
      </c>
      <c r="G1191" s="17">
        <v>36571</v>
      </c>
      <c r="H1191" s="16" t="s">
        <v>970</v>
      </c>
      <c r="I1191" s="16">
        <v>176</v>
      </c>
      <c r="J1191" s="16">
        <v>28</v>
      </c>
      <c r="K1191" s="16">
        <v>3</v>
      </c>
      <c r="L1191" s="16" t="s">
        <v>5015</v>
      </c>
    </row>
    <row r="1192" spans="1:12" x14ac:dyDescent="0.4">
      <c r="A1192" s="16" t="s">
        <v>307</v>
      </c>
      <c r="B1192" s="16">
        <v>21</v>
      </c>
      <c r="C1192" s="16" t="s">
        <v>691</v>
      </c>
      <c r="D1192" s="16" t="s">
        <v>5016</v>
      </c>
      <c r="E1192" s="16" t="s">
        <v>5017</v>
      </c>
      <c r="F1192" s="16" t="s">
        <v>5018</v>
      </c>
      <c r="G1192" s="17">
        <v>35976</v>
      </c>
      <c r="H1192" s="16" t="s">
        <v>2281</v>
      </c>
      <c r="I1192" s="16">
        <v>181</v>
      </c>
      <c r="J1192" s="16">
        <v>11</v>
      </c>
      <c r="K1192" s="16">
        <v>2</v>
      </c>
      <c r="L1192" s="16" t="s">
        <v>5019</v>
      </c>
    </row>
    <row r="1193" spans="1:12" x14ac:dyDescent="0.4">
      <c r="A1193" s="16" t="s">
        <v>307</v>
      </c>
      <c r="B1193" s="16">
        <v>22</v>
      </c>
      <c r="C1193" s="16" t="s">
        <v>686</v>
      </c>
      <c r="D1193" s="16" t="s">
        <v>5020</v>
      </c>
      <c r="E1193" s="16" t="s">
        <v>5021</v>
      </c>
      <c r="F1193" s="16" t="s">
        <v>5022</v>
      </c>
      <c r="G1193" s="17">
        <v>36031</v>
      </c>
      <c r="H1193" s="16" t="s">
        <v>1543</v>
      </c>
      <c r="I1193" s="16">
        <v>185</v>
      </c>
      <c r="J1193" s="16">
        <v>19</v>
      </c>
      <c r="K1193" s="16">
        <v>0</v>
      </c>
      <c r="L1193" s="16" t="s">
        <v>5023</v>
      </c>
    </row>
    <row r="1194" spans="1:12" x14ac:dyDescent="0.4">
      <c r="A1194" s="16" t="s">
        <v>307</v>
      </c>
      <c r="B1194" s="16">
        <v>23</v>
      </c>
      <c r="C1194" s="16" t="s">
        <v>664</v>
      </c>
      <c r="D1194" s="16" t="s">
        <v>5024</v>
      </c>
      <c r="E1194" s="16" t="s">
        <v>5025</v>
      </c>
      <c r="F1194" s="16" t="s">
        <v>5026</v>
      </c>
      <c r="G1194" s="17">
        <v>31579</v>
      </c>
      <c r="H1194" s="16" t="s">
        <v>5027</v>
      </c>
      <c r="I1194" s="16">
        <v>190</v>
      </c>
      <c r="J1194" s="16">
        <v>134</v>
      </c>
      <c r="K1194" s="16">
        <v>0</v>
      </c>
      <c r="L1194" s="16" t="s">
        <v>5028</v>
      </c>
    </row>
    <row r="1195" spans="1:12" x14ac:dyDescent="0.4">
      <c r="A1195" s="16" t="s">
        <v>307</v>
      </c>
      <c r="B1195" s="16">
        <v>24</v>
      </c>
      <c r="C1195" s="16" t="s">
        <v>669</v>
      </c>
      <c r="D1195" s="16" t="s">
        <v>5029</v>
      </c>
      <c r="E1195" s="16" t="s">
        <v>5030</v>
      </c>
      <c r="F1195" s="16" t="s">
        <v>5031</v>
      </c>
      <c r="G1195" s="17">
        <v>36108</v>
      </c>
      <c r="H1195" s="16" t="s">
        <v>2068</v>
      </c>
      <c r="I1195" s="16">
        <v>191</v>
      </c>
      <c r="J1195" s="16">
        <v>8</v>
      </c>
      <c r="K1195" s="16">
        <v>0</v>
      </c>
      <c r="L1195" s="16" t="s">
        <v>5032</v>
      </c>
    </row>
    <row r="1196" spans="1:12" x14ac:dyDescent="0.4">
      <c r="A1196" s="16" t="s">
        <v>307</v>
      </c>
      <c r="B1196" s="16">
        <v>25</v>
      </c>
      <c r="C1196" s="16" t="s">
        <v>686</v>
      </c>
      <c r="D1196" s="16" t="s">
        <v>5033</v>
      </c>
      <c r="E1196" s="16" t="s">
        <v>5034</v>
      </c>
      <c r="F1196" s="16" t="s">
        <v>5035</v>
      </c>
      <c r="G1196" s="17">
        <v>36614</v>
      </c>
      <c r="H1196" s="16" t="s">
        <v>5036</v>
      </c>
      <c r="I1196" s="16">
        <v>170</v>
      </c>
      <c r="J1196" s="16">
        <v>5</v>
      </c>
      <c r="K1196" s="16">
        <v>1</v>
      </c>
      <c r="L1196" s="16" t="s">
        <v>5037</v>
      </c>
    </row>
    <row r="1197" spans="1:12" x14ac:dyDescent="0.4">
      <c r="A1197" s="16" t="s">
        <v>307</v>
      </c>
      <c r="B1197" s="16">
        <v>26</v>
      </c>
      <c r="C1197" s="16" t="s">
        <v>686</v>
      </c>
      <c r="D1197" s="16" t="s">
        <v>5038</v>
      </c>
      <c r="E1197" s="16" t="s">
        <v>5039</v>
      </c>
      <c r="F1197" s="16" t="s">
        <v>5040</v>
      </c>
      <c r="G1197" s="17">
        <v>36384</v>
      </c>
      <c r="H1197" s="16" t="s">
        <v>905</v>
      </c>
      <c r="I1197" s="16">
        <v>175</v>
      </c>
      <c r="J1197" s="16">
        <v>8</v>
      </c>
      <c r="K1197" s="16">
        <v>2</v>
      </c>
      <c r="L1197" s="16" t="s">
        <v>5041</v>
      </c>
    </row>
    <row r="1198" spans="1:12" x14ac:dyDescent="0.4">
      <c r="A1198" s="16" t="s">
        <v>8</v>
      </c>
      <c r="B1198" s="16">
        <v>1</v>
      </c>
      <c r="C1198" s="16" t="s">
        <v>664</v>
      </c>
      <c r="D1198" s="16" t="s">
        <v>5042</v>
      </c>
      <c r="E1198" s="16" t="s">
        <v>5043</v>
      </c>
      <c r="F1198" s="16" t="s">
        <v>5044</v>
      </c>
      <c r="G1198" s="17">
        <v>34509</v>
      </c>
      <c r="H1198" s="16" t="s">
        <v>5045</v>
      </c>
      <c r="I1198" s="16">
        <v>190</v>
      </c>
      <c r="J1198" s="16">
        <v>54</v>
      </c>
      <c r="K1198" s="16">
        <v>0</v>
      </c>
      <c r="L1198" s="16" t="s">
        <v>5044</v>
      </c>
    </row>
    <row r="1199" spans="1:12" x14ac:dyDescent="0.4">
      <c r="A1199" s="16" t="s">
        <v>8</v>
      </c>
      <c r="B1199" s="16">
        <v>2</v>
      </c>
      <c r="C1199" s="16" t="s">
        <v>669</v>
      </c>
      <c r="D1199" s="16" t="s">
        <v>5046</v>
      </c>
      <c r="E1199" s="16" t="s">
        <v>5047</v>
      </c>
      <c r="F1199" s="16" t="s">
        <v>5048</v>
      </c>
      <c r="G1199" s="17">
        <v>36833</v>
      </c>
      <c r="H1199" s="16" t="s">
        <v>956</v>
      </c>
      <c r="I1199" s="16">
        <v>173</v>
      </c>
      <c r="J1199" s="16">
        <v>39</v>
      </c>
      <c r="K1199" s="16">
        <v>3</v>
      </c>
      <c r="L1199" s="16" t="s">
        <v>5048</v>
      </c>
    </row>
    <row r="1200" spans="1:12" x14ac:dyDescent="0.4">
      <c r="A1200" s="16" t="s">
        <v>8</v>
      </c>
      <c r="B1200" s="16">
        <v>3</v>
      </c>
      <c r="C1200" s="16" t="s">
        <v>669</v>
      </c>
      <c r="D1200" s="16" t="s">
        <v>5049</v>
      </c>
      <c r="E1200" s="16" t="s">
        <v>5050</v>
      </c>
      <c r="F1200" s="16" t="s">
        <v>5051</v>
      </c>
      <c r="G1200" s="17">
        <v>36613</v>
      </c>
      <c r="H1200" s="16" t="s">
        <v>1570</v>
      </c>
      <c r="I1200" s="16">
        <v>189</v>
      </c>
      <c r="J1200" s="16">
        <v>36</v>
      </c>
      <c r="K1200" s="16">
        <v>3</v>
      </c>
      <c r="L1200" s="16" t="s">
        <v>5051</v>
      </c>
    </row>
    <row r="1201" spans="1:12" x14ac:dyDescent="0.4">
      <c r="A1201" s="16" t="s">
        <v>8</v>
      </c>
      <c r="B1201" s="16">
        <v>4</v>
      </c>
      <c r="C1201" s="16" t="s">
        <v>686</v>
      </c>
      <c r="D1201" s="16" t="s">
        <v>5052</v>
      </c>
      <c r="E1201" s="16" t="s">
        <v>5053</v>
      </c>
      <c r="F1201" s="16" t="s">
        <v>4277</v>
      </c>
      <c r="G1201" s="17">
        <v>36205</v>
      </c>
      <c r="H1201" s="16" t="s">
        <v>1252</v>
      </c>
      <c r="I1201" s="16">
        <v>175</v>
      </c>
      <c r="J1201" s="16">
        <v>54</v>
      </c>
      <c r="K1201" s="16">
        <v>2</v>
      </c>
      <c r="L1201" s="16" t="s">
        <v>4277</v>
      </c>
    </row>
    <row r="1202" spans="1:12" x14ac:dyDescent="0.4">
      <c r="A1202" s="16" t="s">
        <v>8</v>
      </c>
      <c r="B1202" s="16">
        <v>5</v>
      </c>
      <c r="C1202" s="16" t="s">
        <v>669</v>
      </c>
      <c r="D1202" s="16" t="s">
        <v>5054</v>
      </c>
      <c r="E1202" s="16" t="s">
        <v>5055</v>
      </c>
      <c r="F1202" s="16" t="s">
        <v>5056</v>
      </c>
      <c r="G1202" s="17">
        <v>35650</v>
      </c>
      <c r="H1202" s="16" t="s">
        <v>1041</v>
      </c>
      <c r="I1202" s="16">
        <v>183</v>
      </c>
      <c r="J1202" s="16">
        <v>54</v>
      </c>
      <c r="K1202" s="16">
        <v>5</v>
      </c>
      <c r="L1202" s="16" t="s">
        <v>5057</v>
      </c>
    </row>
    <row r="1203" spans="1:12" x14ac:dyDescent="0.4">
      <c r="A1203" s="16" t="s">
        <v>8</v>
      </c>
      <c r="B1203" s="16">
        <v>6</v>
      </c>
      <c r="C1203" s="16" t="s">
        <v>669</v>
      </c>
      <c r="D1203" s="16" t="s">
        <v>5058</v>
      </c>
      <c r="E1203" s="16" t="s">
        <v>5059</v>
      </c>
      <c r="F1203" s="16" t="s">
        <v>5060</v>
      </c>
      <c r="G1203" s="17">
        <v>36019</v>
      </c>
      <c r="H1203" s="16" t="s">
        <v>1382</v>
      </c>
      <c r="I1203" s="16">
        <v>190</v>
      </c>
      <c r="J1203" s="16">
        <v>8</v>
      </c>
      <c r="K1203" s="16">
        <v>0</v>
      </c>
      <c r="L1203" s="16" t="s">
        <v>5060</v>
      </c>
    </row>
    <row r="1204" spans="1:12" x14ac:dyDescent="0.4">
      <c r="A1204" s="16" t="s">
        <v>8</v>
      </c>
      <c r="B1204" s="16">
        <v>7</v>
      </c>
      <c r="C1204" s="16" t="s">
        <v>686</v>
      </c>
      <c r="D1204" s="16" t="s">
        <v>5061</v>
      </c>
      <c r="E1204" s="16" t="s">
        <v>5062</v>
      </c>
      <c r="F1204" s="16" t="s">
        <v>5063</v>
      </c>
      <c r="G1204" s="17">
        <v>37573</v>
      </c>
      <c r="H1204" s="16" t="s">
        <v>1137</v>
      </c>
      <c r="I1204" s="16">
        <v>187</v>
      </c>
      <c r="J1204" s="16">
        <v>38</v>
      </c>
      <c r="K1204" s="16">
        <v>9</v>
      </c>
      <c r="L1204" s="16" t="s">
        <v>5063</v>
      </c>
    </row>
    <row r="1205" spans="1:12" x14ac:dyDescent="0.4">
      <c r="A1205" s="16" t="s">
        <v>8</v>
      </c>
      <c r="B1205" s="16">
        <v>8</v>
      </c>
      <c r="C1205" s="16" t="s">
        <v>686</v>
      </c>
      <c r="D1205" s="16" t="s">
        <v>5064</v>
      </c>
      <c r="E1205" s="16" t="s">
        <v>5065</v>
      </c>
      <c r="F1205" s="16" t="s">
        <v>5066</v>
      </c>
      <c r="G1205" s="17">
        <v>36035</v>
      </c>
      <c r="H1205" s="16" t="s">
        <v>1204</v>
      </c>
      <c r="I1205" s="16">
        <v>180</v>
      </c>
      <c r="J1205" s="16">
        <v>66</v>
      </c>
      <c r="K1205" s="16">
        <v>12</v>
      </c>
      <c r="L1205" s="16" t="s">
        <v>5067</v>
      </c>
    </row>
    <row r="1206" spans="1:12" x14ac:dyDescent="0.4">
      <c r="A1206" s="16" t="s">
        <v>8</v>
      </c>
      <c r="B1206" s="16">
        <v>9</v>
      </c>
      <c r="C1206" s="16" t="s">
        <v>691</v>
      </c>
      <c r="D1206" s="16" t="s">
        <v>5068</v>
      </c>
      <c r="E1206" s="16" t="s">
        <v>5069</v>
      </c>
      <c r="F1206" s="16" t="s">
        <v>5070</v>
      </c>
      <c r="G1206" s="17">
        <v>37630</v>
      </c>
      <c r="H1206" s="16" t="s">
        <v>956</v>
      </c>
      <c r="I1206" s="16">
        <v>185</v>
      </c>
      <c r="J1206" s="16">
        <v>37</v>
      </c>
      <c r="K1206" s="16">
        <v>13</v>
      </c>
      <c r="L1206" s="16" t="s">
        <v>5070</v>
      </c>
    </row>
    <row r="1207" spans="1:12" x14ac:dyDescent="0.4">
      <c r="A1207" s="16" t="s">
        <v>8</v>
      </c>
      <c r="B1207" s="16">
        <v>10</v>
      </c>
      <c r="C1207" s="16" t="s">
        <v>691</v>
      </c>
      <c r="D1207" s="16" t="s">
        <v>5071</v>
      </c>
      <c r="E1207" s="16" t="s">
        <v>5072</v>
      </c>
      <c r="F1207" s="16" t="s">
        <v>5073</v>
      </c>
      <c r="G1207" s="17">
        <v>36056</v>
      </c>
      <c r="H1207" s="16" t="s">
        <v>1023</v>
      </c>
      <c r="I1207" s="16">
        <v>177</v>
      </c>
      <c r="J1207" s="16">
        <v>86</v>
      </c>
      <c r="K1207" s="16">
        <v>33</v>
      </c>
      <c r="L1207" s="16" t="s">
        <v>5073</v>
      </c>
    </row>
    <row r="1208" spans="1:12" x14ac:dyDescent="0.4">
      <c r="A1208" s="16" t="s">
        <v>8</v>
      </c>
      <c r="B1208" s="16">
        <v>11</v>
      </c>
      <c r="C1208" s="16" t="s">
        <v>691</v>
      </c>
      <c r="D1208" s="16" t="s">
        <v>5074</v>
      </c>
      <c r="E1208" s="16" t="s">
        <v>5075</v>
      </c>
      <c r="F1208" s="16" t="s">
        <v>5076</v>
      </c>
      <c r="G1208" s="17">
        <v>36821</v>
      </c>
      <c r="H1208" s="16" t="s">
        <v>3014</v>
      </c>
      <c r="I1208" s="16">
        <v>177</v>
      </c>
      <c r="J1208" s="16">
        <v>58</v>
      </c>
      <c r="K1208" s="16">
        <v>9</v>
      </c>
      <c r="L1208" s="16" t="s">
        <v>5076</v>
      </c>
    </row>
    <row r="1209" spans="1:12" x14ac:dyDescent="0.4">
      <c r="A1209" s="16" t="s">
        <v>8</v>
      </c>
      <c r="B1209" s="16">
        <v>12</v>
      </c>
      <c r="C1209" s="16" t="s">
        <v>669</v>
      </c>
      <c r="D1209" s="16" t="s">
        <v>5077</v>
      </c>
      <c r="E1209" s="16" t="s">
        <v>5078</v>
      </c>
      <c r="F1209" s="16" t="s">
        <v>5079</v>
      </c>
      <c r="G1209" s="17">
        <v>35503</v>
      </c>
      <c r="H1209" s="16" t="s">
        <v>5080</v>
      </c>
      <c r="I1209" s="16">
        <v>187</v>
      </c>
      <c r="J1209" s="16">
        <v>40</v>
      </c>
      <c r="K1209" s="16">
        <v>3</v>
      </c>
      <c r="L1209" s="16" t="s">
        <v>5057</v>
      </c>
    </row>
    <row r="1210" spans="1:12" x14ac:dyDescent="0.4">
      <c r="A1210" s="16" t="s">
        <v>8</v>
      </c>
      <c r="B1210" s="16">
        <v>13</v>
      </c>
      <c r="C1210" s="16" t="s">
        <v>669</v>
      </c>
      <c r="D1210" s="16" t="s">
        <v>5081</v>
      </c>
      <c r="E1210" s="16" t="s">
        <v>5082</v>
      </c>
      <c r="F1210" s="16" t="s">
        <v>5083</v>
      </c>
      <c r="G1210" s="17">
        <v>32055</v>
      </c>
      <c r="H1210" s="16" t="s">
        <v>5084</v>
      </c>
      <c r="I1210" s="16">
        <v>186</v>
      </c>
      <c r="J1210" s="16">
        <v>82</v>
      </c>
      <c r="K1210" s="16">
        <v>1</v>
      </c>
      <c r="L1210" s="16" t="s">
        <v>5083</v>
      </c>
    </row>
    <row r="1211" spans="1:12" x14ac:dyDescent="0.4">
      <c r="A1211" s="16" t="s">
        <v>8</v>
      </c>
      <c r="B1211" s="16">
        <v>14</v>
      </c>
      <c r="C1211" s="16" t="s">
        <v>686</v>
      </c>
      <c r="D1211" s="16" t="s">
        <v>5085</v>
      </c>
      <c r="E1211" s="16" t="s">
        <v>5086</v>
      </c>
      <c r="F1211" s="16" t="s">
        <v>5087</v>
      </c>
      <c r="G1211" s="17">
        <v>37021</v>
      </c>
      <c r="H1211" s="16" t="s">
        <v>3905</v>
      </c>
      <c r="I1211" s="16">
        <v>175</v>
      </c>
      <c r="J1211" s="16">
        <v>13</v>
      </c>
      <c r="K1211" s="16">
        <v>1</v>
      </c>
      <c r="L1211" s="16" t="s">
        <v>5087</v>
      </c>
    </row>
    <row r="1212" spans="1:12" x14ac:dyDescent="0.4">
      <c r="A1212" s="16" t="s">
        <v>8</v>
      </c>
      <c r="B1212" s="16">
        <v>15</v>
      </c>
      <c r="C1212" s="16" t="s">
        <v>686</v>
      </c>
      <c r="D1212" s="16" t="s">
        <v>5088</v>
      </c>
      <c r="E1212" s="16" t="s">
        <v>842</v>
      </c>
      <c r="F1212" s="16" t="s">
        <v>5089</v>
      </c>
      <c r="G1212" s="17">
        <v>34853</v>
      </c>
      <c r="H1212" s="16" t="s">
        <v>5090</v>
      </c>
      <c r="I1212" s="16">
        <v>173</v>
      </c>
      <c r="J1212" s="16">
        <v>47</v>
      </c>
      <c r="K1212" s="16">
        <v>0</v>
      </c>
      <c r="L1212" s="16" t="s">
        <v>5089</v>
      </c>
    </row>
    <row r="1213" spans="1:12" x14ac:dyDescent="0.4">
      <c r="A1213" s="16" t="s">
        <v>8</v>
      </c>
      <c r="B1213" s="16">
        <v>16</v>
      </c>
      <c r="C1213" s="16" t="s">
        <v>669</v>
      </c>
      <c r="D1213" s="16" t="s">
        <v>5091</v>
      </c>
      <c r="E1213" s="16" t="s">
        <v>5092</v>
      </c>
      <c r="F1213" s="16" t="s">
        <v>5093</v>
      </c>
      <c r="G1213" s="17">
        <v>38208</v>
      </c>
      <c r="H1213" s="16" t="s">
        <v>1274</v>
      </c>
      <c r="I1213" s="16">
        <v>188</v>
      </c>
      <c r="J1213" s="16">
        <v>17</v>
      </c>
      <c r="K1213" s="16">
        <v>2</v>
      </c>
      <c r="L1213" s="16" t="s">
        <v>5093</v>
      </c>
    </row>
    <row r="1214" spans="1:12" x14ac:dyDescent="0.4">
      <c r="A1214" s="16" t="s">
        <v>8</v>
      </c>
      <c r="B1214" s="16">
        <v>17</v>
      </c>
      <c r="C1214" s="16" t="s">
        <v>686</v>
      </c>
      <c r="D1214" s="16" t="s">
        <v>5094</v>
      </c>
      <c r="E1214" s="16" t="s">
        <v>5095</v>
      </c>
      <c r="F1214" s="16" t="s">
        <v>5096</v>
      </c>
      <c r="G1214" s="17">
        <v>37404</v>
      </c>
      <c r="H1214" s="16" t="s">
        <v>753</v>
      </c>
      <c r="I1214" s="16">
        <v>187</v>
      </c>
      <c r="J1214" s="16">
        <v>30</v>
      </c>
      <c r="K1214" s="16">
        <v>3</v>
      </c>
      <c r="L1214" s="16" t="s">
        <v>5096</v>
      </c>
    </row>
    <row r="1215" spans="1:12" x14ac:dyDescent="0.4">
      <c r="A1215" s="16" t="s">
        <v>8</v>
      </c>
      <c r="B1215" s="16">
        <v>18</v>
      </c>
      <c r="C1215" s="16" t="s">
        <v>669</v>
      </c>
      <c r="D1215" s="16" t="s">
        <v>5097</v>
      </c>
      <c r="E1215" s="16" t="s">
        <v>5098</v>
      </c>
      <c r="F1215" s="16" t="s">
        <v>5099</v>
      </c>
      <c r="G1215" s="17">
        <v>37000</v>
      </c>
      <c r="H1215" s="16" t="s">
        <v>1354</v>
      </c>
      <c r="I1215" s="16">
        <v>185</v>
      </c>
      <c r="J1215" s="16">
        <v>20</v>
      </c>
      <c r="K1215" s="16">
        <v>1</v>
      </c>
      <c r="L1215" s="16" t="s">
        <v>5099</v>
      </c>
    </row>
    <row r="1216" spans="1:12" x14ac:dyDescent="0.4">
      <c r="A1216" s="16" t="s">
        <v>8</v>
      </c>
      <c r="B1216" s="16">
        <v>19</v>
      </c>
      <c r="C1216" s="16" t="s">
        <v>691</v>
      </c>
      <c r="D1216" s="16" t="s">
        <v>5100</v>
      </c>
      <c r="E1216" s="16" t="s">
        <v>5101</v>
      </c>
      <c r="F1216" s="16" t="s">
        <v>5102</v>
      </c>
      <c r="G1216" s="17">
        <v>35881</v>
      </c>
      <c r="H1216" s="16" t="s">
        <v>2609</v>
      </c>
      <c r="I1216" s="16">
        <v>191</v>
      </c>
      <c r="J1216" s="16">
        <v>20</v>
      </c>
      <c r="K1216" s="16">
        <v>7</v>
      </c>
      <c r="L1216" s="16" t="s">
        <v>5102</v>
      </c>
    </row>
    <row r="1217" spans="1:12" x14ac:dyDescent="0.4">
      <c r="A1217" s="16" t="s">
        <v>8</v>
      </c>
      <c r="B1217" s="16">
        <v>20</v>
      </c>
      <c r="C1217" s="16" t="s">
        <v>691</v>
      </c>
      <c r="D1217" s="16" t="s">
        <v>5103</v>
      </c>
      <c r="E1217" s="16" t="s">
        <v>5104</v>
      </c>
      <c r="F1217" s="16" t="s">
        <v>5105</v>
      </c>
      <c r="G1217" s="17">
        <v>37075</v>
      </c>
      <c r="H1217" s="16" t="s">
        <v>1820</v>
      </c>
      <c r="I1217" s="16">
        <v>179</v>
      </c>
      <c r="J1217" s="16">
        <v>27</v>
      </c>
      <c r="K1217" s="16">
        <v>9</v>
      </c>
      <c r="L1217" s="16" t="s">
        <v>5105</v>
      </c>
    </row>
    <row r="1218" spans="1:12" x14ac:dyDescent="0.4">
      <c r="A1218" s="16" t="s">
        <v>8</v>
      </c>
      <c r="B1218" s="16">
        <v>21</v>
      </c>
      <c r="C1218" s="16" t="s">
        <v>691</v>
      </c>
      <c r="D1218" s="16" t="s">
        <v>5106</v>
      </c>
      <c r="E1218" s="16" t="s">
        <v>5107</v>
      </c>
      <c r="F1218" s="16" t="s">
        <v>5108</v>
      </c>
      <c r="G1218" s="17">
        <v>36578</v>
      </c>
      <c r="H1218" s="16" t="s">
        <v>703</v>
      </c>
      <c r="I1218" s="16">
        <v>183</v>
      </c>
      <c r="J1218" s="16">
        <v>51</v>
      </c>
      <c r="K1218" s="16">
        <v>7</v>
      </c>
      <c r="L1218" s="16" t="s">
        <v>5108</v>
      </c>
    </row>
    <row r="1219" spans="1:12" x14ac:dyDescent="0.4">
      <c r="A1219" s="16" t="s">
        <v>8</v>
      </c>
      <c r="B1219" s="16">
        <v>22</v>
      </c>
      <c r="C1219" s="16" t="s">
        <v>669</v>
      </c>
      <c r="D1219" s="16" t="s">
        <v>5109</v>
      </c>
      <c r="E1219" s="16" t="s">
        <v>5110</v>
      </c>
      <c r="F1219" s="16" t="s">
        <v>5111</v>
      </c>
      <c r="G1219" s="17">
        <v>36216</v>
      </c>
      <c r="H1219" s="16" t="s">
        <v>5112</v>
      </c>
      <c r="I1219" s="16">
        <v>186</v>
      </c>
      <c r="J1219" s="16">
        <v>29</v>
      </c>
      <c r="K1219" s="16">
        <v>0</v>
      </c>
      <c r="L1219" s="16" t="s">
        <v>5111</v>
      </c>
    </row>
    <row r="1220" spans="1:12" x14ac:dyDescent="0.4">
      <c r="A1220" s="16" t="s">
        <v>8</v>
      </c>
      <c r="B1220" s="16">
        <v>23</v>
      </c>
      <c r="C1220" s="16" t="s">
        <v>669</v>
      </c>
      <c r="D1220" s="16" t="s">
        <v>5113</v>
      </c>
      <c r="E1220" s="16" t="s">
        <v>5114</v>
      </c>
      <c r="F1220" s="16" t="s">
        <v>5115</v>
      </c>
      <c r="G1220" s="17">
        <v>37621</v>
      </c>
      <c r="H1220" s="16" t="s">
        <v>1137</v>
      </c>
      <c r="I1220" s="16">
        <v>184</v>
      </c>
      <c r="J1220" s="16">
        <v>26</v>
      </c>
      <c r="K1220" s="16">
        <v>0</v>
      </c>
      <c r="L1220" s="16" t="s">
        <v>5115</v>
      </c>
    </row>
    <row r="1221" spans="1:12" x14ac:dyDescent="0.4">
      <c r="A1221" s="16" t="s">
        <v>8</v>
      </c>
      <c r="B1221" s="16">
        <v>24</v>
      </c>
      <c r="C1221" s="16" t="s">
        <v>664</v>
      </c>
      <c r="D1221" s="16" t="s">
        <v>5116</v>
      </c>
      <c r="E1221" s="16" t="s">
        <v>5117</v>
      </c>
      <c r="F1221" s="16" t="s">
        <v>5118</v>
      </c>
      <c r="G1221" s="17">
        <v>36040</v>
      </c>
      <c r="H1221" s="16" t="s">
        <v>819</v>
      </c>
      <c r="I1221" s="16">
        <v>198</v>
      </c>
      <c r="J1221" s="16">
        <v>15</v>
      </c>
      <c r="K1221" s="16">
        <v>0</v>
      </c>
      <c r="L1221" s="16" t="s">
        <v>5118</v>
      </c>
    </row>
    <row r="1222" spans="1:12" x14ac:dyDescent="0.4">
      <c r="A1222" s="16" t="s">
        <v>8</v>
      </c>
      <c r="B1222" s="16">
        <v>25</v>
      </c>
      <c r="C1222" s="16" t="s">
        <v>664</v>
      </c>
      <c r="D1222" s="16" t="s">
        <v>5119</v>
      </c>
      <c r="E1222" s="16" t="s">
        <v>5120</v>
      </c>
      <c r="F1222" s="16" t="s">
        <v>5121</v>
      </c>
      <c r="G1222" s="17">
        <v>38049</v>
      </c>
      <c r="H1222" s="16" t="s">
        <v>1395</v>
      </c>
      <c r="I1222" s="16">
        <v>193</v>
      </c>
      <c r="J1222" s="16">
        <v>1</v>
      </c>
      <c r="K1222" s="16">
        <v>0</v>
      </c>
      <c r="L1222" s="16" t="s">
        <v>5121</v>
      </c>
    </row>
    <row r="1223" spans="1:12" x14ac:dyDescent="0.4">
      <c r="A1223" s="16" t="s">
        <v>8</v>
      </c>
      <c r="B1223" s="16">
        <v>26</v>
      </c>
      <c r="C1223" s="16" t="s">
        <v>691</v>
      </c>
      <c r="D1223" s="16" t="s">
        <v>5122</v>
      </c>
      <c r="E1223" s="16" t="s">
        <v>4506</v>
      </c>
      <c r="F1223" s="16" t="s">
        <v>5123</v>
      </c>
      <c r="G1223" s="17">
        <v>35833</v>
      </c>
      <c r="H1223" s="16" t="s">
        <v>3341</v>
      </c>
      <c r="I1223" s="16">
        <v>167</v>
      </c>
      <c r="J1223" s="16">
        <v>14</v>
      </c>
      <c r="K1223" s="16">
        <v>2</v>
      </c>
      <c r="L1223" s="16" t="s">
        <v>5124</v>
      </c>
    </row>
    <row r="1224" spans="1:12" x14ac:dyDescent="0.4">
      <c r="A1224" s="16" t="s">
        <v>302</v>
      </c>
      <c r="B1224" s="16">
        <v>1</v>
      </c>
      <c r="C1224" s="16" t="s">
        <v>664</v>
      </c>
      <c r="D1224" s="16" t="s">
        <v>5125</v>
      </c>
      <c r="E1224" s="16" t="s">
        <v>5126</v>
      </c>
      <c r="F1224" s="16" t="s">
        <v>5127</v>
      </c>
      <c r="G1224" s="17">
        <v>33242</v>
      </c>
      <c r="H1224" s="16" t="s">
        <v>5128</v>
      </c>
      <c r="I1224" s="16">
        <v>185</v>
      </c>
      <c r="J1224" s="16">
        <v>40</v>
      </c>
      <c r="K1224" s="16">
        <v>0</v>
      </c>
      <c r="L1224" s="16" t="s">
        <v>5127</v>
      </c>
    </row>
    <row r="1225" spans="1:12" x14ac:dyDescent="0.4">
      <c r="A1225" s="16" t="s">
        <v>302</v>
      </c>
      <c r="B1225" s="16">
        <v>2</v>
      </c>
      <c r="C1225" s="16" t="s">
        <v>669</v>
      </c>
      <c r="D1225" s="16" t="s">
        <v>5129</v>
      </c>
      <c r="E1225" s="16" t="s">
        <v>5130</v>
      </c>
      <c r="F1225" s="16" t="s">
        <v>5131</v>
      </c>
      <c r="G1225" s="17">
        <v>38046</v>
      </c>
      <c r="H1225" s="16" t="s">
        <v>727</v>
      </c>
      <c r="I1225" s="16">
        <v>186</v>
      </c>
      <c r="J1225" s="16">
        <v>27</v>
      </c>
      <c r="K1225" s="16">
        <v>0</v>
      </c>
      <c r="L1225" s="16" t="s">
        <v>5131</v>
      </c>
    </row>
    <row r="1226" spans="1:12" x14ac:dyDescent="0.4">
      <c r="A1226" s="16" t="s">
        <v>302</v>
      </c>
      <c r="B1226" s="16">
        <v>3</v>
      </c>
      <c r="C1226" s="16" t="s">
        <v>669</v>
      </c>
      <c r="D1226" s="16" t="s">
        <v>5132</v>
      </c>
      <c r="E1226" s="16" t="s">
        <v>5133</v>
      </c>
      <c r="F1226" s="16" t="s">
        <v>5134</v>
      </c>
      <c r="G1226" s="17">
        <v>35539</v>
      </c>
      <c r="H1226" s="16" t="s">
        <v>2892</v>
      </c>
      <c r="I1226" s="16">
        <v>180</v>
      </c>
      <c r="J1226" s="16">
        <v>40</v>
      </c>
      <c r="K1226" s="16">
        <v>2</v>
      </c>
      <c r="L1226" s="16" t="s">
        <v>5134</v>
      </c>
    </row>
    <row r="1227" spans="1:12" x14ac:dyDescent="0.4">
      <c r="A1227" s="16" t="s">
        <v>302</v>
      </c>
      <c r="B1227" s="16">
        <v>4</v>
      </c>
      <c r="C1227" s="16" t="s">
        <v>669</v>
      </c>
      <c r="D1227" s="16" t="s">
        <v>5135</v>
      </c>
      <c r="E1227" s="16" t="s">
        <v>5136</v>
      </c>
      <c r="F1227" s="16" t="s">
        <v>5137</v>
      </c>
      <c r="G1227" s="17">
        <v>33255</v>
      </c>
      <c r="H1227" s="16" t="s">
        <v>5138</v>
      </c>
      <c r="I1227" s="16">
        <v>183</v>
      </c>
      <c r="J1227" s="16">
        <v>46</v>
      </c>
      <c r="K1227" s="16">
        <v>1</v>
      </c>
      <c r="L1227" s="16" t="s">
        <v>5137</v>
      </c>
    </row>
    <row r="1228" spans="1:12" x14ac:dyDescent="0.4">
      <c r="A1228" s="16" t="s">
        <v>302</v>
      </c>
      <c r="B1228" s="16">
        <v>5</v>
      </c>
      <c r="C1228" s="16" t="s">
        <v>669</v>
      </c>
      <c r="D1228" s="16" t="s">
        <v>5139</v>
      </c>
      <c r="E1228" s="16" t="s">
        <v>5140</v>
      </c>
      <c r="F1228" s="16" t="s">
        <v>5141</v>
      </c>
      <c r="G1228" s="17">
        <v>35253</v>
      </c>
      <c r="H1228" s="16" t="s">
        <v>2704</v>
      </c>
      <c r="I1228" s="16">
        <v>186</v>
      </c>
      <c r="J1228" s="16">
        <v>49</v>
      </c>
      <c r="K1228" s="16">
        <v>1</v>
      </c>
      <c r="L1228" s="16" t="s">
        <v>5141</v>
      </c>
    </row>
    <row r="1229" spans="1:12" x14ac:dyDescent="0.4">
      <c r="A1229" s="16" t="s">
        <v>302</v>
      </c>
      <c r="B1229" s="16">
        <v>6</v>
      </c>
      <c r="C1229" s="16" t="s">
        <v>686</v>
      </c>
      <c r="D1229" s="16" t="s">
        <v>5142</v>
      </c>
      <c r="E1229" s="16" t="s">
        <v>5143</v>
      </c>
      <c r="F1229" s="16" t="s">
        <v>5144</v>
      </c>
      <c r="G1229" s="17">
        <v>36252</v>
      </c>
      <c r="H1229" s="16" t="s">
        <v>2892</v>
      </c>
      <c r="I1229" s="16">
        <v>180</v>
      </c>
      <c r="J1229" s="16">
        <v>25</v>
      </c>
      <c r="K1229" s="16">
        <v>1</v>
      </c>
      <c r="L1229" s="16" t="s">
        <v>5144</v>
      </c>
    </row>
    <row r="1230" spans="1:12" x14ac:dyDescent="0.4">
      <c r="A1230" s="16" t="s">
        <v>302</v>
      </c>
      <c r="B1230" s="16">
        <v>7</v>
      </c>
      <c r="C1230" s="16" t="s">
        <v>686</v>
      </c>
      <c r="D1230" s="16" t="s">
        <v>5145</v>
      </c>
      <c r="E1230" s="16" t="s">
        <v>5146</v>
      </c>
      <c r="F1230" s="16" t="s">
        <v>5147</v>
      </c>
      <c r="G1230" s="17">
        <v>35238</v>
      </c>
      <c r="H1230" s="16" t="s">
        <v>5148</v>
      </c>
      <c r="I1230" s="16">
        <v>183</v>
      </c>
      <c r="J1230" s="16">
        <v>84</v>
      </c>
      <c r="K1230" s="16">
        <v>9</v>
      </c>
      <c r="L1230" s="16" t="s">
        <v>5147</v>
      </c>
    </row>
    <row r="1231" spans="1:12" x14ac:dyDescent="0.4">
      <c r="A1231" s="16" t="s">
        <v>302</v>
      </c>
      <c r="B1231" s="16">
        <v>8</v>
      </c>
      <c r="C1231" s="16" t="s">
        <v>686</v>
      </c>
      <c r="D1231" s="16" t="s">
        <v>5149</v>
      </c>
      <c r="E1231" s="16" t="s">
        <v>5150</v>
      </c>
      <c r="F1231" s="16" t="s">
        <v>5151</v>
      </c>
      <c r="G1231" s="17">
        <v>34258</v>
      </c>
      <c r="H1231" s="16" t="s">
        <v>5138</v>
      </c>
      <c r="I1231" s="16">
        <v>171</v>
      </c>
      <c r="J1231" s="16">
        <v>38</v>
      </c>
      <c r="K1231" s="16">
        <v>4</v>
      </c>
      <c r="L1231" s="16" t="s">
        <v>5151</v>
      </c>
    </row>
    <row r="1232" spans="1:12" x14ac:dyDescent="0.4">
      <c r="A1232" s="16" t="s">
        <v>302</v>
      </c>
      <c r="B1232" s="16">
        <v>9</v>
      </c>
      <c r="C1232" s="16" t="s">
        <v>686</v>
      </c>
      <c r="D1232" s="16" t="s">
        <v>5152</v>
      </c>
      <c r="E1232" s="16" t="s">
        <v>5153</v>
      </c>
      <c r="F1232" s="16" t="s">
        <v>5154</v>
      </c>
      <c r="G1232" s="17">
        <v>35108</v>
      </c>
      <c r="H1232" s="16" t="s">
        <v>2771</v>
      </c>
      <c r="I1232" s="16">
        <v>180</v>
      </c>
      <c r="J1232" s="16">
        <v>72</v>
      </c>
      <c r="K1232" s="16">
        <v>1</v>
      </c>
      <c r="L1232" s="16" t="s">
        <v>5154</v>
      </c>
    </row>
    <row r="1233" spans="1:12" x14ac:dyDescent="0.4">
      <c r="A1233" s="16" t="s">
        <v>302</v>
      </c>
      <c r="B1233" s="16">
        <v>10</v>
      </c>
      <c r="C1233" s="16" t="s">
        <v>686</v>
      </c>
      <c r="D1233" s="16" t="s">
        <v>5155</v>
      </c>
      <c r="E1233" s="16" t="s">
        <v>5156</v>
      </c>
      <c r="F1233" s="16" t="s">
        <v>5157</v>
      </c>
      <c r="G1233" s="17">
        <v>37047</v>
      </c>
      <c r="H1233" s="16" t="s">
        <v>5128</v>
      </c>
      <c r="I1233" s="16">
        <v>176</v>
      </c>
      <c r="J1233" s="16">
        <v>5</v>
      </c>
      <c r="K1233" s="16">
        <v>0</v>
      </c>
      <c r="L1233" s="16" t="s">
        <v>5157</v>
      </c>
    </row>
    <row r="1234" spans="1:12" x14ac:dyDescent="0.4">
      <c r="A1234" s="16" t="s">
        <v>302</v>
      </c>
      <c r="B1234" s="16">
        <v>11</v>
      </c>
      <c r="C1234" s="16" t="s">
        <v>686</v>
      </c>
      <c r="D1234" s="16" t="s">
        <v>5158</v>
      </c>
      <c r="E1234" s="16" t="s">
        <v>5159</v>
      </c>
      <c r="F1234" s="16" t="s">
        <v>5160</v>
      </c>
      <c r="G1234" s="17">
        <v>36879</v>
      </c>
      <c r="H1234" s="16" t="s">
        <v>2789</v>
      </c>
      <c r="I1234" s="16">
        <v>181</v>
      </c>
      <c r="J1234" s="16">
        <v>42</v>
      </c>
      <c r="K1234" s="16">
        <v>10</v>
      </c>
      <c r="L1234" s="16" t="s">
        <v>5160</v>
      </c>
    </row>
    <row r="1235" spans="1:12" x14ac:dyDescent="0.4">
      <c r="A1235" s="16" t="s">
        <v>302</v>
      </c>
      <c r="B1235" s="16">
        <v>12</v>
      </c>
      <c r="C1235" s="16" t="s">
        <v>664</v>
      </c>
      <c r="D1235" s="16" t="s">
        <v>5161</v>
      </c>
      <c r="E1235" s="16" t="s">
        <v>5162</v>
      </c>
      <c r="F1235" s="16" t="s">
        <v>5163</v>
      </c>
      <c r="G1235" s="17">
        <v>36970</v>
      </c>
      <c r="H1235" s="16" t="s">
        <v>5164</v>
      </c>
      <c r="I1235" s="16">
        <v>182</v>
      </c>
      <c r="J1235" s="16">
        <v>8</v>
      </c>
      <c r="K1235" s="16">
        <v>0</v>
      </c>
      <c r="L1235" s="16" t="s">
        <v>5163</v>
      </c>
    </row>
    <row r="1236" spans="1:12" x14ac:dyDescent="0.4">
      <c r="A1236" s="16" t="s">
        <v>302</v>
      </c>
      <c r="B1236" s="16">
        <v>13</v>
      </c>
      <c r="C1236" s="16" t="s">
        <v>669</v>
      </c>
      <c r="D1236" s="16" t="s">
        <v>5165</v>
      </c>
      <c r="E1236" s="16" t="s">
        <v>5166</v>
      </c>
      <c r="F1236" s="16" t="s">
        <v>5167</v>
      </c>
      <c r="G1236" s="17">
        <v>35999</v>
      </c>
      <c r="H1236" s="16" t="s">
        <v>2892</v>
      </c>
      <c r="I1236" s="16">
        <v>183</v>
      </c>
      <c r="J1236" s="16">
        <v>31</v>
      </c>
      <c r="K1236" s="16">
        <v>2</v>
      </c>
      <c r="L1236" s="16" t="s">
        <v>5167</v>
      </c>
    </row>
    <row r="1237" spans="1:12" x14ac:dyDescent="0.4">
      <c r="A1237" s="16" t="s">
        <v>302</v>
      </c>
      <c r="B1237" s="16">
        <v>14</v>
      </c>
      <c r="C1237" s="16" t="s">
        <v>691</v>
      </c>
      <c r="D1237" s="16" t="s">
        <v>5168</v>
      </c>
      <c r="E1237" s="16" t="s">
        <v>5169</v>
      </c>
      <c r="F1237" s="16" t="s">
        <v>5170</v>
      </c>
      <c r="G1237" s="17">
        <v>34879</v>
      </c>
      <c r="H1237" s="16" t="s">
        <v>1349</v>
      </c>
      <c r="I1237" s="16">
        <v>190</v>
      </c>
      <c r="J1237" s="16">
        <v>92</v>
      </c>
      <c r="K1237" s="16">
        <v>44</v>
      </c>
      <c r="L1237" s="16" t="s">
        <v>5170</v>
      </c>
    </row>
    <row r="1238" spans="1:12" x14ac:dyDescent="0.4">
      <c r="A1238" s="16" t="s">
        <v>302</v>
      </c>
      <c r="B1238" s="16">
        <v>15</v>
      </c>
      <c r="C1238" s="16" t="s">
        <v>669</v>
      </c>
      <c r="D1238" s="16" t="s">
        <v>5171</v>
      </c>
      <c r="E1238" s="16" t="s">
        <v>5172</v>
      </c>
      <c r="F1238" s="16" t="s">
        <v>5173</v>
      </c>
      <c r="G1238" s="17">
        <v>33938</v>
      </c>
      <c r="H1238" s="16" t="s">
        <v>5164</v>
      </c>
      <c r="I1238" s="16">
        <v>185</v>
      </c>
      <c r="J1238" s="16">
        <v>29</v>
      </c>
      <c r="K1238" s="16">
        <v>0</v>
      </c>
      <c r="L1238" s="16" t="s">
        <v>5173</v>
      </c>
    </row>
    <row r="1239" spans="1:12" x14ac:dyDescent="0.4">
      <c r="A1239" s="16" t="s">
        <v>302</v>
      </c>
      <c r="B1239" s="16">
        <v>16</v>
      </c>
      <c r="C1239" s="16" t="s">
        <v>664</v>
      </c>
      <c r="D1239" s="16" t="s">
        <v>5174</v>
      </c>
      <c r="E1239" s="16" t="s">
        <v>5175</v>
      </c>
      <c r="F1239" s="16" t="s">
        <v>5176</v>
      </c>
      <c r="G1239" s="17">
        <v>34873</v>
      </c>
      <c r="H1239" s="16" t="s">
        <v>5138</v>
      </c>
      <c r="I1239" s="16">
        <v>189</v>
      </c>
      <c r="J1239" s="16">
        <v>2</v>
      </c>
      <c r="K1239" s="16">
        <v>0</v>
      </c>
      <c r="L1239" s="16" t="s">
        <v>5176</v>
      </c>
    </row>
    <row r="1240" spans="1:12" x14ac:dyDescent="0.4">
      <c r="A1240" s="16" t="s">
        <v>302</v>
      </c>
      <c r="B1240" s="16">
        <v>17</v>
      </c>
      <c r="C1240" s="16" t="s">
        <v>686</v>
      </c>
      <c r="D1240" s="16" t="s">
        <v>5177</v>
      </c>
      <c r="E1240" s="16" t="s">
        <v>5178</v>
      </c>
      <c r="F1240" s="16" t="s">
        <v>5179</v>
      </c>
      <c r="G1240" s="17">
        <v>35270</v>
      </c>
      <c r="H1240" s="16" t="s">
        <v>2892</v>
      </c>
      <c r="I1240" s="16">
        <v>178</v>
      </c>
      <c r="J1240" s="16">
        <v>34</v>
      </c>
      <c r="K1240" s="16">
        <v>5</v>
      </c>
      <c r="L1240" s="16" t="s">
        <v>5179</v>
      </c>
    </row>
    <row r="1241" spans="1:12" x14ac:dyDescent="0.4">
      <c r="A1241" s="16" t="s">
        <v>302</v>
      </c>
      <c r="B1241" s="16">
        <v>18</v>
      </c>
      <c r="C1241" s="16" t="s">
        <v>669</v>
      </c>
      <c r="D1241" s="16" t="s">
        <v>5180</v>
      </c>
      <c r="E1241" s="16" t="s">
        <v>5181</v>
      </c>
      <c r="F1241" s="16" t="s">
        <v>5182</v>
      </c>
      <c r="G1241" s="17">
        <v>35674</v>
      </c>
      <c r="H1241" s="16" t="s">
        <v>2921</v>
      </c>
      <c r="I1241" s="16">
        <v>181</v>
      </c>
      <c r="J1241" s="16">
        <v>17</v>
      </c>
      <c r="K1241" s="16">
        <v>0</v>
      </c>
      <c r="L1241" s="16" t="s">
        <v>5182</v>
      </c>
    </row>
    <row r="1242" spans="1:12" x14ac:dyDescent="0.4">
      <c r="A1242" s="16" t="s">
        <v>302</v>
      </c>
      <c r="B1242" s="16">
        <v>19</v>
      </c>
      <c r="C1242" s="16" t="s">
        <v>686</v>
      </c>
      <c r="D1242" s="16" t="s">
        <v>5183</v>
      </c>
      <c r="E1242" s="16" t="s">
        <v>5184</v>
      </c>
      <c r="F1242" s="16" t="s">
        <v>5185</v>
      </c>
      <c r="G1242" s="17">
        <v>35848</v>
      </c>
      <c r="H1242" s="16" t="s">
        <v>1265</v>
      </c>
      <c r="I1242" s="16">
        <v>178</v>
      </c>
      <c r="J1242" s="16">
        <v>19</v>
      </c>
      <c r="K1242" s="16">
        <v>0</v>
      </c>
      <c r="L1242" s="16" t="s">
        <v>5185</v>
      </c>
    </row>
    <row r="1243" spans="1:12" x14ac:dyDescent="0.4">
      <c r="A1243" s="16" t="s">
        <v>302</v>
      </c>
      <c r="B1243" s="16">
        <v>20</v>
      </c>
      <c r="C1243" s="16" t="s">
        <v>691</v>
      </c>
      <c r="D1243" s="16" t="s">
        <v>5186</v>
      </c>
      <c r="E1243" s="16" t="s">
        <v>5187</v>
      </c>
      <c r="F1243" s="16" t="s">
        <v>5188</v>
      </c>
      <c r="G1243" s="17">
        <v>35733</v>
      </c>
      <c r="H1243" s="16" t="s">
        <v>5189</v>
      </c>
      <c r="I1243" s="16">
        <v>181</v>
      </c>
      <c r="J1243" s="16">
        <v>12</v>
      </c>
      <c r="K1243" s="16">
        <v>2</v>
      </c>
      <c r="L1243" s="16" t="s">
        <v>5188</v>
      </c>
    </row>
    <row r="1244" spans="1:12" x14ac:dyDescent="0.4">
      <c r="A1244" s="16" t="s">
        <v>302</v>
      </c>
      <c r="B1244" s="16">
        <v>21</v>
      </c>
      <c r="C1244" s="16" t="s">
        <v>691</v>
      </c>
      <c r="D1244" s="16" t="s">
        <v>5190</v>
      </c>
      <c r="E1244" s="16" t="s">
        <v>1933</v>
      </c>
      <c r="F1244" s="16" t="s">
        <v>5191</v>
      </c>
      <c r="G1244" s="17">
        <v>34089</v>
      </c>
      <c r="H1244" s="16" t="s">
        <v>2789</v>
      </c>
      <c r="I1244" s="16">
        <v>185</v>
      </c>
      <c r="J1244" s="16">
        <v>83</v>
      </c>
      <c r="K1244" s="16">
        <v>25</v>
      </c>
      <c r="L1244" s="16" t="s">
        <v>5191</v>
      </c>
    </row>
    <row r="1245" spans="1:12" x14ac:dyDescent="0.4">
      <c r="A1245" s="16" t="s">
        <v>302</v>
      </c>
      <c r="B1245" s="16">
        <v>22</v>
      </c>
      <c r="C1245" s="16" t="s">
        <v>686</v>
      </c>
      <c r="D1245" s="16" t="s">
        <v>5192</v>
      </c>
      <c r="E1245" s="16" t="s">
        <v>5193</v>
      </c>
      <c r="F1245" s="16" t="s">
        <v>5194</v>
      </c>
      <c r="G1245" s="17">
        <v>37897</v>
      </c>
      <c r="H1245" s="16" t="s">
        <v>1349</v>
      </c>
      <c r="I1245" s="16">
        <v>167</v>
      </c>
      <c r="J1245" s="16">
        <v>32</v>
      </c>
      <c r="K1245" s="16">
        <v>9</v>
      </c>
      <c r="L1245" s="16" t="s">
        <v>5194</v>
      </c>
    </row>
    <row r="1246" spans="1:12" x14ac:dyDescent="0.4">
      <c r="A1246" s="16" t="s">
        <v>302</v>
      </c>
      <c r="B1246" s="16">
        <v>23</v>
      </c>
      <c r="C1246" s="16" t="s">
        <v>686</v>
      </c>
      <c r="D1246" s="16" t="s">
        <v>5195</v>
      </c>
      <c r="E1246" s="16" t="s">
        <v>5166</v>
      </c>
      <c r="F1246" s="16" t="s">
        <v>5196</v>
      </c>
      <c r="G1246" s="17">
        <v>37653</v>
      </c>
      <c r="H1246" s="16" t="s">
        <v>5197</v>
      </c>
      <c r="I1246" s="16">
        <v>190</v>
      </c>
      <c r="J1246" s="16">
        <v>1</v>
      </c>
      <c r="K1246" s="16">
        <v>0</v>
      </c>
      <c r="L1246" s="16" t="s">
        <v>5196</v>
      </c>
    </row>
    <row r="1247" spans="1:12" x14ac:dyDescent="0.4">
      <c r="A1247" s="16" t="s">
        <v>302</v>
      </c>
      <c r="B1247" s="16">
        <v>24</v>
      </c>
      <c r="C1247" s="16" t="s">
        <v>669</v>
      </c>
      <c r="D1247" s="16" t="s">
        <v>5198</v>
      </c>
      <c r="E1247" s="16" t="s">
        <v>5199</v>
      </c>
      <c r="F1247" s="16" t="s">
        <v>5200</v>
      </c>
      <c r="G1247" s="17">
        <v>39301</v>
      </c>
      <c r="H1247" s="16" t="s">
        <v>5201</v>
      </c>
      <c r="I1247" s="16">
        <v>172</v>
      </c>
      <c r="J1247" s="16">
        <v>2</v>
      </c>
      <c r="K1247" s="16">
        <v>0</v>
      </c>
      <c r="L1247" s="16" t="s">
        <v>5200</v>
      </c>
    </row>
    <row r="1248" spans="1:12" x14ac:dyDescent="0.4">
      <c r="A1248" s="16" t="s">
        <v>302</v>
      </c>
      <c r="B1248" s="16">
        <v>25</v>
      </c>
      <c r="C1248" s="16" t="s">
        <v>669</v>
      </c>
      <c r="D1248" s="16" t="s">
        <v>5202</v>
      </c>
      <c r="E1248" s="16" t="s">
        <v>5203</v>
      </c>
      <c r="F1248" s="16" t="s">
        <v>5204</v>
      </c>
      <c r="G1248" s="17">
        <v>36612</v>
      </c>
      <c r="H1248" s="16" t="s">
        <v>5205</v>
      </c>
      <c r="I1248" s="16">
        <v>187</v>
      </c>
      <c r="J1248" s="16">
        <v>0</v>
      </c>
      <c r="K1248" s="16">
        <v>0</v>
      </c>
      <c r="L1248" s="16" t="s">
        <v>5204</v>
      </c>
    </row>
    <row r="1249" spans="1:12" x14ac:dyDescent="0.4">
      <c r="A1249" s="16" t="s">
        <v>302</v>
      </c>
      <c r="B1249" s="16">
        <v>26</v>
      </c>
      <c r="C1249" s="16" t="s">
        <v>669</v>
      </c>
      <c r="D1249" s="16" t="s">
        <v>5206</v>
      </c>
      <c r="E1249" s="16" t="s">
        <v>5207</v>
      </c>
      <c r="F1249" s="16" t="s">
        <v>5208</v>
      </c>
      <c r="G1249" s="17">
        <v>38004</v>
      </c>
      <c r="H1249" s="16" t="s">
        <v>5189</v>
      </c>
      <c r="I1249" s="16">
        <v>190</v>
      </c>
      <c r="J1249" s="16">
        <v>4</v>
      </c>
      <c r="K1249" s="16">
        <v>0</v>
      </c>
      <c r="L1249" s="16" t="s">
        <v>5208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3135-7C01-42A8-80C0-064D9D28B4C5}">
  <dimension ref="A1:K1249"/>
  <sheetViews>
    <sheetView tabSelected="1" workbookViewId="0"/>
  </sheetViews>
  <sheetFormatPr defaultRowHeight="12" x14ac:dyDescent="0.4"/>
  <cols>
    <col min="1" max="16384" width="9.06640625" style="9"/>
  </cols>
  <sheetData>
    <row r="1" spans="1:11" x14ac:dyDescent="0.4">
      <c r="A1" s="9" t="s">
        <v>5209</v>
      </c>
      <c r="B1" s="9" t="s">
        <v>167</v>
      </c>
      <c r="C1" s="9" t="s">
        <v>653</v>
      </c>
      <c r="D1" s="9" t="s">
        <v>654</v>
      </c>
      <c r="E1" s="9" t="s">
        <v>655</v>
      </c>
      <c r="F1" s="9" t="s">
        <v>657</v>
      </c>
      <c r="G1" s="9" t="s">
        <v>658</v>
      </c>
      <c r="H1" s="9" t="s">
        <v>659</v>
      </c>
      <c r="I1" s="9" t="s">
        <v>660</v>
      </c>
      <c r="J1" s="9" t="s">
        <v>661</v>
      </c>
      <c r="K1" s="9" t="s">
        <v>662</v>
      </c>
    </row>
    <row r="2" spans="1:11" x14ac:dyDescent="0.4">
      <c r="A2" s="9" t="s">
        <v>325</v>
      </c>
      <c r="B2" s="9" t="s">
        <v>52</v>
      </c>
      <c r="C2" s="9">
        <v>1</v>
      </c>
      <c r="D2" s="9" t="s">
        <v>664</v>
      </c>
      <c r="E2" s="9" t="s">
        <v>665</v>
      </c>
      <c r="F2" s="9" t="s">
        <v>667</v>
      </c>
      <c r="G2" s="9">
        <v>36575</v>
      </c>
      <c r="H2" s="9" t="s">
        <v>668</v>
      </c>
      <c r="I2" s="9">
        <v>194</v>
      </c>
      <c r="J2" s="9">
        <v>2</v>
      </c>
      <c r="K2" s="9">
        <v>0</v>
      </c>
    </row>
    <row r="3" spans="1:11" x14ac:dyDescent="0.4">
      <c r="A3" s="9" t="s">
        <v>325</v>
      </c>
      <c r="B3" s="9" t="s">
        <v>52</v>
      </c>
      <c r="C3" s="9">
        <v>2</v>
      </c>
      <c r="D3" s="9" t="s">
        <v>669</v>
      </c>
      <c r="E3" s="9" t="s">
        <v>670</v>
      </c>
      <c r="F3" s="9" t="s">
        <v>672</v>
      </c>
      <c r="G3" s="9">
        <v>33533</v>
      </c>
      <c r="H3" s="9" t="s">
        <v>673</v>
      </c>
      <c r="I3" s="9">
        <v>184</v>
      </c>
      <c r="J3" s="9">
        <v>119</v>
      </c>
      <c r="K3" s="9">
        <v>8</v>
      </c>
    </row>
    <row r="4" spans="1:11" x14ac:dyDescent="0.4">
      <c r="A4" s="9" t="s">
        <v>325</v>
      </c>
      <c r="B4" s="9" t="s">
        <v>52</v>
      </c>
      <c r="C4" s="9">
        <v>3</v>
      </c>
      <c r="D4" s="9" t="s">
        <v>669</v>
      </c>
      <c r="E4" s="9" t="s">
        <v>674</v>
      </c>
      <c r="F4" s="9" t="s">
        <v>676</v>
      </c>
      <c r="G4" s="9">
        <v>36326</v>
      </c>
      <c r="H4" s="9" t="s">
        <v>677</v>
      </c>
      <c r="I4" s="9">
        <v>185</v>
      </c>
      <c r="J4" s="9">
        <v>9</v>
      </c>
      <c r="K4" s="9">
        <v>1</v>
      </c>
    </row>
    <row r="5" spans="1:11" x14ac:dyDescent="0.4">
      <c r="A5" s="9" t="s">
        <v>325</v>
      </c>
      <c r="B5" s="9" t="s">
        <v>52</v>
      </c>
      <c r="C5" s="9">
        <v>4</v>
      </c>
      <c r="D5" s="9" t="s">
        <v>669</v>
      </c>
      <c r="E5" s="9" t="s">
        <v>678</v>
      </c>
      <c r="F5" s="9" t="s">
        <v>680</v>
      </c>
      <c r="G5" s="9">
        <v>36547</v>
      </c>
      <c r="H5" s="9" t="s">
        <v>681</v>
      </c>
      <c r="I5" s="9">
        <v>186</v>
      </c>
      <c r="J5" s="9">
        <v>30</v>
      </c>
      <c r="K5" s="9">
        <v>2</v>
      </c>
    </row>
    <row r="6" spans="1:11" x14ac:dyDescent="0.4">
      <c r="A6" s="9" t="s">
        <v>325</v>
      </c>
      <c r="B6" s="9" t="s">
        <v>52</v>
      </c>
      <c r="C6" s="9">
        <v>5</v>
      </c>
      <c r="D6" s="9" t="s">
        <v>669</v>
      </c>
      <c r="E6" s="9" t="s">
        <v>682</v>
      </c>
      <c r="F6" s="9" t="s">
        <v>684</v>
      </c>
      <c r="G6" s="9">
        <v>36239</v>
      </c>
      <c r="H6" s="9" t="s">
        <v>685</v>
      </c>
      <c r="I6" s="9">
        <v>186</v>
      </c>
      <c r="J6" s="9">
        <v>18</v>
      </c>
      <c r="K6" s="9">
        <v>1</v>
      </c>
    </row>
    <row r="7" spans="1:11" x14ac:dyDescent="0.4">
      <c r="A7" s="9" t="s">
        <v>325</v>
      </c>
      <c r="B7" s="9" t="s">
        <v>52</v>
      </c>
      <c r="C7" s="9">
        <v>6</v>
      </c>
      <c r="D7" s="9" t="s">
        <v>686</v>
      </c>
      <c r="E7" s="9" t="s">
        <v>687</v>
      </c>
      <c r="F7" s="9" t="s">
        <v>689</v>
      </c>
      <c r="G7" s="9">
        <v>35941</v>
      </c>
      <c r="H7" s="9" t="s">
        <v>690</v>
      </c>
      <c r="I7" s="9">
        <v>183</v>
      </c>
      <c r="J7" s="9">
        <v>53</v>
      </c>
      <c r="K7" s="9">
        <v>3</v>
      </c>
    </row>
    <row r="8" spans="1:11" x14ac:dyDescent="0.4">
      <c r="A8" s="9" t="s">
        <v>325</v>
      </c>
      <c r="B8" s="9" t="s">
        <v>52</v>
      </c>
      <c r="C8" s="9">
        <v>7</v>
      </c>
      <c r="D8" s="9" t="s">
        <v>691</v>
      </c>
      <c r="E8" s="9" t="s">
        <v>692</v>
      </c>
      <c r="F8" s="9" t="s">
        <v>694</v>
      </c>
      <c r="G8" s="9">
        <v>33290</v>
      </c>
      <c r="H8" s="9" t="s">
        <v>695</v>
      </c>
      <c r="I8" s="9">
        <v>179</v>
      </c>
      <c r="J8" s="9">
        <v>116</v>
      </c>
      <c r="K8" s="9">
        <v>38</v>
      </c>
    </row>
    <row r="9" spans="1:11" x14ac:dyDescent="0.4">
      <c r="A9" s="9" t="s">
        <v>325</v>
      </c>
      <c r="B9" s="9" t="s">
        <v>52</v>
      </c>
      <c r="C9" s="9">
        <v>8</v>
      </c>
      <c r="D9" s="9" t="s">
        <v>686</v>
      </c>
      <c r="E9" s="9" t="s">
        <v>696</v>
      </c>
      <c r="F9" s="9" t="s">
        <v>698</v>
      </c>
      <c r="G9" s="9">
        <v>35976</v>
      </c>
      <c r="H9" s="9" t="s">
        <v>699</v>
      </c>
      <c r="I9" s="9">
        <v>175</v>
      </c>
      <c r="J9" s="9">
        <v>22</v>
      </c>
      <c r="K9" s="9">
        <v>6</v>
      </c>
    </row>
    <row r="10" spans="1:11" x14ac:dyDescent="0.4">
      <c r="A10" s="9" t="s">
        <v>325</v>
      </c>
      <c r="B10" s="9" t="s">
        <v>52</v>
      </c>
      <c r="C10" s="9">
        <v>9</v>
      </c>
      <c r="D10" s="9" t="s">
        <v>691</v>
      </c>
      <c r="E10" s="9" t="s">
        <v>700</v>
      </c>
      <c r="F10" s="9" t="s">
        <v>702</v>
      </c>
      <c r="G10" s="9">
        <v>36572</v>
      </c>
      <c r="H10" s="9" t="s">
        <v>703</v>
      </c>
      <c r="I10" s="9">
        <v>180</v>
      </c>
      <c r="J10" s="9">
        <v>23</v>
      </c>
      <c r="K10" s="9">
        <v>10</v>
      </c>
    </row>
    <row r="11" spans="1:11" x14ac:dyDescent="0.4">
      <c r="A11" s="9" t="s">
        <v>325</v>
      </c>
      <c r="B11" s="9" t="s">
        <v>52</v>
      </c>
      <c r="C11" s="9">
        <v>10</v>
      </c>
      <c r="D11" s="9" t="s">
        <v>686</v>
      </c>
      <c r="E11" s="9" t="s">
        <v>704</v>
      </c>
      <c r="F11" s="9" t="s">
        <v>706</v>
      </c>
      <c r="G11" s="9">
        <v>37588</v>
      </c>
      <c r="H11" s="9" t="s">
        <v>707</v>
      </c>
      <c r="I11" s="9">
        <v>183</v>
      </c>
      <c r="J11" s="9">
        <v>31</v>
      </c>
      <c r="K11" s="9">
        <v>3</v>
      </c>
    </row>
    <row r="12" spans="1:11" x14ac:dyDescent="0.4">
      <c r="A12" s="9" t="s">
        <v>325</v>
      </c>
      <c r="B12" s="9" t="s">
        <v>52</v>
      </c>
      <c r="C12" s="9">
        <v>11</v>
      </c>
      <c r="D12" s="9" t="s">
        <v>691</v>
      </c>
      <c r="E12" s="9" t="s">
        <v>708</v>
      </c>
      <c r="F12" s="9" t="s">
        <v>710</v>
      </c>
      <c r="G12" s="9">
        <v>37298</v>
      </c>
      <c r="H12" s="9" t="s">
        <v>711</v>
      </c>
      <c r="I12" s="9">
        <v>176</v>
      </c>
      <c r="J12" s="9">
        <v>15</v>
      </c>
      <c r="K12" s="9">
        <v>2</v>
      </c>
    </row>
    <row r="13" spans="1:11" x14ac:dyDescent="0.4">
      <c r="A13" s="9" t="s">
        <v>325</v>
      </c>
      <c r="B13" s="9" t="s">
        <v>52</v>
      </c>
      <c r="C13" s="9">
        <v>12</v>
      </c>
      <c r="D13" s="9" t="s">
        <v>691</v>
      </c>
      <c r="E13" s="9" t="s">
        <v>712</v>
      </c>
      <c r="F13" s="9" t="s">
        <v>714</v>
      </c>
      <c r="G13" s="9">
        <v>36633</v>
      </c>
      <c r="H13" s="9" t="s">
        <v>715</v>
      </c>
      <c r="I13" s="9">
        <v>190</v>
      </c>
      <c r="J13" s="9">
        <v>4</v>
      </c>
      <c r="K13" s="9">
        <v>1</v>
      </c>
    </row>
    <row r="14" spans="1:11" x14ac:dyDescent="0.4">
      <c r="A14" s="9" t="s">
        <v>325</v>
      </c>
      <c r="B14" s="9" t="s">
        <v>52</v>
      </c>
      <c r="C14" s="9">
        <v>13</v>
      </c>
      <c r="D14" s="9" t="s">
        <v>669</v>
      </c>
      <c r="E14" s="9" t="s">
        <v>716</v>
      </c>
      <c r="F14" s="9" t="s">
        <v>718</v>
      </c>
      <c r="G14" s="9">
        <v>37706</v>
      </c>
      <c r="H14" s="9" t="s">
        <v>719</v>
      </c>
      <c r="I14" s="9">
        <v>185</v>
      </c>
      <c r="J14" s="9">
        <v>18</v>
      </c>
      <c r="K14" s="9">
        <v>3</v>
      </c>
    </row>
    <row r="15" spans="1:11" x14ac:dyDescent="0.4">
      <c r="A15" s="9" t="s">
        <v>325</v>
      </c>
      <c r="B15" s="9" t="s">
        <v>52</v>
      </c>
      <c r="C15" s="9">
        <v>14</v>
      </c>
      <c r="D15" s="9" t="s">
        <v>686</v>
      </c>
      <c r="E15" s="9" t="s">
        <v>720</v>
      </c>
      <c r="F15" s="9" t="s">
        <v>722</v>
      </c>
      <c r="G15" s="9">
        <v>36426</v>
      </c>
      <c r="H15" s="9" t="s">
        <v>723</v>
      </c>
      <c r="I15" s="9">
        <v>175</v>
      </c>
      <c r="J15" s="9">
        <v>34</v>
      </c>
      <c r="K15" s="9">
        <v>0</v>
      </c>
    </row>
    <row r="16" spans="1:11" x14ac:dyDescent="0.4">
      <c r="A16" s="9" t="s">
        <v>325</v>
      </c>
      <c r="B16" s="9" t="s">
        <v>52</v>
      </c>
      <c r="C16" s="9">
        <v>15</v>
      </c>
      <c r="D16" s="9" t="s">
        <v>669</v>
      </c>
      <c r="E16" s="9" t="s">
        <v>724</v>
      </c>
      <c r="F16" s="9" t="s">
        <v>726</v>
      </c>
      <c r="G16" s="9">
        <v>37048</v>
      </c>
      <c r="H16" s="9" t="s">
        <v>727</v>
      </c>
      <c r="I16" s="9">
        <v>180</v>
      </c>
      <c r="J16" s="9">
        <v>30</v>
      </c>
      <c r="K16" s="9">
        <v>0</v>
      </c>
    </row>
    <row r="17" spans="1:11" x14ac:dyDescent="0.4">
      <c r="A17" s="9" t="s">
        <v>325</v>
      </c>
      <c r="B17" s="9" t="s">
        <v>52</v>
      </c>
      <c r="C17" s="9">
        <v>16</v>
      </c>
      <c r="D17" s="9" t="s">
        <v>664</v>
      </c>
      <c r="E17" s="9" t="s">
        <v>728</v>
      </c>
      <c r="F17" s="9" t="s">
        <v>730</v>
      </c>
      <c r="G17" s="9">
        <v>34618</v>
      </c>
      <c r="H17" s="9" t="s">
        <v>677</v>
      </c>
      <c r="I17" s="9">
        <v>188</v>
      </c>
      <c r="J17" s="9">
        <v>5</v>
      </c>
      <c r="K17" s="9">
        <v>0</v>
      </c>
    </row>
    <row r="18" spans="1:11" x14ac:dyDescent="0.4">
      <c r="A18" s="9" t="s">
        <v>325</v>
      </c>
      <c r="B18" s="9" t="s">
        <v>52</v>
      </c>
      <c r="C18" s="9">
        <v>17</v>
      </c>
      <c r="D18" s="9" t="s">
        <v>669</v>
      </c>
      <c r="E18" s="9" t="s">
        <v>731</v>
      </c>
      <c r="F18" s="9" t="s">
        <v>733</v>
      </c>
      <c r="G18" s="9">
        <v>37414</v>
      </c>
      <c r="H18" s="9" t="s">
        <v>734</v>
      </c>
      <c r="I18" s="9">
        <v>180</v>
      </c>
      <c r="J18" s="9">
        <v>13</v>
      </c>
      <c r="K18" s="9">
        <v>1</v>
      </c>
    </row>
    <row r="19" spans="1:11" x14ac:dyDescent="0.4">
      <c r="A19" s="9" t="s">
        <v>325</v>
      </c>
      <c r="B19" s="9" t="s">
        <v>52</v>
      </c>
      <c r="C19" s="9">
        <v>18</v>
      </c>
      <c r="D19" s="9" t="s">
        <v>691</v>
      </c>
      <c r="E19" s="9" t="s">
        <v>735</v>
      </c>
      <c r="F19" s="9" t="s">
        <v>737</v>
      </c>
      <c r="G19" s="9">
        <v>36655</v>
      </c>
      <c r="H19" s="9" t="s">
        <v>738</v>
      </c>
      <c r="I19" s="9">
        <v>170</v>
      </c>
      <c r="J19" s="9">
        <v>47</v>
      </c>
      <c r="K19" s="9">
        <v>19</v>
      </c>
    </row>
    <row r="20" spans="1:11" x14ac:dyDescent="0.4">
      <c r="A20" s="9" t="s">
        <v>325</v>
      </c>
      <c r="B20" s="9" t="s">
        <v>52</v>
      </c>
      <c r="C20" s="9">
        <v>19</v>
      </c>
      <c r="D20" s="9" t="s">
        <v>686</v>
      </c>
      <c r="E20" s="9" t="s">
        <v>739</v>
      </c>
      <c r="F20" s="9" t="s">
        <v>741</v>
      </c>
      <c r="G20" s="9">
        <v>34662</v>
      </c>
      <c r="H20" s="9" t="s">
        <v>673</v>
      </c>
      <c r="I20" s="9">
        <v>189</v>
      </c>
      <c r="J20" s="9">
        <v>60</v>
      </c>
      <c r="K20" s="9">
        <v>6</v>
      </c>
    </row>
    <row r="21" spans="1:11" x14ac:dyDescent="0.4">
      <c r="A21" s="9" t="s">
        <v>325</v>
      </c>
      <c r="B21" s="9" t="s">
        <v>52</v>
      </c>
      <c r="C21" s="9">
        <v>20</v>
      </c>
      <c r="D21" s="9" t="s">
        <v>691</v>
      </c>
      <c r="E21" s="9" t="s">
        <v>742</v>
      </c>
      <c r="F21" s="9" t="s">
        <v>744</v>
      </c>
      <c r="G21" s="9">
        <v>37743</v>
      </c>
      <c r="H21" s="9" t="s">
        <v>745</v>
      </c>
      <c r="I21" s="9">
        <v>183</v>
      </c>
      <c r="J21" s="9">
        <v>12</v>
      </c>
      <c r="K21" s="9">
        <v>6</v>
      </c>
    </row>
    <row r="22" spans="1:11" x14ac:dyDescent="0.4">
      <c r="A22" s="9" t="s">
        <v>325</v>
      </c>
      <c r="B22" s="9" t="s">
        <v>52</v>
      </c>
      <c r="C22" s="9">
        <v>21</v>
      </c>
      <c r="D22" s="9" t="s">
        <v>669</v>
      </c>
      <c r="E22" s="9" t="s">
        <v>746</v>
      </c>
      <c r="F22" s="9" t="s">
        <v>748</v>
      </c>
      <c r="G22" s="9">
        <v>34805</v>
      </c>
      <c r="H22" s="9" t="s">
        <v>749</v>
      </c>
      <c r="I22" s="9">
        <v>187</v>
      </c>
      <c r="J22" s="9">
        <v>82</v>
      </c>
      <c r="K22" s="9">
        <v>9</v>
      </c>
    </row>
    <row r="23" spans="1:11" x14ac:dyDescent="0.4">
      <c r="A23" s="9" t="s">
        <v>325</v>
      </c>
      <c r="B23" s="9" t="s">
        <v>52</v>
      </c>
      <c r="C23" s="9">
        <v>22</v>
      </c>
      <c r="D23" s="9" t="s">
        <v>686</v>
      </c>
      <c r="E23" s="9" t="s">
        <v>750</v>
      </c>
      <c r="F23" s="9" t="s">
        <v>752</v>
      </c>
      <c r="G23" s="9">
        <v>38680</v>
      </c>
      <c r="H23" s="9" t="s">
        <v>753</v>
      </c>
      <c r="I23" s="9">
        <v>180</v>
      </c>
      <c r="J23" s="9">
        <v>17</v>
      </c>
      <c r="K23" s="9">
        <v>2</v>
      </c>
    </row>
    <row r="24" spans="1:11" x14ac:dyDescent="0.4">
      <c r="A24" s="9" t="s">
        <v>325</v>
      </c>
      <c r="B24" s="9" t="s">
        <v>52</v>
      </c>
      <c r="C24" s="9">
        <v>23</v>
      </c>
      <c r="D24" s="9" t="s">
        <v>664</v>
      </c>
      <c r="E24" s="9" t="s">
        <v>754</v>
      </c>
      <c r="F24" s="9" t="s">
        <v>756</v>
      </c>
      <c r="G24" s="9">
        <v>35928</v>
      </c>
      <c r="H24" s="9" t="s">
        <v>757</v>
      </c>
      <c r="I24" s="9">
        <v>183</v>
      </c>
      <c r="J24" s="9">
        <v>7</v>
      </c>
      <c r="K24" s="9">
        <v>0</v>
      </c>
    </row>
    <row r="25" spans="1:11" x14ac:dyDescent="0.4">
      <c r="A25" s="9" t="s">
        <v>325</v>
      </c>
      <c r="B25" s="9" t="s">
        <v>52</v>
      </c>
      <c r="C25" s="9">
        <v>24</v>
      </c>
      <c r="D25" s="9" t="s">
        <v>686</v>
      </c>
      <c r="E25" s="9" t="s">
        <v>758</v>
      </c>
      <c r="F25" s="9" t="s">
        <v>760</v>
      </c>
      <c r="G25" s="9">
        <v>37828</v>
      </c>
      <c r="H25" s="9" t="s">
        <v>761</v>
      </c>
      <c r="I25" s="9">
        <v>180</v>
      </c>
      <c r="J25" s="9">
        <v>5</v>
      </c>
      <c r="K25" s="9">
        <v>0</v>
      </c>
    </row>
    <row r="26" spans="1:11" x14ac:dyDescent="0.4">
      <c r="A26" s="9" t="s">
        <v>325</v>
      </c>
      <c r="B26" s="9" t="s">
        <v>52</v>
      </c>
      <c r="C26" s="9">
        <v>25</v>
      </c>
      <c r="D26" s="9" t="s">
        <v>691</v>
      </c>
      <c r="E26" s="9" t="s">
        <v>762</v>
      </c>
      <c r="F26" s="9" t="s">
        <v>763</v>
      </c>
      <c r="G26" s="9">
        <v>37505</v>
      </c>
      <c r="H26" s="9" t="s">
        <v>764</v>
      </c>
      <c r="I26" s="9">
        <v>183</v>
      </c>
      <c r="J26" s="9">
        <v>1</v>
      </c>
      <c r="K26" s="9">
        <v>1</v>
      </c>
    </row>
    <row r="27" spans="1:11" x14ac:dyDescent="0.4">
      <c r="A27" s="9" t="s">
        <v>325</v>
      </c>
      <c r="B27" s="9" t="s">
        <v>52</v>
      </c>
      <c r="C27" s="9">
        <v>26</v>
      </c>
      <c r="D27" s="9" t="s">
        <v>669</v>
      </c>
      <c r="E27" s="9" t="s">
        <v>765</v>
      </c>
      <c r="F27" s="9" t="s">
        <v>767</v>
      </c>
      <c r="G27" s="9">
        <v>36197</v>
      </c>
      <c r="H27" s="9" t="s">
        <v>768</v>
      </c>
      <c r="I27" s="9">
        <v>185</v>
      </c>
      <c r="J27" s="9">
        <v>5</v>
      </c>
      <c r="K27" s="9">
        <v>0</v>
      </c>
    </row>
    <row r="28" spans="1:11" x14ac:dyDescent="0.4">
      <c r="A28" s="9" t="s">
        <v>286</v>
      </c>
      <c r="B28" s="9" t="s">
        <v>12</v>
      </c>
      <c r="C28" s="9">
        <v>1</v>
      </c>
      <c r="D28" s="9" t="s">
        <v>664</v>
      </c>
      <c r="E28" s="9" t="s">
        <v>769</v>
      </c>
      <c r="F28" s="9" t="s">
        <v>771</v>
      </c>
      <c r="G28" s="9">
        <v>33702</v>
      </c>
      <c r="H28" s="9" t="s">
        <v>772</v>
      </c>
      <c r="I28" s="9">
        <v>184</v>
      </c>
      <c r="J28" s="9">
        <v>26</v>
      </c>
      <c r="K28" s="9">
        <v>0</v>
      </c>
    </row>
    <row r="29" spans="1:11" x14ac:dyDescent="0.4">
      <c r="A29" s="9" t="s">
        <v>286</v>
      </c>
      <c r="B29" s="9" t="s">
        <v>12</v>
      </c>
      <c r="C29" s="9">
        <v>2</v>
      </c>
      <c r="D29" s="9" t="s">
        <v>669</v>
      </c>
      <c r="E29" s="9" t="s">
        <v>773</v>
      </c>
      <c r="F29" s="9" t="s">
        <v>775</v>
      </c>
      <c r="G29" s="9">
        <v>34452</v>
      </c>
      <c r="H29" s="9" t="s">
        <v>776</v>
      </c>
      <c r="I29" s="9">
        <v>187</v>
      </c>
      <c r="J29" s="9">
        <v>1</v>
      </c>
      <c r="K29" s="9">
        <v>0</v>
      </c>
    </row>
    <row r="30" spans="1:11" x14ac:dyDescent="0.4">
      <c r="A30" s="9" t="s">
        <v>286</v>
      </c>
      <c r="B30" s="9" t="s">
        <v>12</v>
      </c>
      <c r="C30" s="9">
        <v>3</v>
      </c>
      <c r="D30" s="9" t="s">
        <v>669</v>
      </c>
      <c r="E30" s="9" t="s">
        <v>777</v>
      </c>
      <c r="F30" s="9" t="s">
        <v>779</v>
      </c>
      <c r="G30" s="9">
        <v>37904</v>
      </c>
      <c r="H30" s="9" t="s">
        <v>780</v>
      </c>
      <c r="I30" s="9">
        <v>191</v>
      </c>
      <c r="J30" s="9">
        <v>32</v>
      </c>
      <c r="K30" s="9">
        <v>0</v>
      </c>
    </row>
    <row r="31" spans="1:11" x14ac:dyDescent="0.4">
      <c r="A31" s="9" t="s">
        <v>286</v>
      </c>
      <c r="B31" s="9" t="s">
        <v>12</v>
      </c>
      <c r="C31" s="9">
        <v>4</v>
      </c>
      <c r="D31" s="9" t="s">
        <v>669</v>
      </c>
      <c r="E31" s="9" t="s">
        <v>781</v>
      </c>
      <c r="F31" s="9" t="s">
        <v>783</v>
      </c>
      <c r="G31" s="9">
        <v>37102</v>
      </c>
      <c r="H31" s="9" t="s">
        <v>784</v>
      </c>
      <c r="I31" s="9">
        <v>177</v>
      </c>
      <c r="J31" s="9">
        <v>51</v>
      </c>
      <c r="K31" s="9">
        <v>4</v>
      </c>
    </row>
    <row r="32" spans="1:11" x14ac:dyDescent="0.4">
      <c r="A32" s="9" t="s">
        <v>286</v>
      </c>
      <c r="B32" s="9" t="s">
        <v>12</v>
      </c>
      <c r="C32" s="9">
        <v>5</v>
      </c>
      <c r="D32" s="9" t="s">
        <v>669</v>
      </c>
      <c r="E32" s="9" t="s">
        <v>785</v>
      </c>
      <c r="F32" s="9" t="s">
        <v>787</v>
      </c>
      <c r="G32" s="9">
        <v>37558</v>
      </c>
      <c r="H32" s="9" t="s">
        <v>711</v>
      </c>
      <c r="I32" s="9">
        <v>180</v>
      </c>
      <c r="J32" s="9">
        <v>52</v>
      </c>
      <c r="K32" s="9">
        <v>5</v>
      </c>
    </row>
    <row r="33" spans="1:11" x14ac:dyDescent="0.4">
      <c r="A33" s="9" t="s">
        <v>286</v>
      </c>
      <c r="B33" s="9" t="s">
        <v>12</v>
      </c>
      <c r="C33" s="9">
        <v>6</v>
      </c>
      <c r="D33" s="9" t="s">
        <v>669</v>
      </c>
      <c r="E33" s="9" t="s">
        <v>788</v>
      </c>
      <c r="F33" s="9" t="s">
        <v>790</v>
      </c>
      <c r="G33" s="9">
        <v>34099</v>
      </c>
      <c r="H33" s="9" t="s">
        <v>791</v>
      </c>
      <c r="I33" s="9">
        <v>181</v>
      </c>
      <c r="J33" s="9">
        <v>47</v>
      </c>
      <c r="K33" s="9">
        <v>1</v>
      </c>
    </row>
    <row r="34" spans="1:11" x14ac:dyDescent="0.4">
      <c r="A34" s="9" t="s">
        <v>286</v>
      </c>
      <c r="B34" s="9" t="s">
        <v>12</v>
      </c>
      <c r="C34" s="9">
        <v>7</v>
      </c>
      <c r="D34" s="9" t="s">
        <v>691</v>
      </c>
      <c r="E34" s="9" t="s">
        <v>792</v>
      </c>
      <c r="F34" s="9" t="s">
        <v>794</v>
      </c>
      <c r="G34" s="9">
        <v>33273</v>
      </c>
      <c r="H34" s="9" t="s">
        <v>795</v>
      </c>
      <c r="I34" s="9">
        <v>181</v>
      </c>
      <c r="J34" s="9">
        <v>133</v>
      </c>
      <c r="K34" s="9">
        <v>47</v>
      </c>
    </row>
    <row r="35" spans="1:11" x14ac:dyDescent="0.4">
      <c r="A35" s="9" t="s">
        <v>286</v>
      </c>
      <c r="B35" s="9" t="s">
        <v>12</v>
      </c>
      <c r="C35" s="9">
        <v>8</v>
      </c>
      <c r="D35" s="9" t="s">
        <v>686</v>
      </c>
      <c r="E35" s="9" t="s">
        <v>796</v>
      </c>
      <c r="F35" s="9" t="s">
        <v>798</v>
      </c>
      <c r="G35" s="9">
        <v>36469</v>
      </c>
      <c r="H35" s="9" t="s">
        <v>799</v>
      </c>
      <c r="I35" s="9">
        <v>183</v>
      </c>
      <c r="J35" s="9">
        <v>113</v>
      </c>
      <c r="K35" s="9">
        <v>15</v>
      </c>
    </row>
    <row r="36" spans="1:11" x14ac:dyDescent="0.4">
      <c r="A36" s="9" t="s">
        <v>286</v>
      </c>
      <c r="B36" s="9" t="s">
        <v>12</v>
      </c>
      <c r="C36" s="9">
        <v>9</v>
      </c>
      <c r="D36" s="9" t="s">
        <v>691</v>
      </c>
      <c r="E36" s="9" t="s">
        <v>800</v>
      </c>
      <c r="F36" s="9" t="s">
        <v>802</v>
      </c>
      <c r="G36" s="9">
        <v>38072</v>
      </c>
      <c r="H36" s="9" t="s">
        <v>803</v>
      </c>
      <c r="I36" s="9">
        <v>186</v>
      </c>
      <c r="J36" s="9">
        <v>98</v>
      </c>
      <c r="K36" s="9">
        <v>26</v>
      </c>
    </row>
    <row r="37" spans="1:11" x14ac:dyDescent="0.4">
      <c r="A37" s="9" t="s">
        <v>286</v>
      </c>
      <c r="B37" s="9" t="s">
        <v>12</v>
      </c>
      <c r="C37" s="9">
        <v>10</v>
      </c>
      <c r="D37" s="9" t="s">
        <v>691</v>
      </c>
      <c r="E37" s="9" t="s">
        <v>804</v>
      </c>
      <c r="F37" s="9" t="s">
        <v>806</v>
      </c>
      <c r="G37" s="9">
        <v>35251</v>
      </c>
      <c r="H37" s="9" t="s">
        <v>807</v>
      </c>
      <c r="I37" s="9">
        <v>180</v>
      </c>
      <c r="J37" s="9">
        <v>58</v>
      </c>
      <c r="K37" s="9">
        <v>1</v>
      </c>
    </row>
    <row r="38" spans="1:11" x14ac:dyDescent="0.4">
      <c r="A38" s="9" t="s">
        <v>286</v>
      </c>
      <c r="B38" s="9" t="s">
        <v>12</v>
      </c>
      <c r="C38" s="9">
        <v>11</v>
      </c>
      <c r="D38" s="9" t="s">
        <v>691</v>
      </c>
      <c r="E38" s="9" t="s">
        <v>808</v>
      </c>
      <c r="F38" s="9" t="s">
        <v>810</v>
      </c>
      <c r="G38" s="9">
        <v>34957</v>
      </c>
      <c r="H38" s="9" t="s">
        <v>811</v>
      </c>
      <c r="I38" s="9">
        <v>178</v>
      </c>
      <c r="J38" s="9">
        <v>75</v>
      </c>
      <c r="K38" s="9">
        <v>24</v>
      </c>
    </row>
    <row r="39" spans="1:11" x14ac:dyDescent="0.4">
      <c r="A39" s="9" t="s">
        <v>286</v>
      </c>
      <c r="B39" s="9" t="s">
        <v>12</v>
      </c>
      <c r="C39" s="9">
        <v>12</v>
      </c>
      <c r="D39" s="9" t="s">
        <v>664</v>
      </c>
      <c r="E39" s="9" t="s">
        <v>812</v>
      </c>
      <c r="F39" s="9" t="s">
        <v>814</v>
      </c>
      <c r="G39" s="9">
        <v>34705</v>
      </c>
      <c r="H39" s="9" t="s">
        <v>815</v>
      </c>
      <c r="I39" s="9">
        <v>184</v>
      </c>
      <c r="J39" s="9">
        <v>1</v>
      </c>
      <c r="K39" s="9">
        <v>0</v>
      </c>
    </row>
    <row r="40" spans="1:11" x14ac:dyDescent="0.4">
      <c r="A40" s="9" t="s">
        <v>286</v>
      </c>
      <c r="B40" s="9" t="s">
        <v>12</v>
      </c>
      <c r="C40" s="9">
        <v>13</v>
      </c>
      <c r="D40" s="9" t="s">
        <v>686</v>
      </c>
      <c r="E40" s="9" t="s">
        <v>816</v>
      </c>
      <c r="F40" s="9" t="s">
        <v>818</v>
      </c>
      <c r="G40" s="9">
        <v>35980</v>
      </c>
      <c r="H40" s="9" t="s">
        <v>819</v>
      </c>
      <c r="I40" s="9">
        <v>180</v>
      </c>
      <c r="J40" s="9">
        <v>18</v>
      </c>
      <c r="K40" s="9">
        <v>0</v>
      </c>
    </row>
    <row r="41" spans="1:11" x14ac:dyDescent="0.4">
      <c r="A41" s="9" t="s">
        <v>286</v>
      </c>
      <c r="B41" s="9" t="s">
        <v>12</v>
      </c>
      <c r="C41" s="9">
        <v>14</v>
      </c>
      <c r="D41" s="9" t="s">
        <v>686</v>
      </c>
      <c r="E41" s="9" t="s">
        <v>820</v>
      </c>
      <c r="F41" s="9" t="s">
        <v>822</v>
      </c>
      <c r="G41" s="9">
        <v>35953</v>
      </c>
      <c r="H41" s="9" t="s">
        <v>823</v>
      </c>
      <c r="I41" s="9">
        <v>170</v>
      </c>
      <c r="J41" s="9">
        <v>22</v>
      </c>
      <c r="K41" s="9">
        <v>4</v>
      </c>
    </row>
    <row r="42" spans="1:11" x14ac:dyDescent="0.4">
      <c r="A42" s="9" t="s">
        <v>286</v>
      </c>
      <c r="B42" s="9" t="s">
        <v>12</v>
      </c>
      <c r="C42" s="9">
        <v>15</v>
      </c>
      <c r="D42" s="9" t="s">
        <v>669</v>
      </c>
      <c r="E42" s="9" t="s">
        <v>824</v>
      </c>
      <c r="F42" s="9" t="s">
        <v>826</v>
      </c>
      <c r="G42" s="9">
        <v>37029</v>
      </c>
      <c r="H42" s="9" t="s">
        <v>819</v>
      </c>
      <c r="I42" s="9">
        <v>183</v>
      </c>
      <c r="J42" s="9">
        <v>41</v>
      </c>
      <c r="K42" s="9">
        <v>3</v>
      </c>
    </row>
    <row r="43" spans="1:11" x14ac:dyDescent="0.4">
      <c r="A43" s="9" t="s">
        <v>286</v>
      </c>
      <c r="B43" s="9" t="s">
        <v>12</v>
      </c>
      <c r="C43" s="9">
        <v>16</v>
      </c>
      <c r="D43" s="9" t="s">
        <v>669</v>
      </c>
      <c r="E43" s="9" t="s">
        <v>827</v>
      </c>
      <c r="F43" s="9" t="s">
        <v>829</v>
      </c>
      <c r="G43" s="9">
        <v>33223</v>
      </c>
      <c r="H43" s="9" t="s">
        <v>795</v>
      </c>
      <c r="I43" s="9">
        <v>170</v>
      </c>
      <c r="J43" s="9">
        <v>30</v>
      </c>
      <c r="K43" s="9">
        <v>0</v>
      </c>
    </row>
    <row r="44" spans="1:11" x14ac:dyDescent="0.4">
      <c r="A44" s="9" t="s">
        <v>286</v>
      </c>
      <c r="B44" s="9" t="s">
        <v>12</v>
      </c>
      <c r="C44" s="9">
        <v>17</v>
      </c>
      <c r="D44" s="9" t="s">
        <v>691</v>
      </c>
      <c r="E44" s="9" t="s">
        <v>830</v>
      </c>
      <c r="F44" s="9" t="s">
        <v>832</v>
      </c>
      <c r="G44" s="9">
        <v>38757</v>
      </c>
      <c r="H44" s="9" t="s">
        <v>833</v>
      </c>
      <c r="I44" s="9">
        <v>165</v>
      </c>
      <c r="J44" s="9">
        <v>3</v>
      </c>
      <c r="K44" s="9">
        <v>1</v>
      </c>
    </row>
    <row r="45" spans="1:11" x14ac:dyDescent="0.4">
      <c r="A45" s="9" t="s">
        <v>286</v>
      </c>
      <c r="B45" s="9" t="s">
        <v>12</v>
      </c>
      <c r="C45" s="9">
        <v>18</v>
      </c>
      <c r="D45" s="9" t="s">
        <v>664</v>
      </c>
      <c r="E45" s="9" t="s">
        <v>834</v>
      </c>
      <c r="F45" s="9" t="s">
        <v>836</v>
      </c>
      <c r="G45" s="9">
        <v>37839</v>
      </c>
      <c r="H45" s="9" t="s">
        <v>795</v>
      </c>
      <c r="I45" s="9">
        <v>189</v>
      </c>
      <c r="J45" s="9">
        <v>34</v>
      </c>
      <c r="K45" s="9">
        <v>3</v>
      </c>
    </row>
    <row r="46" spans="1:11" x14ac:dyDescent="0.4">
      <c r="A46" s="9" t="s">
        <v>286</v>
      </c>
      <c r="B46" s="9" t="s">
        <v>12</v>
      </c>
      <c r="C46" s="9">
        <v>19</v>
      </c>
      <c r="D46" s="9" t="s">
        <v>669</v>
      </c>
      <c r="E46" s="9" t="s">
        <v>837</v>
      </c>
      <c r="F46" s="9" t="s">
        <v>839</v>
      </c>
      <c r="G46" s="9">
        <v>36090</v>
      </c>
      <c r="H46" s="9" t="s">
        <v>840</v>
      </c>
      <c r="I46" s="9">
        <v>198</v>
      </c>
      <c r="J46" s="9">
        <v>9</v>
      </c>
      <c r="K46" s="9">
        <v>1</v>
      </c>
    </row>
    <row r="47" spans="1:11" x14ac:dyDescent="0.4">
      <c r="A47" s="9" t="s">
        <v>286</v>
      </c>
      <c r="B47" s="9" t="s">
        <v>12</v>
      </c>
      <c r="C47" s="9">
        <v>20</v>
      </c>
      <c r="D47" s="9" t="s">
        <v>691</v>
      </c>
      <c r="E47" s="9" t="s">
        <v>841</v>
      </c>
      <c r="F47" s="9" t="s">
        <v>843</v>
      </c>
      <c r="G47" s="9">
        <v>37940</v>
      </c>
      <c r="H47" s="9" t="s">
        <v>844</v>
      </c>
      <c r="I47" s="9">
        <v>187</v>
      </c>
      <c r="J47" s="9">
        <v>57</v>
      </c>
      <c r="K47" s="9">
        <v>7</v>
      </c>
    </row>
    <row r="48" spans="1:11" x14ac:dyDescent="0.4">
      <c r="A48" s="9" t="s">
        <v>286</v>
      </c>
      <c r="B48" s="9" t="s">
        <v>12</v>
      </c>
      <c r="C48" s="9">
        <v>21</v>
      </c>
      <c r="D48" s="9" t="s">
        <v>669</v>
      </c>
      <c r="E48" s="9" t="s">
        <v>845</v>
      </c>
      <c r="F48" s="9" t="s">
        <v>847</v>
      </c>
      <c r="G48" s="9">
        <v>34993</v>
      </c>
      <c r="H48" s="9" t="s">
        <v>848</v>
      </c>
      <c r="I48" s="9">
        <v>194</v>
      </c>
      <c r="J48" s="9">
        <v>30</v>
      </c>
      <c r="K48" s="9">
        <v>1</v>
      </c>
    </row>
    <row r="49" spans="1:11" x14ac:dyDescent="0.4">
      <c r="A49" s="9" t="s">
        <v>286</v>
      </c>
      <c r="B49" s="9" t="s">
        <v>12</v>
      </c>
      <c r="C49" s="9">
        <v>22</v>
      </c>
      <c r="D49" s="9" t="s">
        <v>686</v>
      </c>
      <c r="E49" s="9" t="s">
        <v>849</v>
      </c>
      <c r="F49" s="9" t="s">
        <v>851</v>
      </c>
      <c r="G49" s="9">
        <v>34035</v>
      </c>
      <c r="H49" s="9" t="s">
        <v>799</v>
      </c>
      <c r="I49" s="9">
        <v>189</v>
      </c>
      <c r="J49" s="9">
        <v>19</v>
      </c>
      <c r="K49" s="9">
        <v>0</v>
      </c>
    </row>
    <row r="50" spans="1:11" x14ac:dyDescent="0.4">
      <c r="A50" s="9" t="s">
        <v>286</v>
      </c>
      <c r="B50" s="9" t="s">
        <v>12</v>
      </c>
      <c r="C50" s="9">
        <v>23</v>
      </c>
      <c r="D50" s="9" t="s">
        <v>691</v>
      </c>
      <c r="E50" s="9" t="s">
        <v>852</v>
      </c>
      <c r="F50" s="9" t="s">
        <v>854</v>
      </c>
      <c r="G50" s="9">
        <v>37018</v>
      </c>
      <c r="H50" s="9" t="s">
        <v>855</v>
      </c>
      <c r="I50" s="9">
        <v>181</v>
      </c>
      <c r="J50" s="9">
        <v>11</v>
      </c>
      <c r="K50" s="9">
        <v>0</v>
      </c>
    </row>
    <row r="51" spans="1:11" x14ac:dyDescent="0.4">
      <c r="A51" s="9" t="s">
        <v>286</v>
      </c>
      <c r="B51" s="9" t="s">
        <v>12</v>
      </c>
      <c r="C51" s="9">
        <v>24</v>
      </c>
      <c r="D51" s="9" t="s">
        <v>686</v>
      </c>
      <c r="E51" s="9" t="s">
        <v>856</v>
      </c>
      <c r="F51" s="9" t="s">
        <v>858</v>
      </c>
      <c r="G51" s="9">
        <v>38376</v>
      </c>
      <c r="H51" s="9" t="s">
        <v>859</v>
      </c>
      <c r="I51" s="9">
        <v>185</v>
      </c>
      <c r="J51" s="9">
        <v>3</v>
      </c>
      <c r="K51" s="9">
        <v>0</v>
      </c>
    </row>
    <row r="52" spans="1:11" x14ac:dyDescent="0.4">
      <c r="A52" s="9" t="s">
        <v>286</v>
      </c>
      <c r="B52" s="9" t="s">
        <v>12</v>
      </c>
      <c r="C52" s="9">
        <v>25</v>
      </c>
      <c r="D52" s="9" t="s">
        <v>669</v>
      </c>
      <c r="E52" s="9" t="s">
        <v>860</v>
      </c>
      <c r="F52" s="9" t="s">
        <v>862</v>
      </c>
      <c r="G52" s="9">
        <v>39330</v>
      </c>
      <c r="H52" s="9" t="s">
        <v>863</v>
      </c>
      <c r="I52" s="9">
        <v>193</v>
      </c>
      <c r="J52" s="9">
        <v>4</v>
      </c>
      <c r="K52" s="9">
        <v>0</v>
      </c>
    </row>
    <row r="53" spans="1:11" x14ac:dyDescent="0.4">
      <c r="A53" s="9" t="s">
        <v>286</v>
      </c>
      <c r="B53" s="9" t="s">
        <v>12</v>
      </c>
      <c r="C53" s="9">
        <v>26</v>
      </c>
      <c r="D53" s="9" t="s">
        <v>691</v>
      </c>
      <c r="E53" s="9" t="s">
        <v>864</v>
      </c>
      <c r="F53" s="9" t="s">
        <v>866</v>
      </c>
      <c r="G53" s="9">
        <v>36858</v>
      </c>
      <c r="H53" s="9" t="s">
        <v>867</v>
      </c>
      <c r="I53" s="9">
        <v>197</v>
      </c>
      <c r="J53" s="9">
        <v>35</v>
      </c>
      <c r="K53" s="9">
        <v>6</v>
      </c>
    </row>
    <row r="54" spans="1:11" x14ac:dyDescent="0.4">
      <c r="A54" s="9" t="s">
        <v>298</v>
      </c>
      <c r="B54" s="9" t="s">
        <v>24</v>
      </c>
      <c r="C54" s="9">
        <v>1</v>
      </c>
      <c r="D54" s="9" t="s">
        <v>664</v>
      </c>
      <c r="E54" s="9" t="s">
        <v>868</v>
      </c>
      <c r="F54" s="9" t="s">
        <v>870</v>
      </c>
      <c r="G54" s="9">
        <v>35096</v>
      </c>
      <c r="H54" s="9" t="s">
        <v>871</v>
      </c>
      <c r="I54" s="9">
        <v>188</v>
      </c>
      <c r="J54" s="9">
        <v>30</v>
      </c>
      <c r="K54" s="9">
        <v>0</v>
      </c>
    </row>
    <row r="55" spans="1:11" x14ac:dyDescent="0.4">
      <c r="A55" s="9" t="s">
        <v>298</v>
      </c>
      <c r="B55" s="9" t="s">
        <v>24</v>
      </c>
      <c r="C55" s="9">
        <v>2</v>
      </c>
      <c r="D55" s="9" t="s">
        <v>669</v>
      </c>
      <c r="E55" s="9" t="s">
        <v>872</v>
      </c>
      <c r="F55" s="9" t="s">
        <v>874</v>
      </c>
      <c r="G55" s="9">
        <v>36969</v>
      </c>
      <c r="H55" s="9" t="s">
        <v>875</v>
      </c>
      <c r="I55" s="9">
        <v>185</v>
      </c>
      <c r="J55" s="9">
        <v>1</v>
      </c>
      <c r="K55" s="9">
        <v>0</v>
      </c>
    </row>
    <row r="56" spans="1:11" x14ac:dyDescent="0.4">
      <c r="A56" s="9" t="s">
        <v>298</v>
      </c>
      <c r="B56" s="9" t="s">
        <v>24</v>
      </c>
      <c r="C56" s="9">
        <v>3</v>
      </c>
      <c r="D56" s="9" t="s">
        <v>669</v>
      </c>
      <c r="E56" s="9" t="s">
        <v>876</v>
      </c>
      <c r="F56" s="9" t="s">
        <v>878</v>
      </c>
      <c r="G56" s="9">
        <v>36057</v>
      </c>
      <c r="H56" s="9" t="s">
        <v>879</v>
      </c>
      <c r="I56" s="9">
        <v>190</v>
      </c>
      <c r="J56" s="9">
        <v>36</v>
      </c>
      <c r="K56" s="9">
        <v>0</v>
      </c>
    </row>
    <row r="57" spans="1:11" x14ac:dyDescent="0.4">
      <c r="A57" s="9" t="s">
        <v>298</v>
      </c>
      <c r="B57" s="9" t="s">
        <v>24</v>
      </c>
      <c r="C57" s="9">
        <v>4</v>
      </c>
      <c r="D57" s="9" t="s">
        <v>686</v>
      </c>
      <c r="E57" s="9" t="s">
        <v>880</v>
      </c>
      <c r="F57" s="9" t="s">
        <v>882</v>
      </c>
      <c r="G57" s="9">
        <v>35701</v>
      </c>
      <c r="H57" s="9" t="s">
        <v>883</v>
      </c>
      <c r="I57" s="9">
        <v>174</v>
      </c>
      <c r="J57" s="9">
        <v>55</v>
      </c>
      <c r="K57" s="9">
        <v>4</v>
      </c>
    </row>
    <row r="58" spans="1:11" x14ac:dyDescent="0.4">
      <c r="A58" s="9" t="s">
        <v>298</v>
      </c>
      <c r="B58" s="9" t="s">
        <v>24</v>
      </c>
      <c r="C58" s="9">
        <v>5</v>
      </c>
      <c r="D58" s="9" t="s">
        <v>669</v>
      </c>
      <c r="E58" s="9" t="s">
        <v>884</v>
      </c>
      <c r="F58" s="9" t="s">
        <v>886</v>
      </c>
      <c r="G58" s="9">
        <v>35564</v>
      </c>
      <c r="H58" s="9" t="s">
        <v>887</v>
      </c>
      <c r="I58" s="9">
        <v>188</v>
      </c>
      <c r="J58" s="9">
        <v>56</v>
      </c>
      <c r="K58" s="9">
        <v>5</v>
      </c>
    </row>
    <row r="59" spans="1:11" x14ac:dyDescent="0.4">
      <c r="A59" s="9" t="s">
        <v>298</v>
      </c>
      <c r="B59" s="9" t="s">
        <v>24</v>
      </c>
      <c r="C59" s="9">
        <v>6</v>
      </c>
      <c r="D59" s="9" t="s">
        <v>686</v>
      </c>
      <c r="E59" s="9" t="s">
        <v>888</v>
      </c>
      <c r="F59" s="9" t="s">
        <v>890</v>
      </c>
      <c r="G59" s="9">
        <v>37015</v>
      </c>
      <c r="H59" s="9" t="s">
        <v>883</v>
      </c>
      <c r="I59" s="9">
        <v>179</v>
      </c>
      <c r="J59" s="9">
        <v>51</v>
      </c>
      <c r="K59" s="9">
        <v>1</v>
      </c>
    </row>
    <row r="60" spans="1:11" x14ac:dyDescent="0.4">
      <c r="A60" s="9" t="s">
        <v>298</v>
      </c>
      <c r="B60" s="9" t="s">
        <v>24</v>
      </c>
      <c r="C60" s="9">
        <v>7</v>
      </c>
      <c r="D60" s="9" t="s">
        <v>691</v>
      </c>
      <c r="E60" s="9" t="s">
        <v>891</v>
      </c>
      <c r="F60" s="9" t="s">
        <v>893</v>
      </c>
      <c r="G60" s="9">
        <v>32617</v>
      </c>
      <c r="H60" s="9" t="s">
        <v>894</v>
      </c>
      <c r="I60" s="9">
        <v>192</v>
      </c>
      <c r="J60" s="9">
        <v>137</v>
      </c>
      <c r="K60" s="9">
        <v>49</v>
      </c>
    </row>
    <row r="61" spans="1:11" x14ac:dyDescent="0.4">
      <c r="A61" s="9" t="s">
        <v>298</v>
      </c>
      <c r="B61" s="9" t="s">
        <v>24</v>
      </c>
      <c r="C61" s="9">
        <v>8</v>
      </c>
      <c r="D61" s="9" t="s">
        <v>669</v>
      </c>
      <c r="E61" s="9" t="s">
        <v>895</v>
      </c>
      <c r="F61" s="9" t="s">
        <v>897</v>
      </c>
      <c r="G61" s="9">
        <v>33779</v>
      </c>
      <c r="H61" s="9" t="s">
        <v>898</v>
      </c>
      <c r="I61" s="9">
        <v>180</v>
      </c>
      <c r="J61" s="9">
        <v>117</v>
      </c>
      <c r="K61" s="9">
        <v>15</v>
      </c>
    </row>
    <row r="62" spans="1:11" x14ac:dyDescent="0.4">
      <c r="A62" s="9" t="s">
        <v>298</v>
      </c>
      <c r="B62" s="9" t="s">
        <v>24</v>
      </c>
      <c r="C62" s="9">
        <v>9</v>
      </c>
      <c r="D62" s="9" t="s">
        <v>686</v>
      </c>
      <c r="E62" s="9" t="s">
        <v>899</v>
      </c>
      <c r="F62" s="9" t="s">
        <v>901</v>
      </c>
      <c r="G62" s="9">
        <v>34410</v>
      </c>
      <c r="H62" s="9" t="s">
        <v>749</v>
      </c>
      <c r="I62" s="9">
        <v>178</v>
      </c>
      <c r="J62" s="9">
        <v>102</v>
      </c>
      <c r="K62" s="9">
        <v>27</v>
      </c>
    </row>
    <row r="63" spans="1:11" x14ac:dyDescent="0.4">
      <c r="A63" s="9" t="s">
        <v>298</v>
      </c>
      <c r="B63" s="9" t="s">
        <v>24</v>
      </c>
      <c r="C63" s="9">
        <v>10</v>
      </c>
      <c r="D63" s="9" t="s">
        <v>686</v>
      </c>
      <c r="E63" s="9" t="s">
        <v>902</v>
      </c>
      <c r="F63" s="9" t="s">
        <v>904</v>
      </c>
      <c r="G63" s="9">
        <v>34918</v>
      </c>
      <c r="H63" s="9" t="s">
        <v>905</v>
      </c>
      <c r="I63" s="9">
        <v>186</v>
      </c>
      <c r="J63" s="9">
        <v>61</v>
      </c>
      <c r="K63" s="9">
        <v>1</v>
      </c>
    </row>
    <row r="64" spans="1:11" x14ac:dyDescent="0.4">
      <c r="A64" s="9" t="s">
        <v>298</v>
      </c>
      <c r="B64" s="9" t="s">
        <v>24</v>
      </c>
      <c r="C64" s="9">
        <v>11</v>
      </c>
      <c r="D64" s="9" t="s">
        <v>691</v>
      </c>
      <c r="E64" s="9" t="s">
        <v>906</v>
      </c>
      <c r="F64" s="9" t="s">
        <v>908</v>
      </c>
      <c r="G64" s="9">
        <v>34442</v>
      </c>
      <c r="H64" s="9" t="s">
        <v>909</v>
      </c>
      <c r="I64" s="9">
        <v>193</v>
      </c>
      <c r="J64" s="9">
        <v>78</v>
      </c>
      <c r="K64" s="9">
        <v>24</v>
      </c>
    </row>
    <row r="65" spans="1:11" x14ac:dyDescent="0.4">
      <c r="A65" s="9" t="s">
        <v>298</v>
      </c>
      <c r="B65" s="9" t="s">
        <v>24</v>
      </c>
      <c r="C65" s="9">
        <v>12</v>
      </c>
      <c r="D65" s="9" t="s">
        <v>664</v>
      </c>
      <c r="E65" s="9" t="s">
        <v>910</v>
      </c>
      <c r="F65" s="9" t="s">
        <v>911</v>
      </c>
      <c r="G65" s="9">
        <v>36971</v>
      </c>
      <c r="H65" s="9" t="s">
        <v>912</v>
      </c>
      <c r="I65" s="9">
        <v>205</v>
      </c>
      <c r="J65" s="9">
        <v>1</v>
      </c>
      <c r="K65" s="9">
        <v>0</v>
      </c>
    </row>
    <row r="66" spans="1:11" x14ac:dyDescent="0.4">
      <c r="A66" s="9" t="s">
        <v>298</v>
      </c>
      <c r="B66" s="9" t="s">
        <v>24</v>
      </c>
      <c r="C66" s="9">
        <v>13</v>
      </c>
      <c r="D66" s="9" t="s">
        <v>664</v>
      </c>
      <c r="E66" s="9" t="s">
        <v>913</v>
      </c>
      <c r="F66" s="9" t="s">
        <v>915</v>
      </c>
      <c r="G66" s="9">
        <v>35432</v>
      </c>
      <c r="H66" s="9" t="s">
        <v>916</v>
      </c>
      <c r="I66" s="9">
        <v>183</v>
      </c>
      <c r="J66" s="9">
        <v>18</v>
      </c>
      <c r="K66" s="9">
        <v>0</v>
      </c>
    </row>
    <row r="67" spans="1:11" x14ac:dyDescent="0.4">
      <c r="A67" s="9" t="s">
        <v>298</v>
      </c>
      <c r="B67" s="9" t="s">
        <v>24</v>
      </c>
      <c r="C67" s="9">
        <v>14</v>
      </c>
      <c r="D67" s="9" t="s">
        <v>691</v>
      </c>
      <c r="E67" s="9" t="s">
        <v>917</v>
      </c>
      <c r="F67" s="9" t="s">
        <v>919</v>
      </c>
      <c r="G67" s="9">
        <v>35618</v>
      </c>
      <c r="H67" s="9" t="s">
        <v>920</v>
      </c>
      <c r="I67" s="9">
        <v>200</v>
      </c>
      <c r="J67" s="9">
        <v>25</v>
      </c>
      <c r="K67" s="9">
        <v>5</v>
      </c>
    </row>
    <row r="68" spans="1:11" x14ac:dyDescent="0.4">
      <c r="A68" s="9" t="s">
        <v>298</v>
      </c>
      <c r="B68" s="9" t="s">
        <v>24</v>
      </c>
      <c r="C68" s="9">
        <v>15</v>
      </c>
      <c r="D68" s="9" t="s">
        <v>669</v>
      </c>
      <c r="E68" s="9" t="s">
        <v>922</v>
      </c>
      <c r="F68" s="9" t="s">
        <v>924</v>
      </c>
      <c r="G68" s="9">
        <v>35257</v>
      </c>
      <c r="H68" s="9" t="s">
        <v>925</v>
      </c>
      <c r="I68" s="9">
        <v>189</v>
      </c>
      <c r="J68" s="9">
        <v>43</v>
      </c>
      <c r="K68" s="9">
        <v>3</v>
      </c>
    </row>
    <row r="69" spans="1:11" x14ac:dyDescent="0.4">
      <c r="A69" s="9" t="s">
        <v>298</v>
      </c>
      <c r="B69" s="9" t="s">
        <v>24</v>
      </c>
      <c r="C69" s="9">
        <v>16</v>
      </c>
      <c r="D69" s="9" t="s">
        <v>669</v>
      </c>
      <c r="E69" s="9" t="s">
        <v>926</v>
      </c>
      <c r="F69" s="9" t="s">
        <v>928</v>
      </c>
      <c r="G69" s="9">
        <v>34363</v>
      </c>
      <c r="H69" s="9" t="s">
        <v>887</v>
      </c>
      <c r="I69" s="9">
        <v>170</v>
      </c>
      <c r="J69" s="9">
        <v>32</v>
      </c>
      <c r="K69" s="9">
        <v>0</v>
      </c>
    </row>
    <row r="70" spans="1:11" x14ac:dyDescent="0.4">
      <c r="A70" s="9" t="s">
        <v>298</v>
      </c>
      <c r="B70" s="9" t="s">
        <v>24</v>
      </c>
      <c r="C70" s="9">
        <v>17</v>
      </c>
      <c r="D70" s="9" t="s">
        <v>686</v>
      </c>
      <c r="E70" s="9" t="s">
        <v>929</v>
      </c>
      <c r="F70" s="9" t="s">
        <v>931</v>
      </c>
      <c r="G70" s="9">
        <v>37914</v>
      </c>
      <c r="H70" s="9" t="s">
        <v>749</v>
      </c>
      <c r="I70" s="9">
        <v>187</v>
      </c>
      <c r="J70" s="9">
        <v>6</v>
      </c>
      <c r="K70" s="9">
        <v>1</v>
      </c>
    </row>
    <row r="71" spans="1:11" x14ac:dyDescent="0.4">
      <c r="A71" s="9" t="s">
        <v>298</v>
      </c>
      <c r="B71" s="9" t="s">
        <v>24</v>
      </c>
      <c r="C71" s="9">
        <v>18</v>
      </c>
      <c r="D71" s="9" t="s">
        <v>686</v>
      </c>
      <c r="E71" s="9" t="s">
        <v>932</v>
      </c>
      <c r="F71" s="9" t="s">
        <v>934</v>
      </c>
      <c r="G71" s="9">
        <v>36552</v>
      </c>
      <c r="H71" s="9" t="s">
        <v>935</v>
      </c>
      <c r="I71" s="9">
        <v>168</v>
      </c>
      <c r="J71" s="9">
        <v>38</v>
      </c>
      <c r="K71" s="9">
        <v>4</v>
      </c>
    </row>
    <row r="72" spans="1:11" x14ac:dyDescent="0.4">
      <c r="A72" s="9" t="s">
        <v>298</v>
      </c>
      <c r="B72" s="9" t="s">
        <v>24</v>
      </c>
      <c r="C72" s="9">
        <v>19</v>
      </c>
      <c r="D72" s="9" t="s">
        <v>686</v>
      </c>
      <c r="E72" s="9" t="s">
        <v>936</v>
      </c>
      <c r="F72" s="9" t="s">
        <v>938</v>
      </c>
      <c r="G72" s="9">
        <v>35711</v>
      </c>
      <c r="H72" s="9" t="s">
        <v>939</v>
      </c>
      <c r="I72" s="9">
        <v>187</v>
      </c>
      <c r="J72" s="9">
        <v>9</v>
      </c>
      <c r="K72" s="9">
        <v>1</v>
      </c>
    </row>
    <row r="73" spans="1:11" x14ac:dyDescent="0.4">
      <c r="A73" s="9" t="s">
        <v>298</v>
      </c>
      <c r="B73" s="9" t="s">
        <v>24</v>
      </c>
      <c r="C73" s="9">
        <v>20</v>
      </c>
      <c r="D73" s="9" t="s">
        <v>686</v>
      </c>
      <c r="E73" s="9" t="s">
        <v>941</v>
      </c>
      <c r="F73" s="9" t="s">
        <v>943</v>
      </c>
      <c r="G73" s="9">
        <v>35577</v>
      </c>
      <c r="H73" s="9" t="s">
        <v>944</v>
      </c>
      <c r="I73" s="9">
        <v>180</v>
      </c>
      <c r="J73" s="9">
        <v>61</v>
      </c>
      <c r="K73" s="9">
        <v>7</v>
      </c>
    </row>
    <row r="74" spans="1:11" x14ac:dyDescent="0.4">
      <c r="A74" s="9" t="s">
        <v>298</v>
      </c>
      <c r="B74" s="9" t="s">
        <v>24</v>
      </c>
      <c r="C74" s="9">
        <v>21</v>
      </c>
      <c r="D74" s="9" t="s">
        <v>691</v>
      </c>
      <c r="E74" s="9" t="s">
        <v>945</v>
      </c>
      <c r="F74" s="9" t="s">
        <v>946</v>
      </c>
      <c r="G74" s="9">
        <v>37041</v>
      </c>
      <c r="H74" s="9" t="s">
        <v>738</v>
      </c>
      <c r="I74" s="9">
        <v>182</v>
      </c>
      <c r="J74" s="9">
        <v>32</v>
      </c>
      <c r="K74" s="9">
        <v>1</v>
      </c>
    </row>
    <row r="75" spans="1:11" x14ac:dyDescent="0.4">
      <c r="A75" s="9" t="s">
        <v>298</v>
      </c>
      <c r="B75" s="9" t="s">
        <v>24</v>
      </c>
      <c r="C75" s="9">
        <v>22</v>
      </c>
      <c r="D75" s="9" t="s">
        <v>686</v>
      </c>
      <c r="E75" s="9" t="s">
        <v>947</v>
      </c>
      <c r="F75" s="9" t="s">
        <v>948</v>
      </c>
      <c r="G75" s="9">
        <v>37037</v>
      </c>
      <c r="H75" s="9" t="s">
        <v>949</v>
      </c>
      <c r="I75" s="9">
        <v>180</v>
      </c>
      <c r="J75" s="9">
        <v>21</v>
      </c>
      <c r="K75" s="9">
        <v>0</v>
      </c>
    </row>
    <row r="76" spans="1:11" x14ac:dyDescent="0.4">
      <c r="A76" s="9" t="s">
        <v>298</v>
      </c>
      <c r="B76" s="9" t="s">
        <v>24</v>
      </c>
      <c r="C76" s="9">
        <v>23</v>
      </c>
      <c r="D76" s="9" t="s">
        <v>669</v>
      </c>
      <c r="E76" s="9" t="s">
        <v>950</v>
      </c>
      <c r="F76" s="9" t="s">
        <v>952</v>
      </c>
      <c r="G76" s="9">
        <v>35870</v>
      </c>
      <c r="H76" s="9" t="s">
        <v>935</v>
      </c>
      <c r="I76" s="9">
        <v>187</v>
      </c>
      <c r="J76" s="9">
        <v>12</v>
      </c>
      <c r="K76" s="9">
        <v>0</v>
      </c>
    </row>
    <row r="77" spans="1:11" x14ac:dyDescent="0.4">
      <c r="A77" s="9" t="s">
        <v>298</v>
      </c>
      <c r="B77" s="9" t="s">
        <v>24</v>
      </c>
      <c r="C77" s="9">
        <v>24</v>
      </c>
      <c r="D77" s="9" t="s">
        <v>686</v>
      </c>
      <c r="E77" s="9" t="s">
        <v>953</v>
      </c>
      <c r="F77" s="9" t="s">
        <v>955</v>
      </c>
      <c r="G77" s="9">
        <v>38709</v>
      </c>
      <c r="H77" s="9" t="s">
        <v>956</v>
      </c>
      <c r="I77" s="9">
        <v>185</v>
      </c>
      <c r="J77" s="9">
        <v>7</v>
      </c>
      <c r="K77" s="9">
        <v>0</v>
      </c>
    </row>
    <row r="78" spans="1:11" x14ac:dyDescent="0.4">
      <c r="A78" s="9" t="s">
        <v>298</v>
      </c>
      <c r="B78" s="9" t="s">
        <v>24</v>
      </c>
      <c r="C78" s="9">
        <v>25</v>
      </c>
      <c r="D78" s="9" t="s">
        <v>669</v>
      </c>
      <c r="E78" s="9" t="s">
        <v>957</v>
      </c>
      <c r="F78" s="9" t="s">
        <v>958</v>
      </c>
      <c r="G78" s="9">
        <v>36083</v>
      </c>
      <c r="H78" s="9" t="s">
        <v>959</v>
      </c>
      <c r="I78" s="9">
        <v>195</v>
      </c>
      <c r="J78" s="9">
        <v>4</v>
      </c>
      <c r="K78" s="9">
        <v>0</v>
      </c>
    </row>
    <row r="79" spans="1:11" x14ac:dyDescent="0.4">
      <c r="A79" s="9" t="s">
        <v>298</v>
      </c>
      <c r="B79" s="9" t="s">
        <v>24</v>
      </c>
      <c r="C79" s="9">
        <v>26</v>
      </c>
      <c r="D79" s="9" t="s">
        <v>686</v>
      </c>
      <c r="E79" s="9" t="s">
        <v>960</v>
      </c>
      <c r="F79" s="9" t="s">
        <v>962</v>
      </c>
      <c r="G79" s="9">
        <v>34372</v>
      </c>
      <c r="H79" s="9" t="s">
        <v>963</v>
      </c>
      <c r="I79" s="9">
        <v>178</v>
      </c>
      <c r="J79" s="9">
        <v>35</v>
      </c>
      <c r="K79" s="9">
        <v>6</v>
      </c>
    </row>
    <row r="80" spans="1:11" x14ac:dyDescent="0.4">
      <c r="A80" s="9" t="s">
        <v>290</v>
      </c>
      <c r="B80" s="9" t="s">
        <v>16</v>
      </c>
      <c r="C80" s="9">
        <v>1</v>
      </c>
      <c r="D80" s="9" t="s">
        <v>664</v>
      </c>
      <c r="E80" s="9" t="s">
        <v>964</v>
      </c>
      <c r="F80" s="9" t="s">
        <v>966</v>
      </c>
      <c r="G80" s="9">
        <v>33735</v>
      </c>
      <c r="H80" s="9" t="s">
        <v>898</v>
      </c>
      <c r="I80" s="9">
        <v>199</v>
      </c>
      <c r="J80" s="9">
        <v>109</v>
      </c>
      <c r="K80" s="9">
        <v>0</v>
      </c>
    </row>
    <row r="81" spans="1:11" x14ac:dyDescent="0.4">
      <c r="A81" s="9" t="s">
        <v>290</v>
      </c>
      <c r="B81" s="9" t="s">
        <v>16</v>
      </c>
      <c r="C81" s="9">
        <v>2</v>
      </c>
      <c r="D81" s="9" t="s">
        <v>669</v>
      </c>
      <c r="E81" s="9" t="s">
        <v>967</v>
      </c>
      <c r="F81" s="9" t="s">
        <v>969</v>
      </c>
      <c r="G81" s="9">
        <v>37918</v>
      </c>
      <c r="H81" s="9" t="s">
        <v>970</v>
      </c>
      <c r="I81" s="9">
        <v>189</v>
      </c>
      <c r="J81" s="9">
        <v>26</v>
      </c>
      <c r="K81" s="9">
        <v>1</v>
      </c>
    </row>
    <row r="82" spans="1:11" x14ac:dyDescent="0.4">
      <c r="A82" s="9" t="s">
        <v>290</v>
      </c>
      <c r="B82" s="9" t="s">
        <v>16</v>
      </c>
      <c r="C82" s="9">
        <v>3</v>
      </c>
      <c r="D82" s="9" t="s">
        <v>669</v>
      </c>
      <c r="E82" s="9" t="s">
        <v>971</v>
      </c>
      <c r="F82" s="9" t="s">
        <v>973</v>
      </c>
      <c r="G82" s="9">
        <v>36671</v>
      </c>
      <c r="H82" s="9" t="s">
        <v>707</v>
      </c>
      <c r="I82" s="9">
        <v>185</v>
      </c>
      <c r="J82" s="9">
        <v>33</v>
      </c>
      <c r="K82" s="9">
        <v>1</v>
      </c>
    </row>
    <row r="83" spans="1:11" x14ac:dyDescent="0.4">
      <c r="A83" s="9" t="s">
        <v>290</v>
      </c>
      <c r="B83" s="9" t="s">
        <v>16</v>
      </c>
      <c r="C83" s="9">
        <v>4</v>
      </c>
      <c r="D83" s="9" t="s">
        <v>669</v>
      </c>
      <c r="E83" s="9" t="s">
        <v>974</v>
      </c>
      <c r="F83" s="9" t="s">
        <v>976</v>
      </c>
      <c r="G83" s="9">
        <v>33997</v>
      </c>
      <c r="H83" s="9" t="s">
        <v>977</v>
      </c>
      <c r="I83" s="9">
        <v>190</v>
      </c>
      <c r="J83" s="9">
        <v>9</v>
      </c>
      <c r="K83" s="9">
        <v>1</v>
      </c>
    </row>
    <row r="84" spans="1:11" x14ac:dyDescent="0.4">
      <c r="A84" s="9" t="s">
        <v>290</v>
      </c>
      <c r="B84" s="9" t="s">
        <v>16</v>
      </c>
      <c r="C84" s="9">
        <v>5</v>
      </c>
      <c r="D84" s="9" t="s">
        <v>669</v>
      </c>
      <c r="E84" s="9" t="s">
        <v>978</v>
      </c>
      <c r="F84" s="9" t="s">
        <v>980</v>
      </c>
      <c r="G84" s="9">
        <v>36882</v>
      </c>
      <c r="H84" s="9" t="s">
        <v>981</v>
      </c>
      <c r="I84" s="9">
        <v>182</v>
      </c>
      <c r="J84" s="9">
        <v>19</v>
      </c>
      <c r="K84" s="9">
        <v>4</v>
      </c>
    </row>
    <row r="85" spans="1:11" x14ac:dyDescent="0.4">
      <c r="A85" s="9" t="s">
        <v>290</v>
      </c>
      <c r="B85" s="9" t="s">
        <v>16</v>
      </c>
      <c r="C85" s="9">
        <v>6</v>
      </c>
      <c r="D85" s="9" t="s">
        <v>686</v>
      </c>
      <c r="E85" s="9" t="s">
        <v>982</v>
      </c>
      <c r="F85" s="9" t="s">
        <v>984</v>
      </c>
      <c r="G85" s="9">
        <v>32520</v>
      </c>
      <c r="H85" s="9" t="s">
        <v>985</v>
      </c>
      <c r="I85" s="9">
        <v>186</v>
      </c>
      <c r="J85" s="9">
        <v>138</v>
      </c>
      <c r="K85" s="9">
        <v>12</v>
      </c>
    </row>
    <row r="86" spans="1:11" x14ac:dyDescent="0.4">
      <c r="A86" s="9" t="s">
        <v>290</v>
      </c>
      <c r="B86" s="9" t="s">
        <v>16</v>
      </c>
      <c r="C86" s="9">
        <v>7</v>
      </c>
      <c r="D86" s="9" t="s">
        <v>686</v>
      </c>
      <c r="E86" s="9" t="s">
        <v>986</v>
      </c>
      <c r="F86" s="9" t="s">
        <v>987</v>
      </c>
      <c r="G86" s="9">
        <v>33417</v>
      </c>
      <c r="H86" s="9" t="s">
        <v>988</v>
      </c>
      <c r="I86" s="9">
        <v>181</v>
      </c>
      <c r="J86" s="9">
        <v>119</v>
      </c>
      <c r="K86" s="9">
        <v>37</v>
      </c>
    </row>
    <row r="87" spans="1:11" x14ac:dyDescent="0.4">
      <c r="A87" s="9" t="s">
        <v>290</v>
      </c>
      <c r="B87" s="9" t="s">
        <v>16</v>
      </c>
      <c r="C87" s="9">
        <v>8</v>
      </c>
      <c r="D87" s="9" t="s">
        <v>686</v>
      </c>
      <c r="E87" s="9" t="s">
        <v>989</v>
      </c>
      <c r="F87" s="9" t="s">
        <v>991</v>
      </c>
      <c r="G87" s="9">
        <v>35557</v>
      </c>
      <c r="H87" s="9" t="s">
        <v>992</v>
      </c>
      <c r="I87" s="9">
        <v>176</v>
      </c>
      <c r="J87" s="9">
        <v>85</v>
      </c>
      <c r="K87" s="9">
        <v>13</v>
      </c>
    </row>
    <row r="88" spans="1:11" x14ac:dyDescent="0.4">
      <c r="A88" s="9" t="s">
        <v>290</v>
      </c>
      <c r="B88" s="9" t="s">
        <v>16</v>
      </c>
      <c r="C88" s="9">
        <v>9</v>
      </c>
      <c r="D88" s="9" t="s">
        <v>691</v>
      </c>
      <c r="E88" s="9" t="s">
        <v>993</v>
      </c>
      <c r="F88" s="9" t="s">
        <v>995</v>
      </c>
      <c r="G88" s="9">
        <v>34102</v>
      </c>
      <c r="H88" s="9" t="s">
        <v>988</v>
      </c>
      <c r="I88" s="9">
        <v>190</v>
      </c>
      <c r="J88" s="9">
        <v>126</v>
      </c>
      <c r="K88" s="9">
        <v>90</v>
      </c>
    </row>
    <row r="89" spans="1:11" x14ac:dyDescent="0.4">
      <c r="A89" s="9" t="s">
        <v>290</v>
      </c>
      <c r="B89" s="9" t="s">
        <v>16</v>
      </c>
      <c r="C89" s="9">
        <v>10</v>
      </c>
      <c r="D89" s="9" t="s">
        <v>691</v>
      </c>
      <c r="E89" s="9" t="s">
        <v>997</v>
      </c>
      <c r="F89" s="9" t="s">
        <v>999</v>
      </c>
      <c r="G89" s="9">
        <v>34672</v>
      </c>
      <c r="H89" s="9" t="s">
        <v>1000</v>
      </c>
      <c r="I89" s="9">
        <v>172</v>
      </c>
      <c r="J89" s="9">
        <v>51</v>
      </c>
      <c r="K89" s="9">
        <v>12</v>
      </c>
    </row>
    <row r="90" spans="1:11" x14ac:dyDescent="0.4">
      <c r="A90" s="9" t="s">
        <v>290</v>
      </c>
      <c r="B90" s="9" t="s">
        <v>16</v>
      </c>
      <c r="C90" s="9">
        <v>11</v>
      </c>
      <c r="D90" s="9" t="s">
        <v>691</v>
      </c>
      <c r="E90" s="9" t="s">
        <v>1001</v>
      </c>
      <c r="F90" s="9" t="s">
        <v>1003</v>
      </c>
      <c r="G90" s="9">
        <v>37403</v>
      </c>
      <c r="H90" s="9" t="s">
        <v>727</v>
      </c>
      <c r="I90" s="9">
        <v>173</v>
      </c>
      <c r="J90" s="9">
        <v>43</v>
      </c>
      <c r="K90" s="9">
        <v>7</v>
      </c>
    </row>
    <row r="91" spans="1:11" x14ac:dyDescent="0.4">
      <c r="A91" s="9" t="s">
        <v>290</v>
      </c>
      <c r="B91" s="9" t="s">
        <v>16</v>
      </c>
      <c r="C91" s="9">
        <v>12</v>
      </c>
      <c r="D91" s="9" t="s">
        <v>664</v>
      </c>
      <c r="E91" s="9" t="s">
        <v>1004</v>
      </c>
      <c r="F91" s="9" t="s">
        <v>1006</v>
      </c>
      <c r="G91" s="9">
        <v>37444</v>
      </c>
      <c r="H91" s="9" t="s">
        <v>1007</v>
      </c>
      <c r="I91" s="9">
        <v>193</v>
      </c>
      <c r="J91" s="9">
        <v>2</v>
      </c>
      <c r="K91" s="9">
        <v>0</v>
      </c>
    </row>
    <row r="92" spans="1:11" x14ac:dyDescent="0.4">
      <c r="A92" s="9" t="s">
        <v>290</v>
      </c>
      <c r="B92" s="9" t="s">
        <v>16</v>
      </c>
      <c r="C92" s="9">
        <v>13</v>
      </c>
      <c r="D92" s="9" t="s">
        <v>664</v>
      </c>
      <c r="E92" s="9" t="s">
        <v>1008</v>
      </c>
      <c r="F92" s="9" t="s">
        <v>1010</v>
      </c>
      <c r="G92" s="9">
        <v>38564</v>
      </c>
      <c r="H92" s="9" t="s">
        <v>1011</v>
      </c>
      <c r="I92" s="9">
        <v>200</v>
      </c>
      <c r="J92" s="9">
        <v>0</v>
      </c>
      <c r="K92" s="9">
        <v>0</v>
      </c>
    </row>
    <row r="93" spans="1:11" x14ac:dyDescent="0.4">
      <c r="A93" s="9" t="s">
        <v>290</v>
      </c>
      <c r="B93" s="9" t="s">
        <v>16</v>
      </c>
      <c r="C93" s="9">
        <v>14</v>
      </c>
      <c r="D93" s="9" t="s">
        <v>691</v>
      </c>
      <c r="E93" s="9" t="s">
        <v>1012</v>
      </c>
      <c r="F93" s="9" t="s">
        <v>1014</v>
      </c>
      <c r="G93" s="9">
        <v>35697</v>
      </c>
      <c r="H93" s="9" t="s">
        <v>1015</v>
      </c>
      <c r="I93" s="9">
        <v>184</v>
      </c>
      <c r="J93" s="9">
        <v>30</v>
      </c>
      <c r="K93" s="9">
        <v>6</v>
      </c>
    </row>
    <row r="94" spans="1:11" x14ac:dyDescent="0.4">
      <c r="A94" s="9" t="s">
        <v>290</v>
      </c>
      <c r="B94" s="9" t="s">
        <v>16</v>
      </c>
      <c r="C94" s="9">
        <v>15</v>
      </c>
      <c r="D94" s="9" t="s">
        <v>669</v>
      </c>
      <c r="E94" s="9" t="s">
        <v>1017</v>
      </c>
      <c r="F94" s="9" t="s">
        <v>1019</v>
      </c>
      <c r="G94" s="9">
        <v>33493</v>
      </c>
      <c r="H94" s="9" t="s">
        <v>673</v>
      </c>
      <c r="I94" s="9">
        <v>190</v>
      </c>
      <c r="J94" s="9">
        <v>80</v>
      </c>
      <c r="K94" s="9">
        <v>10</v>
      </c>
    </row>
    <row r="95" spans="1:11" x14ac:dyDescent="0.4">
      <c r="A95" s="9" t="s">
        <v>290</v>
      </c>
      <c r="B95" s="9" t="s">
        <v>16</v>
      </c>
      <c r="C95" s="9">
        <v>16</v>
      </c>
      <c r="D95" s="9" t="s">
        <v>669</v>
      </c>
      <c r="E95" s="9" t="s">
        <v>1020</v>
      </c>
      <c r="F95" s="9" t="s">
        <v>1022</v>
      </c>
      <c r="G95" s="9">
        <v>37419</v>
      </c>
      <c r="H95" s="9" t="s">
        <v>1023</v>
      </c>
      <c r="I95" s="9">
        <v>191</v>
      </c>
      <c r="J95" s="9">
        <v>8</v>
      </c>
      <c r="K95" s="9">
        <v>0</v>
      </c>
    </row>
    <row r="96" spans="1:11" x14ac:dyDescent="0.4">
      <c r="A96" s="9" t="s">
        <v>290</v>
      </c>
      <c r="B96" s="9" t="s">
        <v>16</v>
      </c>
      <c r="C96" s="9">
        <v>17</v>
      </c>
      <c r="D96" s="9" t="s">
        <v>691</v>
      </c>
      <c r="E96" s="9" t="s">
        <v>1024</v>
      </c>
      <c r="F96" s="9" t="s">
        <v>1026</v>
      </c>
      <c r="G96" s="9">
        <v>36960</v>
      </c>
      <c r="H96" s="9" t="s">
        <v>1027</v>
      </c>
      <c r="I96" s="9">
        <v>192</v>
      </c>
      <c r="J96" s="9">
        <v>30</v>
      </c>
      <c r="K96" s="9">
        <v>6</v>
      </c>
    </row>
    <row r="97" spans="1:11" x14ac:dyDescent="0.4">
      <c r="A97" s="9" t="s">
        <v>290</v>
      </c>
      <c r="B97" s="9" t="s">
        <v>16</v>
      </c>
      <c r="C97" s="9">
        <v>18</v>
      </c>
      <c r="D97" s="9" t="s">
        <v>669</v>
      </c>
      <c r="E97" s="9" t="s">
        <v>1028</v>
      </c>
      <c r="F97" s="9" t="s">
        <v>1030</v>
      </c>
      <c r="G97" s="9">
        <v>38439</v>
      </c>
      <c r="H97" s="9" t="s">
        <v>977</v>
      </c>
      <c r="I97" s="9">
        <v>178</v>
      </c>
      <c r="J97" s="9">
        <v>5</v>
      </c>
      <c r="K97" s="9">
        <v>0</v>
      </c>
    </row>
    <row r="98" spans="1:11" x14ac:dyDescent="0.4">
      <c r="A98" s="9" t="s">
        <v>290</v>
      </c>
      <c r="B98" s="9" t="s">
        <v>16</v>
      </c>
      <c r="C98" s="9">
        <v>19</v>
      </c>
      <c r="D98" s="9" t="s">
        <v>686</v>
      </c>
      <c r="E98" s="9" t="s">
        <v>1031</v>
      </c>
      <c r="F98" s="9" t="s">
        <v>1033</v>
      </c>
      <c r="G98" s="9">
        <v>38205</v>
      </c>
      <c r="H98" s="9" t="s">
        <v>1011</v>
      </c>
      <c r="I98" s="9">
        <v>179</v>
      </c>
      <c r="J98" s="9">
        <v>3</v>
      </c>
      <c r="K98" s="9">
        <v>0</v>
      </c>
    </row>
    <row r="99" spans="1:11" x14ac:dyDescent="0.4">
      <c r="A99" s="9" t="s">
        <v>290</v>
      </c>
      <c r="B99" s="9" t="s">
        <v>16</v>
      </c>
      <c r="C99" s="9">
        <v>20</v>
      </c>
      <c r="D99" s="9" t="s">
        <v>686</v>
      </c>
      <c r="E99" s="9" t="s">
        <v>1035</v>
      </c>
      <c r="F99" s="9" t="s">
        <v>1037</v>
      </c>
      <c r="G99" s="9">
        <v>33840</v>
      </c>
      <c r="H99" s="9" t="s">
        <v>977</v>
      </c>
      <c r="I99" s="9">
        <v>195</v>
      </c>
      <c r="J99" s="9">
        <v>34</v>
      </c>
      <c r="K99" s="9">
        <v>7</v>
      </c>
    </row>
    <row r="100" spans="1:11" x14ac:dyDescent="0.4">
      <c r="A100" s="9" t="s">
        <v>290</v>
      </c>
      <c r="B100" s="9" t="s">
        <v>16</v>
      </c>
      <c r="C100" s="9">
        <v>21</v>
      </c>
      <c r="D100" s="9" t="s">
        <v>669</v>
      </c>
      <c r="E100" s="9" t="s">
        <v>1038</v>
      </c>
      <c r="F100" s="9" t="s">
        <v>1040</v>
      </c>
      <c r="G100" s="9">
        <v>35038</v>
      </c>
      <c r="H100" s="9" t="s">
        <v>1041</v>
      </c>
      <c r="I100" s="9">
        <v>185</v>
      </c>
      <c r="J100" s="9">
        <v>63</v>
      </c>
      <c r="K100" s="9">
        <v>2</v>
      </c>
    </row>
    <row r="101" spans="1:11" x14ac:dyDescent="0.4">
      <c r="A101" s="9" t="s">
        <v>290</v>
      </c>
      <c r="B101" s="9" t="s">
        <v>16</v>
      </c>
      <c r="C101" s="9">
        <v>22</v>
      </c>
      <c r="D101" s="9" t="s">
        <v>686</v>
      </c>
      <c r="E101" s="9" t="s">
        <v>1042</v>
      </c>
      <c r="F101" s="9" t="s">
        <v>1044</v>
      </c>
      <c r="G101" s="9">
        <v>36338</v>
      </c>
      <c r="H101" s="9" t="s">
        <v>1023</v>
      </c>
      <c r="I101" s="9">
        <v>180</v>
      </c>
      <c r="J101" s="9">
        <v>24</v>
      </c>
      <c r="K101" s="9">
        <v>2</v>
      </c>
    </row>
    <row r="102" spans="1:11" x14ac:dyDescent="0.4">
      <c r="A102" s="9" t="s">
        <v>290</v>
      </c>
      <c r="B102" s="9" t="s">
        <v>16</v>
      </c>
      <c r="C102" s="9">
        <v>23</v>
      </c>
      <c r="D102" s="9" t="s">
        <v>686</v>
      </c>
      <c r="E102" s="9" t="s">
        <v>1045</v>
      </c>
      <c r="F102" s="9" t="s">
        <v>1047</v>
      </c>
      <c r="G102" s="9">
        <v>36945</v>
      </c>
      <c r="H102" s="9" t="s">
        <v>1048</v>
      </c>
      <c r="I102" s="9">
        <v>178</v>
      </c>
      <c r="J102" s="9">
        <v>13</v>
      </c>
      <c r="K102" s="9">
        <v>2</v>
      </c>
    </row>
    <row r="103" spans="1:11" x14ac:dyDescent="0.4">
      <c r="A103" s="9" t="s">
        <v>290</v>
      </c>
      <c r="B103" s="9" t="s">
        <v>16</v>
      </c>
      <c r="C103" s="9">
        <v>24</v>
      </c>
      <c r="D103" s="9" t="s">
        <v>686</v>
      </c>
      <c r="E103" s="9" t="s">
        <v>1049</v>
      </c>
      <c r="F103" s="9" t="s">
        <v>1051</v>
      </c>
      <c r="G103" s="9">
        <v>37119</v>
      </c>
      <c r="H103" s="9" t="s">
        <v>992</v>
      </c>
      <c r="I103" s="9">
        <v>192</v>
      </c>
      <c r="J103" s="9">
        <v>29</v>
      </c>
      <c r="K103" s="9">
        <v>1</v>
      </c>
    </row>
    <row r="104" spans="1:11" x14ac:dyDescent="0.4">
      <c r="A104" s="9" t="s">
        <v>290</v>
      </c>
      <c r="B104" s="9" t="s">
        <v>16</v>
      </c>
      <c r="C104" s="9">
        <v>25</v>
      </c>
      <c r="D104" s="9" t="s">
        <v>669</v>
      </c>
      <c r="E104" s="9" t="s">
        <v>1053</v>
      </c>
      <c r="F104" s="9" t="s">
        <v>1055</v>
      </c>
      <c r="G104" s="9">
        <v>37782</v>
      </c>
      <c r="H104" s="9" t="s">
        <v>673</v>
      </c>
      <c r="I104" s="9">
        <v>183</v>
      </c>
      <c r="J104" s="9">
        <v>4</v>
      </c>
      <c r="K104" s="9">
        <v>0</v>
      </c>
    </row>
    <row r="105" spans="1:11" x14ac:dyDescent="0.4">
      <c r="A105" s="9" t="s">
        <v>290</v>
      </c>
      <c r="B105" s="9" t="s">
        <v>16</v>
      </c>
      <c r="C105" s="9">
        <v>26</v>
      </c>
      <c r="D105" s="9" t="s">
        <v>691</v>
      </c>
      <c r="E105" s="9" t="s">
        <v>1056</v>
      </c>
      <c r="F105" s="9" t="s">
        <v>1058</v>
      </c>
      <c r="G105" s="9">
        <v>38386</v>
      </c>
      <c r="H105" s="9" t="s">
        <v>673</v>
      </c>
      <c r="I105" s="9">
        <v>188</v>
      </c>
      <c r="J105" s="9">
        <v>2</v>
      </c>
      <c r="K105" s="9">
        <v>0</v>
      </c>
    </row>
    <row r="106" spans="1:11" x14ac:dyDescent="0.4">
      <c r="A106" s="9" t="s">
        <v>316</v>
      </c>
      <c r="B106" s="9" t="s">
        <v>5210</v>
      </c>
      <c r="C106" s="9">
        <v>1</v>
      </c>
      <c r="D106" s="9" t="s">
        <v>664</v>
      </c>
      <c r="E106" s="9" t="s">
        <v>1059</v>
      </c>
      <c r="F106" s="9" t="s">
        <v>1061</v>
      </c>
      <c r="G106" s="9">
        <v>35035</v>
      </c>
      <c r="H106" s="9" t="s">
        <v>799</v>
      </c>
      <c r="I106" s="9">
        <v>193</v>
      </c>
      <c r="J106" s="9">
        <v>26</v>
      </c>
      <c r="K106" s="9">
        <v>0</v>
      </c>
    </row>
    <row r="107" spans="1:11" x14ac:dyDescent="0.4">
      <c r="A107" s="9" t="s">
        <v>316</v>
      </c>
      <c r="B107" s="9" t="s">
        <v>5210</v>
      </c>
      <c r="C107" s="9">
        <v>2</v>
      </c>
      <c r="D107" s="9" t="s">
        <v>669</v>
      </c>
      <c r="E107" s="9" t="s">
        <v>1062</v>
      </c>
      <c r="F107" s="9" t="s">
        <v>1064</v>
      </c>
      <c r="G107" s="9">
        <v>35900</v>
      </c>
      <c r="H107" s="9" t="s">
        <v>1065</v>
      </c>
      <c r="I107" s="9">
        <v>189</v>
      </c>
      <c r="J107" s="9">
        <v>12</v>
      </c>
      <c r="K107" s="9">
        <v>1</v>
      </c>
    </row>
    <row r="108" spans="1:11" x14ac:dyDescent="0.4">
      <c r="A108" s="9" t="s">
        <v>316</v>
      </c>
      <c r="B108" s="9" t="s">
        <v>5210</v>
      </c>
      <c r="C108" s="9">
        <v>3</v>
      </c>
      <c r="D108" s="9" t="s">
        <v>669</v>
      </c>
      <c r="E108" s="9" t="s">
        <v>1066</v>
      </c>
      <c r="F108" s="9" t="s">
        <v>1068</v>
      </c>
      <c r="G108" s="9">
        <v>35985</v>
      </c>
      <c r="H108" s="9" t="s">
        <v>1069</v>
      </c>
      <c r="I108" s="9">
        <v>191</v>
      </c>
      <c r="J108" s="9">
        <v>32</v>
      </c>
      <c r="K108" s="9">
        <v>0</v>
      </c>
    </row>
    <row r="109" spans="1:11" x14ac:dyDescent="0.4">
      <c r="A109" s="9" t="s">
        <v>316</v>
      </c>
      <c r="B109" s="9" t="s">
        <v>5210</v>
      </c>
      <c r="C109" s="9">
        <v>4</v>
      </c>
      <c r="D109" s="9" t="s">
        <v>669</v>
      </c>
      <c r="E109" s="9" t="s">
        <v>1070</v>
      </c>
      <c r="F109" s="9" t="s">
        <v>1072</v>
      </c>
      <c r="G109" s="9">
        <v>37680</v>
      </c>
      <c r="H109" s="9" t="s">
        <v>844</v>
      </c>
      <c r="I109" s="9">
        <v>192</v>
      </c>
      <c r="J109" s="9">
        <v>14</v>
      </c>
      <c r="K109" s="9">
        <v>1</v>
      </c>
    </row>
    <row r="110" spans="1:11" x14ac:dyDescent="0.4">
      <c r="A110" s="9" t="s">
        <v>316</v>
      </c>
      <c r="B110" s="9" t="s">
        <v>5210</v>
      </c>
      <c r="C110" s="9">
        <v>5</v>
      </c>
      <c r="D110" s="9" t="s">
        <v>669</v>
      </c>
      <c r="E110" s="9" t="s">
        <v>1073</v>
      </c>
      <c r="F110" s="9" t="s">
        <v>1075</v>
      </c>
      <c r="G110" s="9">
        <v>34140</v>
      </c>
      <c r="H110" s="9" t="s">
        <v>1027</v>
      </c>
      <c r="I110" s="9">
        <v>183</v>
      </c>
      <c r="J110" s="9">
        <v>65</v>
      </c>
      <c r="K110" s="9">
        <v>0</v>
      </c>
    </row>
    <row r="111" spans="1:11" x14ac:dyDescent="0.4">
      <c r="A111" s="9" t="s">
        <v>316</v>
      </c>
      <c r="B111" s="9" t="s">
        <v>5210</v>
      </c>
      <c r="C111" s="9">
        <v>6</v>
      </c>
      <c r="D111" s="9" t="s">
        <v>686</v>
      </c>
      <c r="E111" s="9" t="s">
        <v>1076</v>
      </c>
      <c r="F111" s="9" t="s">
        <v>1078</v>
      </c>
      <c r="G111" s="9">
        <v>37683</v>
      </c>
      <c r="H111" s="9" t="s">
        <v>916</v>
      </c>
      <c r="I111" s="9">
        <v>191</v>
      </c>
      <c r="J111" s="9">
        <v>28</v>
      </c>
      <c r="K111" s="9">
        <v>2</v>
      </c>
    </row>
    <row r="112" spans="1:11" x14ac:dyDescent="0.4">
      <c r="A112" s="9" t="s">
        <v>316</v>
      </c>
      <c r="B112" s="9" t="s">
        <v>5210</v>
      </c>
      <c r="C112" s="9">
        <v>7</v>
      </c>
      <c r="D112" s="9" t="s">
        <v>669</v>
      </c>
      <c r="E112" s="9" t="s">
        <v>1080</v>
      </c>
      <c r="F112" s="9" t="s">
        <v>1082</v>
      </c>
      <c r="G112" s="9">
        <v>37486</v>
      </c>
      <c r="H112" s="9" t="s">
        <v>1083</v>
      </c>
      <c r="I112" s="9">
        <v>180</v>
      </c>
      <c r="J112" s="9">
        <v>28</v>
      </c>
      <c r="K112" s="9">
        <v>1</v>
      </c>
    </row>
    <row r="113" spans="1:11" x14ac:dyDescent="0.4">
      <c r="A113" s="9" t="s">
        <v>316</v>
      </c>
      <c r="B113" s="9" t="s">
        <v>5210</v>
      </c>
      <c r="C113" s="9">
        <v>8</v>
      </c>
      <c r="D113" s="9" t="s">
        <v>686</v>
      </c>
      <c r="E113" s="9" t="s">
        <v>1084</v>
      </c>
      <c r="F113" s="9" t="s">
        <v>1086</v>
      </c>
      <c r="G113" s="9">
        <v>37352</v>
      </c>
      <c r="H113" s="9" t="s">
        <v>719</v>
      </c>
      <c r="I113" s="9">
        <v>187</v>
      </c>
      <c r="J113" s="9">
        <v>20</v>
      </c>
      <c r="K113" s="9">
        <v>1</v>
      </c>
    </row>
    <row r="114" spans="1:11" x14ac:dyDescent="0.4">
      <c r="A114" s="9" t="s">
        <v>316</v>
      </c>
      <c r="B114" s="9" t="s">
        <v>5210</v>
      </c>
      <c r="C114" s="9">
        <v>9</v>
      </c>
      <c r="D114" s="9" t="s">
        <v>691</v>
      </c>
      <c r="E114" s="9" t="s">
        <v>1087</v>
      </c>
      <c r="F114" s="9" t="s">
        <v>1089</v>
      </c>
      <c r="G114" s="9">
        <v>38017</v>
      </c>
      <c r="H114" s="9" t="s">
        <v>1090</v>
      </c>
      <c r="I114" s="9">
        <v>189</v>
      </c>
      <c r="J114" s="9">
        <v>13</v>
      </c>
      <c r="K114" s="9">
        <v>1</v>
      </c>
    </row>
    <row r="115" spans="1:11" x14ac:dyDescent="0.4">
      <c r="A115" s="9" t="s">
        <v>316</v>
      </c>
      <c r="B115" s="9" t="s">
        <v>5210</v>
      </c>
      <c r="C115" s="9">
        <v>10</v>
      </c>
      <c r="D115" s="9" t="s">
        <v>691</v>
      </c>
      <c r="E115" s="9" t="s">
        <v>1091</v>
      </c>
      <c r="F115" s="9" t="s">
        <v>1093</v>
      </c>
      <c r="G115" s="9">
        <v>35879</v>
      </c>
      <c r="H115" s="9" t="s">
        <v>1094</v>
      </c>
      <c r="I115" s="9">
        <v>185</v>
      </c>
      <c r="J115" s="9">
        <v>40</v>
      </c>
      <c r="K115" s="9">
        <v>4</v>
      </c>
    </row>
    <row r="116" spans="1:11" x14ac:dyDescent="0.4">
      <c r="A116" s="9" t="s">
        <v>316</v>
      </c>
      <c r="B116" s="9" t="s">
        <v>5210</v>
      </c>
      <c r="C116" s="9">
        <v>11</v>
      </c>
      <c r="D116" s="9" t="s">
        <v>691</v>
      </c>
      <c r="E116" s="9" t="s">
        <v>1095</v>
      </c>
      <c r="F116" s="9" t="s">
        <v>1097</v>
      </c>
      <c r="G116" s="9">
        <v>31488</v>
      </c>
      <c r="H116" s="9" t="s">
        <v>939</v>
      </c>
      <c r="I116" s="9">
        <v>192</v>
      </c>
      <c r="J116" s="9">
        <v>148</v>
      </c>
      <c r="K116" s="9">
        <v>73</v>
      </c>
    </row>
    <row r="117" spans="1:11" x14ac:dyDescent="0.4">
      <c r="A117" s="9" t="s">
        <v>316</v>
      </c>
      <c r="B117" s="9" t="s">
        <v>5210</v>
      </c>
      <c r="C117" s="9">
        <v>12</v>
      </c>
      <c r="D117" s="9" t="s">
        <v>664</v>
      </c>
      <c r="E117" s="9" t="s">
        <v>1098</v>
      </c>
      <c r="F117" s="9" t="s">
        <v>1100</v>
      </c>
      <c r="G117" s="9">
        <v>39362</v>
      </c>
      <c r="H117" s="9" t="s">
        <v>1101</v>
      </c>
      <c r="I117" s="9">
        <v>193</v>
      </c>
      <c r="J117" s="9">
        <v>0</v>
      </c>
      <c r="K117" s="9">
        <v>0</v>
      </c>
    </row>
    <row r="118" spans="1:11" x14ac:dyDescent="0.4">
      <c r="A118" s="9" t="s">
        <v>316</v>
      </c>
      <c r="B118" s="9" t="s">
        <v>5210</v>
      </c>
      <c r="C118" s="9">
        <v>13</v>
      </c>
      <c r="D118" s="9" t="s">
        <v>686</v>
      </c>
      <c r="E118" s="9" t="s">
        <v>1102</v>
      </c>
      <c r="F118" s="9" t="s">
        <v>1104</v>
      </c>
      <c r="G118" s="9">
        <v>37376</v>
      </c>
      <c r="H118" s="9" t="s">
        <v>1105</v>
      </c>
      <c r="I118" s="9">
        <v>178</v>
      </c>
      <c r="J118" s="9">
        <v>17</v>
      </c>
      <c r="K118" s="9">
        <v>0</v>
      </c>
    </row>
    <row r="119" spans="1:11" x14ac:dyDescent="0.4">
      <c r="A119" s="9" t="s">
        <v>316</v>
      </c>
      <c r="B119" s="9" t="s">
        <v>5210</v>
      </c>
      <c r="C119" s="9">
        <v>14</v>
      </c>
      <c r="D119" s="9" t="s">
        <v>686</v>
      </c>
      <c r="E119" s="9" t="s">
        <v>1106</v>
      </c>
      <c r="F119" s="9" t="s">
        <v>1107</v>
      </c>
      <c r="G119" s="9">
        <v>35347</v>
      </c>
      <c r="H119" s="9" t="s">
        <v>1108</v>
      </c>
      <c r="I119" s="9">
        <v>183</v>
      </c>
      <c r="J119" s="9">
        <v>11</v>
      </c>
      <c r="K119" s="9">
        <v>0</v>
      </c>
    </row>
    <row r="120" spans="1:11" x14ac:dyDescent="0.4">
      <c r="A120" s="9" t="s">
        <v>316</v>
      </c>
      <c r="B120" s="9" t="s">
        <v>5210</v>
      </c>
      <c r="C120" s="9">
        <v>15</v>
      </c>
      <c r="D120" s="9" t="s">
        <v>686</v>
      </c>
      <c r="E120" s="9" t="s">
        <v>1109</v>
      </c>
      <c r="F120" s="9" t="s">
        <v>1110</v>
      </c>
      <c r="G120" s="9">
        <v>36911</v>
      </c>
      <c r="H120" s="9" t="s">
        <v>912</v>
      </c>
      <c r="I120" s="9">
        <v>176</v>
      </c>
      <c r="J120" s="9">
        <v>13</v>
      </c>
      <c r="K120" s="9">
        <v>1</v>
      </c>
    </row>
    <row r="121" spans="1:11" x14ac:dyDescent="0.4">
      <c r="A121" s="9" t="s">
        <v>316</v>
      </c>
      <c r="B121" s="9" t="s">
        <v>5210</v>
      </c>
      <c r="C121" s="9">
        <v>16</v>
      </c>
      <c r="D121" s="9" t="s">
        <v>686</v>
      </c>
      <c r="E121" s="9" t="s">
        <v>1111</v>
      </c>
      <c r="F121" s="9" t="s">
        <v>1113</v>
      </c>
      <c r="G121" s="9">
        <v>35497</v>
      </c>
      <c r="H121" s="9" t="s">
        <v>1114</v>
      </c>
      <c r="I121" s="9">
        <v>179</v>
      </c>
      <c r="J121" s="9">
        <v>36</v>
      </c>
      <c r="K121" s="9">
        <v>0</v>
      </c>
    </row>
    <row r="122" spans="1:11" x14ac:dyDescent="0.4">
      <c r="A122" s="9" t="s">
        <v>316</v>
      </c>
      <c r="B122" s="9" t="s">
        <v>5210</v>
      </c>
      <c r="C122" s="9">
        <v>17</v>
      </c>
      <c r="D122" s="9" t="s">
        <v>686</v>
      </c>
      <c r="E122" s="9" t="s">
        <v>1115</v>
      </c>
      <c r="F122" s="9" t="s">
        <v>1117</v>
      </c>
      <c r="G122" s="9">
        <v>35937</v>
      </c>
      <c r="H122" s="9" t="s">
        <v>1118</v>
      </c>
      <c r="I122" s="9">
        <v>182</v>
      </c>
      <c r="J122" s="9">
        <v>20</v>
      </c>
      <c r="K122" s="9">
        <v>0</v>
      </c>
    </row>
    <row r="123" spans="1:11" x14ac:dyDescent="0.4">
      <c r="A123" s="9" t="s">
        <v>316</v>
      </c>
      <c r="B123" s="9" t="s">
        <v>5210</v>
      </c>
      <c r="C123" s="9">
        <v>18</v>
      </c>
      <c r="D123" s="9" t="s">
        <v>669</v>
      </c>
      <c r="E123" s="9" t="s">
        <v>1119</v>
      </c>
      <c r="F123" s="9" t="s">
        <v>1120</v>
      </c>
      <c r="G123" s="9">
        <v>35348</v>
      </c>
      <c r="H123" s="9" t="s">
        <v>939</v>
      </c>
      <c r="I123" s="9">
        <v>194</v>
      </c>
      <c r="J123" s="9">
        <v>17</v>
      </c>
      <c r="K123" s="9">
        <v>2</v>
      </c>
    </row>
    <row r="124" spans="1:11" x14ac:dyDescent="0.4">
      <c r="A124" s="9" t="s">
        <v>316</v>
      </c>
      <c r="B124" s="9" t="s">
        <v>5210</v>
      </c>
      <c r="C124" s="9">
        <v>19</v>
      </c>
      <c r="D124" s="9" t="s">
        <v>691</v>
      </c>
      <c r="E124" s="9" t="s">
        <v>1121</v>
      </c>
      <c r="F124" s="9" t="s">
        <v>1123</v>
      </c>
      <c r="G124" s="9">
        <v>39346</v>
      </c>
      <c r="H124" s="9" t="s">
        <v>871</v>
      </c>
      <c r="I124" s="9">
        <v>186</v>
      </c>
      <c r="J124" s="9">
        <v>10</v>
      </c>
      <c r="K124" s="9">
        <v>1</v>
      </c>
    </row>
    <row r="125" spans="1:11" x14ac:dyDescent="0.4">
      <c r="A125" s="9" t="s">
        <v>316</v>
      </c>
      <c r="B125" s="9" t="s">
        <v>5210</v>
      </c>
      <c r="C125" s="9">
        <v>20</v>
      </c>
      <c r="D125" s="9" t="s">
        <v>691</v>
      </c>
      <c r="E125" s="9" t="s">
        <v>1124</v>
      </c>
      <c r="F125" s="9" t="s">
        <v>1126</v>
      </c>
      <c r="G125" s="9">
        <v>38421</v>
      </c>
      <c r="H125" s="9" t="s">
        <v>956</v>
      </c>
      <c r="I125" s="9">
        <v>175</v>
      </c>
      <c r="J125" s="9">
        <v>16</v>
      </c>
      <c r="K125" s="9">
        <v>1</v>
      </c>
    </row>
    <row r="126" spans="1:11" x14ac:dyDescent="0.4">
      <c r="A126" s="9" t="s">
        <v>316</v>
      </c>
      <c r="B126" s="9" t="s">
        <v>5210</v>
      </c>
      <c r="C126" s="9">
        <v>21</v>
      </c>
      <c r="D126" s="9" t="s">
        <v>669</v>
      </c>
      <c r="E126" s="9" t="s">
        <v>1127</v>
      </c>
      <c r="F126" s="9" t="s">
        <v>1129</v>
      </c>
      <c r="G126" s="9">
        <v>35678</v>
      </c>
      <c r="H126" s="9" t="s">
        <v>1130</v>
      </c>
      <c r="I126" s="9">
        <v>201</v>
      </c>
      <c r="J126" s="9">
        <v>5</v>
      </c>
      <c r="K126" s="9">
        <v>0</v>
      </c>
    </row>
    <row r="127" spans="1:11" x14ac:dyDescent="0.4">
      <c r="A127" s="9" t="s">
        <v>316</v>
      </c>
      <c r="B127" s="9" t="s">
        <v>5210</v>
      </c>
      <c r="C127" s="9">
        <v>22</v>
      </c>
      <c r="D127" s="9" t="s">
        <v>664</v>
      </c>
      <c r="E127" s="9" t="s">
        <v>1131</v>
      </c>
      <c r="F127" s="9" t="s">
        <v>1133</v>
      </c>
      <c r="G127" s="9">
        <v>36023</v>
      </c>
      <c r="H127" s="9" t="s">
        <v>1130</v>
      </c>
      <c r="I127" s="9">
        <v>189</v>
      </c>
      <c r="J127" s="9">
        <v>3</v>
      </c>
      <c r="K127" s="9">
        <v>0</v>
      </c>
    </row>
    <row r="128" spans="1:11" x14ac:dyDescent="0.4">
      <c r="A128" s="9" t="s">
        <v>316</v>
      </c>
      <c r="B128" s="9" t="s">
        <v>5210</v>
      </c>
      <c r="C128" s="9">
        <v>23</v>
      </c>
      <c r="D128" s="9" t="s">
        <v>691</v>
      </c>
      <c r="E128" s="9" t="s">
        <v>1134</v>
      </c>
      <c r="F128" s="9" t="s">
        <v>1136</v>
      </c>
      <c r="G128" s="9">
        <v>34505</v>
      </c>
      <c r="H128" s="9" t="s">
        <v>1137</v>
      </c>
      <c r="I128" s="9">
        <v>196</v>
      </c>
      <c r="J128" s="9">
        <v>10</v>
      </c>
      <c r="K128" s="9">
        <v>4</v>
      </c>
    </row>
    <row r="129" spans="1:11" x14ac:dyDescent="0.4">
      <c r="A129" s="9" t="s">
        <v>316</v>
      </c>
      <c r="B129" s="9" t="s">
        <v>5210</v>
      </c>
      <c r="C129" s="9">
        <v>24</v>
      </c>
      <c r="D129" s="9" t="s">
        <v>669</v>
      </c>
      <c r="E129" s="9" t="s">
        <v>1138</v>
      </c>
      <c r="F129" s="9" t="s">
        <v>1140</v>
      </c>
      <c r="G129" s="9">
        <v>38592</v>
      </c>
      <c r="H129" s="9" t="s">
        <v>1141</v>
      </c>
      <c r="I129" s="9">
        <v>188</v>
      </c>
      <c r="J129" s="9">
        <v>8</v>
      </c>
      <c r="K129" s="9">
        <v>0</v>
      </c>
    </row>
    <row r="130" spans="1:11" x14ac:dyDescent="0.4">
      <c r="A130" s="9" t="s">
        <v>316</v>
      </c>
      <c r="B130" s="9" t="s">
        <v>5210</v>
      </c>
      <c r="C130" s="9">
        <v>25</v>
      </c>
      <c r="D130" s="9" t="s">
        <v>691</v>
      </c>
      <c r="E130" s="9" t="s">
        <v>1142</v>
      </c>
      <c r="F130" s="9" t="s">
        <v>1144</v>
      </c>
      <c r="G130" s="9">
        <v>36127</v>
      </c>
      <c r="H130" s="9" t="s">
        <v>1145</v>
      </c>
      <c r="I130" s="9">
        <v>190</v>
      </c>
      <c r="J130" s="9">
        <v>3</v>
      </c>
      <c r="K130" s="9">
        <v>0</v>
      </c>
    </row>
    <row r="131" spans="1:11" x14ac:dyDescent="0.4">
      <c r="A131" s="9" t="s">
        <v>316</v>
      </c>
      <c r="B131" s="9" t="s">
        <v>5210</v>
      </c>
      <c r="C131" s="9">
        <v>26</v>
      </c>
      <c r="D131" s="9" t="s">
        <v>686</v>
      </c>
      <c r="E131" s="9" t="s">
        <v>1146</v>
      </c>
      <c r="F131" s="9" t="s">
        <v>1148</v>
      </c>
      <c r="G131" s="9">
        <v>38425</v>
      </c>
      <c r="H131" s="9" t="s">
        <v>1149</v>
      </c>
      <c r="I131" s="9">
        <v>182</v>
      </c>
      <c r="J131" s="9">
        <v>2</v>
      </c>
      <c r="K131" s="9">
        <v>0</v>
      </c>
    </row>
    <row r="132" spans="1:11" x14ac:dyDescent="0.4">
      <c r="A132" s="9" t="s">
        <v>284</v>
      </c>
      <c r="B132" s="9" t="s">
        <v>10</v>
      </c>
      <c r="C132" s="9">
        <v>1</v>
      </c>
      <c r="D132" s="9" t="s">
        <v>664</v>
      </c>
      <c r="E132" s="9" t="s">
        <v>1150</v>
      </c>
      <c r="F132" s="9" t="s">
        <v>1152</v>
      </c>
      <c r="G132" s="9">
        <v>33879</v>
      </c>
      <c r="H132" s="9" t="s">
        <v>1153</v>
      </c>
      <c r="I132" s="9">
        <v>193</v>
      </c>
      <c r="J132" s="9">
        <v>78</v>
      </c>
      <c r="K132" s="9">
        <v>0</v>
      </c>
    </row>
    <row r="133" spans="1:11" x14ac:dyDescent="0.4">
      <c r="A133" s="9" t="s">
        <v>284</v>
      </c>
      <c r="B133" s="9" t="s">
        <v>10</v>
      </c>
      <c r="C133" s="9">
        <v>2</v>
      </c>
      <c r="D133" s="9" t="s">
        <v>686</v>
      </c>
      <c r="E133" s="9" t="s">
        <v>1155</v>
      </c>
      <c r="F133" s="9" t="s">
        <v>1157</v>
      </c>
      <c r="G133" s="9">
        <v>36348</v>
      </c>
      <c r="H133" s="9" t="s">
        <v>1027</v>
      </c>
      <c r="I133" s="9">
        <v>184</v>
      </c>
      <c r="J133" s="9">
        <v>3</v>
      </c>
      <c r="K133" s="9">
        <v>0</v>
      </c>
    </row>
    <row r="134" spans="1:11" x14ac:dyDescent="0.4">
      <c r="A134" s="9" t="s">
        <v>284</v>
      </c>
      <c r="B134" s="9" t="s">
        <v>10</v>
      </c>
      <c r="C134" s="9">
        <v>3</v>
      </c>
      <c r="D134" s="9" t="s">
        <v>669</v>
      </c>
      <c r="E134" s="9" t="s">
        <v>1159</v>
      </c>
      <c r="F134" s="9" t="s">
        <v>1161</v>
      </c>
      <c r="G134" s="9">
        <v>35783</v>
      </c>
      <c r="H134" s="9" t="s">
        <v>1000</v>
      </c>
      <c r="I134" s="9">
        <v>190</v>
      </c>
      <c r="J134" s="9">
        <v>17</v>
      </c>
      <c r="K134" s="9">
        <v>1</v>
      </c>
    </row>
    <row r="135" spans="1:11" x14ac:dyDescent="0.4">
      <c r="A135" s="9" t="s">
        <v>284</v>
      </c>
      <c r="B135" s="9" t="s">
        <v>10</v>
      </c>
      <c r="C135" s="9">
        <v>4</v>
      </c>
      <c r="D135" s="9" t="s">
        <v>669</v>
      </c>
      <c r="E135" s="9" t="s">
        <v>1163</v>
      </c>
      <c r="F135" s="9" t="s">
        <v>1163</v>
      </c>
      <c r="G135" s="9">
        <v>34468</v>
      </c>
      <c r="H135" s="9" t="s">
        <v>1165</v>
      </c>
      <c r="I135" s="9">
        <v>183</v>
      </c>
      <c r="J135" s="9">
        <v>105</v>
      </c>
      <c r="K135" s="9">
        <v>7</v>
      </c>
    </row>
    <row r="136" spans="1:11" x14ac:dyDescent="0.4">
      <c r="A136" s="9" t="s">
        <v>284</v>
      </c>
      <c r="B136" s="9" t="s">
        <v>10</v>
      </c>
      <c r="C136" s="9">
        <v>5</v>
      </c>
      <c r="D136" s="9" t="s">
        <v>686</v>
      </c>
      <c r="E136" s="9" t="s">
        <v>1167</v>
      </c>
      <c r="F136" s="9" t="s">
        <v>1167</v>
      </c>
      <c r="G136" s="9">
        <v>33657</v>
      </c>
      <c r="H136" s="9" t="s">
        <v>1007</v>
      </c>
      <c r="I136" s="9">
        <v>185</v>
      </c>
      <c r="J136" s="9">
        <v>86</v>
      </c>
      <c r="K136" s="9">
        <v>9</v>
      </c>
    </row>
    <row r="137" spans="1:11" x14ac:dyDescent="0.4">
      <c r="A137" s="9" t="s">
        <v>284</v>
      </c>
      <c r="B137" s="9" t="s">
        <v>10</v>
      </c>
      <c r="C137" s="9">
        <v>6</v>
      </c>
      <c r="D137" s="9" t="s">
        <v>669</v>
      </c>
      <c r="E137" s="9" t="s">
        <v>1170</v>
      </c>
      <c r="F137" s="9" t="s">
        <v>1170</v>
      </c>
      <c r="G137" s="9">
        <v>33264</v>
      </c>
      <c r="H137" s="9" t="s">
        <v>1172</v>
      </c>
      <c r="I137" s="9">
        <v>180</v>
      </c>
      <c r="J137" s="9">
        <v>45</v>
      </c>
      <c r="K137" s="9">
        <v>2</v>
      </c>
    </row>
    <row r="138" spans="1:11" x14ac:dyDescent="0.4">
      <c r="A138" s="9" t="s">
        <v>284</v>
      </c>
      <c r="B138" s="9" t="s">
        <v>10</v>
      </c>
      <c r="C138" s="9">
        <v>7</v>
      </c>
      <c r="D138" s="9" t="s">
        <v>691</v>
      </c>
      <c r="E138" s="9" t="s">
        <v>1174</v>
      </c>
      <c r="F138" s="9" t="s">
        <v>1176</v>
      </c>
      <c r="G138" s="9">
        <v>36719</v>
      </c>
      <c r="H138" s="9" t="s">
        <v>898</v>
      </c>
      <c r="I138" s="9">
        <v>176</v>
      </c>
      <c r="J138" s="9">
        <v>49</v>
      </c>
      <c r="K138" s="9">
        <v>9</v>
      </c>
    </row>
    <row r="139" spans="1:11" x14ac:dyDescent="0.4">
      <c r="A139" s="9" t="s">
        <v>284</v>
      </c>
      <c r="B139" s="9" t="s">
        <v>10</v>
      </c>
      <c r="C139" s="9">
        <v>8</v>
      </c>
      <c r="D139" s="9" t="s">
        <v>686</v>
      </c>
      <c r="E139" s="9" t="s">
        <v>1178</v>
      </c>
      <c r="F139" s="9" t="s">
        <v>1180</v>
      </c>
      <c r="G139" s="9">
        <v>35750</v>
      </c>
      <c r="H139" s="9" t="s">
        <v>1181</v>
      </c>
      <c r="I139" s="9">
        <v>182</v>
      </c>
      <c r="J139" s="9">
        <v>43</v>
      </c>
      <c r="K139" s="9">
        <v>3</v>
      </c>
    </row>
    <row r="140" spans="1:11" x14ac:dyDescent="0.4">
      <c r="A140" s="9" t="s">
        <v>284</v>
      </c>
      <c r="B140" s="9" t="s">
        <v>10</v>
      </c>
      <c r="C140" s="9">
        <v>9</v>
      </c>
      <c r="D140" s="9" t="s">
        <v>691</v>
      </c>
      <c r="E140" s="9" t="s">
        <v>1183</v>
      </c>
      <c r="F140" s="9" t="s">
        <v>1185</v>
      </c>
      <c r="G140" s="9">
        <v>36307</v>
      </c>
      <c r="H140" s="9" t="s">
        <v>1007</v>
      </c>
      <c r="I140" s="9">
        <v>183</v>
      </c>
      <c r="J140" s="9">
        <v>23</v>
      </c>
      <c r="K140" s="9">
        <v>1</v>
      </c>
    </row>
    <row r="141" spans="1:11" x14ac:dyDescent="0.4">
      <c r="A141" s="9" t="s">
        <v>284</v>
      </c>
      <c r="B141" s="9" t="s">
        <v>10</v>
      </c>
      <c r="C141" s="9">
        <v>10</v>
      </c>
      <c r="D141" s="9" t="s">
        <v>691</v>
      </c>
      <c r="E141" s="9" t="s">
        <v>1187</v>
      </c>
      <c r="F141" s="9" t="s">
        <v>1187</v>
      </c>
      <c r="G141" s="9">
        <v>33639</v>
      </c>
      <c r="H141" s="9" t="s">
        <v>1189</v>
      </c>
      <c r="I141" s="9">
        <v>175</v>
      </c>
      <c r="J141" s="9">
        <v>128</v>
      </c>
      <c r="K141" s="9">
        <v>79</v>
      </c>
    </row>
    <row r="142" spans="1:11" x14ac:dyDescent="0.4">
      <c r="A142" s="9" t="s">
        <v>284</v>
      </c>
      <c r="B142" s="9" t="s">
        <v>10</v>
      </c>
      <c r="C142" s="9">
        <v>11</v>
      </c>
      <c r="D142" s="9" t="s">
        <v>691</v>
      </c>
      <c r="E142" s="9" t="s">
        <v>1191</v>
      </c>
      <c r="F142" s="9" t="s">
        <v>1191</v>
      </c>
      <c r="G142" s="9">
        <v>35413</v>
      </c>
      <c r="H142" s="9" t="s">
        <v>1193</v>
      </c>
      <c r="I142" s="9">
        <v>176</v>
      </c>
      <c r="J142" s="9">
        <v>39</v>
      </c>
      <c r="K142" s="9">
        <v>11</v>
      </c>
    </row>
    <row r="143" spans="1:11" x14ac:dyDescent="0.4">
      <c r="A143" s="9" t="s">
        <v>284</v>
      </c>
      <c r="B143" s="9" t="s">
        <v>10</v>
      </c>
      <c r="C143" s="9">
        <v>12</v>
      </c>
      <c r="D143" s="9" t="s">
        <v>664</v>
      </c>
      <c r="E143" s="9" t="s">
        <v>1195</v>
      </c>
      <c r="F143" s="9" t="s">
        <v>1195</v>
      </c>
      <c r="G143" s="9">
        <v>32124</v>
      </c>
      <c r="H143" s="9" t="s">
        <v>1197</v>
      </c>
      <c r="I143" s="9">
        <v>189</v>
      </c>
      <c r="J143" s="9">
        <v>11</v>
      </c>
      <c r="K143" s="9">
        <v>0</v>
      </c>
    </row>
    <row r="144" spans="1:11" x14ac:dyDescent="0.4">
      <c r="A144" s="9" t="s">
        <v>284</v>
      </c>
      <c r="B144" s="9" t="s">
        <v>10</v>
      </c>
      <c r="C144" s="9">
        <v>13</v>
      </c>
      <c r="D144" s="9" t="s">
        <v>669</v>
      </c>
      <c r="E144" s="9" t="s">
        <v>1199</v>
      </c>
      <c r="F144" s="9" t="s">
        <v>1199</v>
      </c>
      <c r="G144" s="9">
        <v>33434</v>
      </c>
      <c r="H144" s="9" t="s">
        <v>1172</v>
      </c>
      <c r="I144" s="9">
        <v>184</v>
      </c>
      <c r="J144" s="9">
        <v>70</v>
      </c>
      <c r="K144" s="9">
        <v>1</v>
      </c>
    </row>
    <row r="145" spans="1:11" x14ac:dyDescent="0.4">
      <c r="A145" s="9" t="s">
        <v>284</v>
      </c>
      <c r="B145" s="9" t="s">
        <v>10</v>
      </c>
      <c r="C145" s="9">
        <v>14</v>
      </c>
      <c r="D145" s="9" t="s">
        <v>669</v>
      </c>
      <c r="E145" s="9" t="s">
        <v>1202</v>
      </c>
      <c r="F145" s="9" t="s">
        <v>1202</v>
      </c>
      <c r="G145" s="9">
        <v>35507</v>
      </c>
      <c r="H145" s="9" t="s">
        <v>1204</v>
      </c>
      <c r="I145" s="9">
        <v>188</v>
      </c>
      <c r="J145" s="9">
        <v>8</v>
      </c>
      <c r="K145" s="9">
        <v>1</v>
      </c>
    </row>
    <row r="146" spans="1:11" x14ac:dyDescent="0.4">
      <c r="A146" s="9" t="s">
        <v>284</v>
      </c>
      <c r="B146" s="9" t="s">
        <v>10</v>
      </c>
      <c r="C146" s="9">
        <v>15</v>
      </c>
      <c r="D146" s="9" t="s">
        <v>669</v>
      </c>
      <c r="E146" s="9" t="s">
        <v>1206</v>
      </c>
      <c r="F146" s="9" t="s">
        <v>1208</v>
      </c>
      <c r="G146" s="9">
        <v>35095</v>
      </c>
      <c r="H146" s="9" t="s">
        <v>1172</v>
      </c>
      <c r="I146" s="9">
        <v>189</v>
      </c>
      <c r="J146" s="9">
        <v>4</v>
      </c>
      <c r="K146" s="9">
        <v>0</v>
      </c>
    </row>
    <row r="147" spans="1:11" x14ac:dyDescent="0.4">
      <c r="A147" s="9" t="s">
        <v>284</v>
      </c>
      <c r="B147" s="9" t="s">
        <v>10</v>
      </c>
      <c r="C147" s="9">
        <v>16</v>
      </c>
      <c r="D147" s="9" t="s">
        <v>669</v>
      </c>
      <c r="E147" s="9" t="s">
        <v>1210</v>
      </c>
      <c r="F147" s="9" t="s">
        <v>1212</v>
      </c>
      <c r="G147" s="9">
        <v>34415</v>
      </c>
      <c r="H147" s="9" t="s">
        <v>1213</v>
      </c>
      <c r="I147" s="9">
        <v>173</v>
      </c>
      <c r="J147" s="9">
        <v>7</v>
      </c>
      <c r="K147" s="9">
        <v>0</v>
      </c>
    </row>
    <row r="148" spans="1:11" x14ac:dyDescent="0.4">
      <c r="A148" s="9" t="s">
        <v>284</v>
      </c>
      <c r="B148" s="9" t="s">
        <v>10</v>
      </c>
      <c r="C148" s="9">
        <v>17</v>
      </c>
      <c r="D148" s="9" t="s">
        <v>686</v>
      </c>
      <c r="E148" s="9" t="s">
        <v>1215</v>
      </c>
      <c r="F148" s="9" t="s">
        <v>1215</v>
      </c>
      <c r="G148" s="9">
        <v>34265</v>
      </c>
      <c r="H148" s="9" t="s">
        <v>699</v>
      </c>
      <c r="I148" s="9">
        <v>188</v>
      </c>
      <c r="J148" s="9">
        <v>33</v>
      </c>
      <c r="K148" s="9">
        <v>0</v>
      </c>
    </row>
    <row r="149" spans="1:11" x14ac:dyDescent="0.4">
      <c r="A149" s="9" t="s">
        <v>284</v>
      </c>
      <c r="B149" s="9" t="s">
        <v>10</v>
      </c>
      <c r="C149" s="9">
        <v>18</v>
      </c>
      <c r="D149" s="9" t="s">
        <v>686</v>
      </c>
      <c r="E149" s="9" t="s">
        <v>1218</v>
      </c>
      <c r="F149" s="9" t="s">
        <v>1220</v>
      </c>
      <c r="G149" s="9">
        <v>37010</v>
      </c>
      <c r="H149" s="9" t="s">
        <v>1221</v>
      </c>
      <c r="I149" s="9">
        <v>177</v>
      </c>
      <c r="J149" s="9">
        <v>4</v>
      </c>
      <c r="K149" s="9">
        <v>2</v>
      </c>
    </row>
    <row r="150" spans="1:11" x14ac:dyDescent="0.4">
      <c r="A150" s="9" t="s">
        <v>284</v>
      </c>
      <c r="B150" s="9" t="s">
        <v>10</v>
      </c>
      <c r="C150" s="9">
        <v>19</v>
      </c>
      <c r="D150" s="9" t="s">
        <v>691</v>
      </c>
      <c r="E150" s="9" t="s">
        <v>1223</v>
      </c>
      <c r="F150" s="9" t="s">
        <v>1223</v>
      </c>
      <c r="G150" s="9">
        <v>38919</v>
      </c>
      <c r="H150" s="9" t="s">
        <v>1225</v>
      </c>
      <c r="I150" s="9">
        <v>172</v>
      </c>
      <c r="J150" s="9">
        <v>17</v>
      </c>
      <c r="K150" s="9">
        <v>4</v>
      </c>
    </row>
    <row r="151" spans="1:11" x14ac:dyDescent="0.4">
      <c r="A151" s="9" t="s">
        <v>284</v>
      </c>
      <c r="B151" s="9" t="s">
        <v>10</v>
      </c>
      <c r="C151" s="9">
        <v>20</v>
      </c>
      <c r="D151" s="9" t="s">
        <v>686</v>
      </c>
      <c r="E151" s="9" t="s">
        <v>1227</v>
      </c>
      <c r="F151" s="9" t="s">
        <v>1228</v>
      </c>
      <c r="G151" s="9">
        <v>35669</v>
      </c>
      <c r="H151" s="9" t="s">
        <v>1172</v>
      </c>
      <c r="I151" s="9">
        <v>183</v>
      </c>
      <c r="J151" s="9">
        <v>63</v>
      </c>
      <c r="K151" s="9">
        <v>13</v>
      </c>
    </row>
    <row r="152" spans="1:11" x14ac:dyDescent="0.4">
      <c r="A152" s="9" t="s">
        <v>284</v>
      </c>
      <c r="B152" s="9" t="s">
        <v>10</v>
      </c>
      <c r="C152" s="9">
        <v>21</v>
      </c>
      <c r="D152" s="9" t="s">
        <v>691</v>
      </c>
      <c r="E152" s="9" t="s">
        <v>1230</v>
      </c>
      <c r="F152" s="9" t="s">
        <v>1232</v>
      </c>
      <c r="G152" s="9">
        <v>36893</v>
      </c>
      <c r="H152" s="9" t="s">
        <v>1213</v>
      </c>
      <c r="I152" s="9">
        <v>182</v>
      </c>
      <c r="J152" s="9">
        <v>15</v>
      </c>
      <c r="K152" s="9">
        <v>2</v>
      </c>
    </row>
    <row r="153" spans="1:11" x14ac:dyDescent="0.4">
      <c r="A153" s="9" t="s">
        <v>284</v>
      </c>
      <c r="B153" s="9" t="s">
        <v>10</v>
      </c>
      <c r="C153" s="9">
        <v>22</v>
      </c>
      <c r="D153" s="9" t="s">
        <v>691</v>
      </c>
      <c r="E153" s="9" t="s">
        <v>1234</v>
      </c>
      <c r="F153" s="9" t="s">
        <v>1235</v>
      </c>
      <c r="G153" s="9">
        <v>37060</v>
      </c>
      <c r="H153" s="9" t="s">
        <v>1000</v>
      </c>
      <c r="I153" s="9">
        <v>178</v>
      </c>
      <c r="J153" s="9">
        <v>23</v>
      </c>
      <c r="K153" s="9">
        <v>4</v>
      </c>
    </row>
    <row r="154" spans="1:11" x14ac:dyDescent="0.4">
      <c r="A154" s="9" t="s">
        <v>284</v>
      </c>
      <c r="B154" s="9" t="s">
        <v>10</v>
      </c>
      <c r="C154" s="9">
        <v>23</v>
      </c>
      <c r="D154" s="9" t="s">
        <v>664</v>
      </c>
      <c r="E154" s="9" t="s">
        <v>1237</v>
      </c>
      <c r="F154" s="9" t="s">
        <v>1237</v>
      </c>
      <c r="G154" s="9">
        <v>34198</v>
      </c>
      <c r="H154" s="9" t="s">
        <v>1239</v>
      </c>
      <c r="I154" s="9">
        <v>188</v>
      </c>
      <c r="J154" s="9">
        <v>32</v>
      </c>
      <c r="K154" s="9">
        <v>0</v>
      </c>
    </row>
    <row r="155" spans="1:11" x14ac:dyDescent="0.4">
      <c r="A155" s="9" t="s">
        <v>284</v>
      </c>
      <c r="B155" s="9" t="s">
        <v>10</v>
      </c>
      <c r="C155" s="9">
        <v>24</v>
      </c>
      <c r="D155" s="9" t="s">
        <v>669</v>
      </c>
      <c r="E155" s="9" t="s">
        <v>1241</v>
      </c>
      <c r="F155" s="9" t="s">
        <v>1243</v>
      </c>
      <c r="G155" s="9">
        <v>36122</v>
      </c>
      <c r="H155" s="9" t="s">
        <v>695</v>
      </c>
      <c r="I155" s="9">
        <v>186</v>
      </c>
      <c r="J155" s="9">
        <v>7</v>
      </c>
      <c r="K155" s="9">
        <v>0</v>
      </c>
    </row>
    <row r="156" spans="1:11" x14ac:dyDescent="0.4">
      <c r="A156" s="9" t="s">
        <v>284</v>
      </c>
      <c r="B156" s="9" t="s">
        <v>10</v>
      </c>
      <c r="C156" s="9">
        <v>25</v>
      </c>
      <c r="D156" s="9" t="s">
        <v>691</v>
      </c>
      <c r="E156" s="9" t="s">
        <v>1245</v>
      </c>
      <c r="F156" s="9" t="s">
        <v>1247</v>
      </c>
      <c r="G156" s="9">
        <v>37068</v>
      </c>
      <c r="H156" s="9" t="s">
        <v>1248</v>
      </c>
      <c r="I156" s="9">
        <v>190</v>
      </c>
      <c r="J156" s="9">
        <v>4</v>
      </c>
      <c r="K156" s="9">
        <v>2</v>
      </c>
    </row>
    <row r="157" spans="1:11" x14ac:dyDescent="0.4">
      <c r="A157" s="9" t="s">
        <v>284</v>
      </c>
      <c r="B157" s="9" t="s">
        <v>10</v>
      </c>
      <c r="C157" s="9">
        <v>26</v>
      </c>
      <c r="D157" s="9" t="s">
        <v>691</v>
      </c>
      <c r="E157" s="9" t="s">
        <v>1250</v>
      </c>
      <c r="F157" s="9" t="s">
        <v>1250</v>
      </c>
      <c r="G157" s="9">
        <v>38932</v>
      </c>
      <c r="H157" s="9" t="s">
        <v>1252</v>
      </c>
      <c r="I157" s="9">
        <v>187</v>
      </c>
      <c r="J157" s="9">
        <v>2</v>
      </c>
      <c r="K157" s="9">
        <v>1</v>
      </c>
    </row>
    <row r="158" spans="1:11" x14ac:dyDescent="0.4">
      <c r="A158" s="9" t="s">
        <v>321</v>
      </c>
      <c r="B158" s="9" t="s">
        <v>261</v>
      </c>
      <c r="C158" s="9">
        <v>1</v>
      </c>
      <c r="D158" s="9" t="s">
        <v>664</v>
      </c>
      <c r="E158" s="9" t="s">
        <v>1254</v>
      </c>
      <c r="F158" s="9" t="s">
        <v>1254</v>
      </c>
      <c r="G158" s="9">
        <v>31566</v>
      </c>
      <c r="H158" s="9" t="s">
        <v>1256</v>
      </c>
      <c r="I158" s="9">
        <v>189</v>
      </c>
      <c r="J158" s="9">
        <v>90</v>
      </c>
      <c r="K158" s="9">
        <v>0</v>
      </c>
    </row>
    <row r="159" spans="1:11" x14ac:dyDescent="0.4">
      <c r="A159" s="9" t="s">
        <v>321</v>
      </c>
      <c r="B159" s="9" t="s">
        <v>261</v>
      </c>
      <c r="C159" s="9">
        <v>2</v>
      </c>
      <c r="D159" s="9" t="s">
        <v>669</v>
      </c>
      <c r="E159" s="9" t="s">
        <v>1258</v>
      </c>
      <c r="F159" s="9" t="s">
        <v>1258</v>
      </c>
      <c r="G159" s="9">
        <v>32283</v>
      </c>
      <c r="H159" s="9" t="s">
        <v>1260</v>
      </c>
      <c r="I159" s="9">
        <v>178</v>
      </c>
      <c r="J159" s="9">
        <v>61</v>
      </c>
      <c r="K159" s="9">
        <v>4</v>
      </c>
    </row>
    <row r="160" spans="1:11" x14ac:dyDescent="0.4">
      <c r="A160" s="9" t="s">
        <v>321</v>
      </c>
      <c r="B160" s="9" t="s">
        <v>261</v>
      </c>
      <c r="C160" s="9">
        <v>3</v>
      </c>
      <c r="D160" s="9" t="s">
        <v>669</v>
      </c>
      <c r="E160" s="9" t="s">
        <v>1262</v>
      </c>
      <c r="F160" s="9" t="s">
        <v>1264</v>
      </c>
      <c r="G160" s="9">
        <v>34716</v>
      </c>
      <c r="H160" s="9" t="s">
        <v>1265</v>
      </c>
      <c r="I160" s="9">
        <v>185</v>
      </c>
      <c r="J160" s="9">
        <v>32</v>
      </c>
      <c r="K160" s="9">
        <v>2</v>
      </c>
    </row>
    <row r="161" spans="1:11" x14ac:dyDescent="0.4">
      <c r="A161" s="9" t="s">
        <v>321</v>
      </c>
      <c r="B161" s="9" t="s">
        <v>261</v>
      </c>
      <c r="C161" s="9">
        <v>4</v>
      </c>
      <c r="D161" s="9" t="s">
        <v>669</v>
      </c>
      <c r="E161" s="9" t="s">
        <v>1267</v>
      </c>
      <c r="F161" s="9" t="s">
        <v>1269</v>
      </c>
      <c r="G161" s="9">
        <v>33772</v>
      </c>
      <c r="H161" s="9" t="s">
        <v>1270</v>
      </c>
      <c r="I161" s="9">
        <v>186</v>
      </c>
      <c r="J161" s="9">
        <v>45</v>
      </c>
      <c r="K161" s="9">
        <v>0</v>
      </c>
    </row>
    <row r="162" spans="1:11" x14ac:dyDescent="0.4">
      <c r="A162" s="9" t="s">
        <v>321</v>
      </c>
      <c r="B162" s="9" t="s">
        <v>261</v>
      </c>
      <c r="C162" s="9">
        <v>5</v>
      </c>
      <c r="D162" s="9" t="s">
        <v>669</v>
      </c>
      <c r="E162" s="9" t="s">
        <v>1271</v>
      </c>
      <c r="F162" s="9" t="s">
        <v>1273</v>
      </c>
      <c r="G162" s="9">
        <v>36982</v>
      </c>
      <c r="H162" s="9" t="s">
        <v>1274</v>
      </c>
      <c r="I162" s="9">
        <v>190</v>
      </c>
      <c r="J162" s="9">
        <v>28</v>
      </c>
      <c r="K162" s="9">
        <v>0</v>
      </c>
    </row>
    <row r="163" spans="1:11" x14ac:dyDescent="0.4">
      <c r="A163" s="9" t="s">
        <v>321</v>
      </c>
      <c r="B163" s="9" t="s">
        <v>261</v>
      </c>
      <c r="C163" s="9">
        <v>6</v>
      </c>
      <c r="D163" s="9" t="s">
        <v>686</v>
      </c>
      <c r="E163" s="9" t="s">
        <v>1275</v>
      </c>
      <c r="F163" s="9" t="s">
        <v>1277</v>
      </c>
      <c r="G163" s="9">
        <v>35457</v>
      </c>
      <c r="H163" s="9" t="s">
        <v>1278</v>
      </c>
      <c r="I163" s="9">
        <v>177</v>
      </c>
      <c r="J163" s="9">
        <v>31</v>
      </c>
      <c r="K163" s="9">
        <v>3</v>
      </c>
    </row>
    <row r="164" spans="1:11" x14ac:dyDescent="0.4">
      <c r="A164" s="9" t="s">
        <v>321</v>
      </c>
      <c r="B164" s="9" t="s">
        <v>261</v>
      </c>
      <c r="C164" s="9">
        <v>7</v>
      </c>
      <c r="D164" s="9" t="s">
        <v>686</v>
      </c>
      <c r="E164" s="9" t="s">
        <v>1280</v>
      </c>
      <c r="F164" s="9" t="s">
        <v>1282</v>
      </c>
      <c r="G164" s="9">
        <v>35960</v>
      </c>
      <c r="H164" s="9" t="s">
        <v>1283</v>
      </c>
      <c r="I164" s="9">
        <v>174</v>
      </c>
      <c r="J164" s="9">
        <v>29</v>
      </c>
      <c r="K164" s="9">
        <v>3</v>
      </c>
    </row>
    <row r="165" spans="1:11" x14ac:dyDescent="0.4">
      <c r="A165" s="9" t="s">
        <v>321</v>
      </c>
      <c r="B165" s="9" t="s">
        <v>261</v>
      </c>
      <c r="C165" s="9">
        <v>8</v>
      </c>
      <c r="D165" s="9" t="s">
        <v>686</v>
      </c>
      <c r="E165" s="9" t="s">
        <v>1285</v>
      </c>
      <c r="F165" s="9" t="s">
        <v>1287</v>
      </c>
      <c r="G165" s="9">
        <v>35941</v>
      </c>
      <c r="H165" s="9" t="s">
        <v>1288</v>
      </c>
      <c r="I165" s="9">
        <v>180</v>
      </c>
      <c r="J165" s="9">
        <v>41</v>
      </c>
      <c r="K165" s="9">
        <v>1</v>
      </c>
    </row>
    <row r="166" spans="1:11" x14ac:dyDescent="0.4">
      <c r="A166" s="9" t="s">
        <v>321</v>
      </c>
      <c r="B166" s="9" t="s">
        <v>261</v>
      </c>
      <c r="C166" s="9">
        <v>9</v>
      </c>
      <c r="D166" s="9" t="s">
        <v>691</v>
      </c>
      <c r="E166" s="9" t="s">
        <v>1290</v>
      </c>
      <c r="F166" s="9" t="s">
        <v>1292</v>
      </c>
      <c r="G166" s="9">
        <v>37254</v>
      </c>
      <c r="H166" s="9" t="s">
        <v>1293</v>
      </c>
      <c r="I166" s="9">
        <v>187</v>
      </c>
      <c r="J166" s="9">
        <v>21</v>
      </c>
      <c r="K166" s="9">
        <v>6</v>
      </c>
    </row>
    <row r="167" spans="1:11" x14ac:dyDescent="0.4">
      <c r="A167" s="9" t="s">
        <v>321</v>
      </c>
      <c r="B167" s="9" t="s">
        <v>261</v>
      </c>
      <c r="C167" s="9">
        <v>10</v>
      </c>
      <c r="D167" s="9" t="s">
        <v>686</v>
      </c>
      <c r="E167" s="9" t="s">
        <v>1295</v>
      </c>
      <c r="F167" s="9" t="s">
        <v>1297</v>
      </c>
      <c r="G167" s="9">
        <v>34296</v>
      </c>
      <c r="H167" s="9" t="s">
        <v>1298</v>
      </c>
      <c r="I167" s="9">
        <v>175</v>
      </c>
      <c r="J167" s="9">
        <v>55</v>
      </c>
      <c r="K167" s="9">
        <v>5</v>
      </c>
    </row>
    <row r="168" spans="1:11" x14ac:dyDescent="0.4">
      <c r="A168" s="9" t="s">
        <v>321</v>
      </c>
      <c r="B168" s="9" t="s">
        <v>261</v>
      </c>
      <c r="C168" s="9">
        <v>11</v>
      </c>
      <c r="D168" s="9" t="s">
        <v>686</v>
      </c>
      <c r="E168" s="9" t="s">
        <v>1300</v>
      </c>
      <c r="F168" s="9" t="s">
        <v>1302</v>
      </c>
      <c r="G168" s="9">
        <v>33204</v>
      </c>
      <c r="H168" s="9" t="s">
        <v>1303</v>
      </c>
      <c r="I168" s="9">
        <v>173</v>
      </c>
      <c r="J168" s="9">
        <v>61</v>
      </c>
      <c r="K168" s="9">
        <v>10</v>
      </c>
    </row>
    <row r="169" spans="1:11" x14ac:dyDescent="0.4">
      <c r="A169" s="9" t="s">
        <v>321</v>
      </c>
      <c r="B169" s="9" t="s">
        <v>261</v>
      </c>
      <c r="C169" s="9">
        <v>12</v>
      </c>
      <c r="D169" s="9" t="s">
        <v>664</v>
      </c>
      <c r="E169" s="9" t="s">
        <v>1305</v>
      </c>
      <c r="F169" s="9" t="s">
        <v>1307</v>
      </c>
      <c r="G169" s="9">
        <v>35484</v>
      </c>
      <c r="H169" s="9" t="s">
        <v>1308</v>
      </c>
      <c r="I169" s="9">
        <v>186</v>
      </c>
      <c r="J169" s="9">
        <v>11</v>
      </c>
      <c r="K169" s="9">
        <v>0</v>
      </c>
    </row>
    <row r="170" spans="1:11" x14ac:dyDescent="0.4">
      <c r="A170" s="9" t="s">
        <v>321</v>
      </c>
      <c r="B170" s="9" t="s">
        <v>261</v>
      </c>
      <c r="C170" s="9">
        <v>13</v>
      </c>
      <c r="D170" s="9" t="s">
        <v>669</v>
      </c>
      <c r="E170" s="9" t="s">
        <v>1310</v>
      </c>
      <c r="F170" s="9" t="s">
        <v>1312</v>
      </c>
      <c r="G170" s="9">
        <v>37517</v>
      </c>
      <c r="H170" s="9" t="s">
        <v>1015</v>
      </c>
      <c r="I170" s="9">
        <v>176</v>
      </c>
      <c r="J170" s="9">
        <v>11</v>
      </c>
      <c r="K170" s="9">
        <v>3</v>
      </c>
    </row>
    <row r="171" spans="1:11" x14ac:dyDescent="0.4">
      <c r="A171" s="9" t="s">
        <v>321</v>
      </c>
      <c r="B171" s="9" t="s">
        <v>261</v>
      </c>
      <c r="C171" s="9">
        <v>14</v>
      </c>
      <c r="D171" s="9" t="s">
        <v>686</v>
      </c>
      <c r="E171" s="9" t="s">
        <v>1313</v>
      </c>
      <c r="F171" s="9" t="s">
        <v>1315</v>
      </c>
      <c r="G171" s="9">
        <v>36345</v>
      </c>
      <c r="H171" s="9" t="s">
        <v>1316</v>
      </c>
      <c r="I171" s="9">
        <v>177</v>
      </c>
      <c r="J171" s="9">
        <v>33</v>
      </c>
      <c r="K171" s="9">
        <v>0</v>
      </c>
    </row>
    <row r="172" spans="1:11" x14ac:dyDescent="0.4">
      <c r="A172" s="9" t="s">
        <v>321</v>
      </c>
      <c r="B172" s="9" t="s">
        <v>261</v>
      </c>
      <c r="C172" s="9">
        <v>15</v>
      </c>
      <c r="D172" s="9" t="s">
        <v>686</v>
      </c>
      <c r="E172" s="9" t="s">
        <v>1318</v>
      </c>
      <c r="F172" s="9" t="s">
        <v>1320</v>
      </c>
      <c r="G172" s="9">
        <v>35489</v>
      </c>
      <c r="H172" s="9" t="s">
        <v>1321</v>
      </c>
      <c r="I172" s="9">
        <v>180</v>
      </c>
      <c r="J172" s="9">
        <v>20</v>
      </c>
      <c r="K172" s="9">
        <v>1</v>
      </c>
    </row>
    <row r="173" spans="1:11" x14ac:dyDescent="0.4">
      <c r="A173" s="9" t="s">
        <v>321</v>
      </c>
      <c r="B173" s="9" t="s">
        <v>261</v>
      </c>
      <c r="C173" s="9">
        <v>16</v>
      </c>
      <c r="D173" s="9" t="s">
        <v>686</v>
      </c>
      <c r="E173" s="9" t="s">
        <v>1322</v>
      </c>
      <c r="F173" s="9" t="s">
        <v>1324</v>
      </c>
      <c r="G173" s="9">
        <v>35062</v>
      </c>
      <c r="H173" s="9" t="s">
        <v>1325</v>
      </c>
      <c r="I173" s="9">
        <v>176</v>
      </c>
      <c r="J173" s="9">
        <v>11</v>
      </c>
      <c r="K173" s="9">
        <v>1</v>
      </c>
    </row>
    <row r="174" spans="1:11" x14ac:dyDescent="0.4">
      <c r="A174" s="9" t="s">
        <v>321</v>
      </c>
      <c r="B174" s="9" t="s">
        <v>261</v>
      </c>
      <c r="C174" s="9">
        <v>17</v>
      </c>
      <c r="D174" s="9" t="s">
        <v>686</v>
      </c>
      <c r="E174" s="9" t="s">
        <v>1327</v>
      </c>
      <c r="F174" s="9" t="s">
        <v>1329</v>
      </c>
      <c r="G174" s="9">
        <v>34451</v>
      </c>
      <c r="H174" s="9" t="s">
        <v>1330</v>
      </c>
      <c r="I174" s="9">
        <v>185</v>
      </c>
      <c r="J174" s="9">
        <v>38</v>
      </c>
      <c r="K174" s="9">
        <v>3</v>
      </c>
    </row>
    <row r="175" spans="1:11" x14ac:dyDescent="0.4">
      <c r="A175" s="9" t="s">
        <v>321</v>
      </c>
      <c r="B175" s="9" t="s">
        <v>261</v>
      </c>
      <c r="C175" s="9">
        <v>18</v>
      </c>
      <c r="D175" s="9" t="s">
        <v>686</v>
      </c>
      <c r="E175" s="9" t="s">
        <v>1332</v>
      </c>
      <c r="F175" s="9" t="s">
        <v>1334</v>
      </c>
      <c r="G175" s="9">
        <v>37063</v>
      </c>
      <c r="H175" s="9" t="s">
        <v>1335</v>
      </c>
      <c r="I175" s="9">
        <v>180</v>
      </c>
      <c r="J175" s="9">
        <v>16</v>
      </c>
      <c r="K175" s="9">
        <v>1</v>
      </c>
    </row>
    <row r="176" spans="1:11" x14ac:dyDescent="0.4">
      <c r="A176" s="9" t="s">
        <v>321</v>
      </c>
      <c r="B176" s="9" t="s">
        <v>261</v>
      </c>
      <c r="C176" s="9">
        <v>19</v>
      </c>
      <c r="D176" s="9" t="s">
        <v>691</v>
      </c>
      <c r="E176" s="9" t="s">
        <v>1337</v>
      </c>
      <c r="F176" s="9" t="s">
        <v>1339</v>
      </c>
      <c r="G176" s="9">
        <v>37015</v>
      </c>
      <c r="H176" s="9" t="s">
        <v>1340</v>
      </c>
      <c r="I176" s="9">
        <v>185</v>
      </c>
      <c r="J176" s="9">
        <v>22</v>
      </c>
      <c r="K176" s="9">
        <v>7</v>
      </c>
    </row>
    <row r="177" spans="1:11" x14ac:dyDescent="0.4">
      <c r="A177" s="9" t="s">
        <v>321</v>
      </c>
      <c r="B177" s="9" t="s">
        <v>261</v>
      </c>
      <c r="C177" s="9">
        <v>20</v>
      </c>
      <c r="D177" s="9" t="s">
        <v>691</v>
      </c>
      <c r="E177" s="9" t="s">
        <v>1342</v>
      </c>
      <c r="F177" s="9" t="s">
        <v>771</v>
      </c>
      <c r="G177" s="9">
        <v>32881</v>
      </c>
      <c r="H177" s="9" t="s">
        <v>1344</v>
      </c>
      <c r="I177" s="9">
        <v>178</v>
      </c>
      <c r="J177" s="9">
        <v>96</v>
      </c>
      <c r="K177" s="9">
        <v>22</v>
      </c>
    </row>
    <row r="178" spans="1:11" x14ac:dyDescent="0.4">
      <c r="A178" s="9" t="s">
        <v>321</v>
      </c>
      <c r="B178" s="9" t="s">
        <v>261</v>
      </c>
      <c r="C178" s="9">
        <v>21</v>
      </c>
      <c r="D178" s="9" t="s">
        <v>686</v>
      </c>
      <c r="E178" s="9" t="s">
        <v>1346</v>
      </c>
      <c r="F178" s="9" t="s">
        <v>1348</v>
      </c>
      <c r="G178" s="9">
        <v>33279</v>
      </c>
      <c r="H178" s="9" t="s">
        <v>1349</v>
      </c>
      <c r="I178" s="9">
        <v>182</v>
      </c>
      <c r="J178" s="9">
        <v>9</v>
      </c>
      <c r="K178" s="9">
        <v>2</v>
      </c>
    </row>
    <row r="179" spans="1:11" x14ac:dyDescent="0.4">
      <c r="A179" s="9" t="s">
        <v>321</v>
      </c>
      <c r="B179" s="9" t="s">
        <v>261</v>
      </c>
      <c r="C179" s="9">
        <v>22</v>
      </c>
      <c r="D179" s="9" t="s">
        <v>669</v>
      </c>
      <c r="E179" s="9" t="s">
        <v>1351</v>
      </c>
      <c r="F179" s="9" t="s">
        <v>1353</v>
      </c>
      <c r="G179" s="9">
        <v>34559</v>
      </c>
      <c r="H179" s="9" t="s">
        <v>1354</v>
      </c>
      <c r="I179" s="9">
        <v>178</v>
      </c>
      <c r="J179" s="9">
        <v>20</v>
      </c>
      <c r="K179" s="9">
        <v>0</v>
      </c>
    </row>
    <row r="180" spans="1:11" x14ac:dyDescent="0.4">
      <c r="A180" s="9" t="s">
        <v>321</v>
      </c>
      <c r="B180" s="9" t="s">
        <v>261</v>
      </c>
      <c r="C180" s="9">
        <v>23</v>
      </c>
      <c r="D180" s="9" t="s">
        <v>664</v>
      </c>
      <c r="E180" s="9" t="s">
        <v>1355</v>
      </c>
      <c r="F180" s="9" t="s">
        <v>1357</v>
      </c>
      <c r="G180" s="9">
        <v>36762</v>
      </c>
      <c r="H180" s="9" t="s">
        <v>1358</v>
      </c>
      <c r="I180" s="9">
        <v>189</v>
      </c>
      <c r="J180" s="9">
        <v>1</v>
      </c>
      <c r="K180" s="9">
        <v>0</v>
      </c>
    </row>
    <row r="181" spans="1:11" x14ac:dyDescent="0.4">
      <c r="A181" s="9" t="s">
        <v>321</v>
      </c>
      <c r="B181" s="9" t="s">
        <v>261</v>
      </c>
      <c r="C181" s="9">
        <v>24</v>
      </c>
      <c r="D181" s="9" t="s">
        <v>669</v>
      </c>
      <c r="E181" s="9" t="s">
        <v>1360</v>
      </c>
      <c r="F181" s="9" t="s">
        <v>1362</v>
      </c>
      <c r="G181" s="9">
        <v>37563</v>
      </c>
      <c r="H181" s="9" t="s">
        <v>1363</v>
      </c>
      <c r="I181" s="9">
        <v>180</v>
      </c>
      <c r="J181" s="9">
        <v>14</v>
      </c>
      <c r="K181" s="9">
        <v>0</v>
      </c>
    </row>
    <row r="182" spans="1:11" x14ac:dyDescent="0.4">
      <c r="A182" s="9" t="s">
        <v>321</v>
      </c>
      <c r="B182" s="9" t="s">
        <v>261</v>
      </c>
      <c r="C182" s="9">
        <v>25</v>
      </c>
      <c r="D182" s="9" t="s">
        <v>669</v>
      </c>
      <c r="E182" s="9" t="s">
        <v>1365</v>
      </c>
      <c r="F182" s="9" t="s">
        <v>1367</v>
      </c>
      <c r="G182" s="9">
        <v>36682</v>
      </c>
      <c r="H182" s="9" t="s">
        <v>1368</v>
      </c>
      <c r="I182" s="9">
        <v>193</v>
      </c>
      <c r="J182" s="9">
        <v>6</v>
      </c>
      <c r="K182" s="9">
        <v>1</v>
      </c>
    </row>
    <row r="183" spans="1:11" x14ac:dyDescent="0.4">
      <c r="A183" s="9" t="s">
        <v>321</v>
      </c>
      <c r="B183" s="9" t="s">
        <v>261</v>
      </c>
      <c r="C183" s="9">
        <v>26</v>
      </c>
      <c r="D183" s="9" t="s">
        <v>686</v>
      </c>
      <c r="E183" s="9" t="s">
        <v>1370</v>
      </c>
      <c r="F183" s="9" t="s">
        <v>1372</v>
      </c>
      <c r="G183" s="9">
        <v>37379</v>
      </c>
      <c r="H183" s="9" t="s">
        <v>1373</v>
      </c>
      <c r="I183" s="9">
        <v>176</v>
      </c>
      <c r="J183" s="9">
        <v>21</v>
      </c>
      <c r="K183" s="9">
        <v>0</v>
      </c>
    </row>
    <row r="184" spans="1:11" x14ac:dyDescent="0.4">
      <c r="A184" s="9" t="s">
        <v>282</v>
      </c>
      <c r="B184" s="9" t="s">
        <v>7</v>
      </c>
      <c r="C184" s="9">
        <v>1</v>
      </c>
      <c r="D184" s="9" t="s">
        <v>664</v>
      </c>
      <c r="E184" s="9" t="s">
        <v>1375</v>
      </c>
      <c r="F184" s="9" t="s">
        <v>1377</v>
      </c>
      <c r="G184" s="9">
        <v>35559</v>
      </c>
      <c r="H184" s="9" t="s">
        <v>1378</v>
      </c>
      <c r="I184" s="9">
        <v>191</v>
      </c>
      <c r="J184" s="9">
        <v>20</v>
      </c>
      <c r="K184" s="9">
        <v>0</v>
      </c>
    </row>
    <row r="185" spans="1:11" x14ac:dyDescent="0.4">
      <c r="A185" s="9" t="s">
        <v>282</v>
      </c>
      <c r="B185" s="9" t="s">
        <v>7</v>
      </c>
      <c r="C185" s="9">
        <v>2</v>
      </c>
      <c r="D185" s="9" t="s">
        <v>669</v>
      </c>
      <c r="E185" s="9" t="s">
        <v>1379</v>
      </c>
      <c r="F185" s="9" t="s">
        <v>1381</v>
      </c>
      <c r="G185" s="9">
        <v>36076</v>
      </c>
      <c r="H185" s="9" t="s">
        <v>1382</v>
      </c>
      <c r="I185" s="9">
        <v>180</v>
      </c>
      <c r="J185" s="9">
        <v>58</v>
      </c>
      <c r="K185" s="9">
        <v>1</v>
      </c>
    </row>
    <row r="186" spans="1:11" x14ac:dyDescent="0.4">
      <c r="A186" s="9" t="s">
        <v>282</v>
      </c>
      <c r="B186" s="9" t="s">
        <v>7</v>
      </c>
      <c r="C186" s="9">
        <v>3</v>
      </c>
      <c r="D186" s="9" t="s">
        <v>669</v>
      </c>
      <c r="E186" s="9" t="s">
        <v>1383</v>
      </c>
      <c r="F186" s="9" t="s">
        <v>1385</v>
      </c>
      <c r="G186" s="9">
        <v>35710</v>
      </c>
      <c r="H186" s="9" t="s">
        <v>1386</v>
      </c>
      <c r="I186" s="9">
        <v>191</v>
      </c>
      <c r="J186" s="9">
        <v>2</v>
      </c>
      <c r="K186" s="9">
        <v>0</v>
      </c>
    </row>
    <row r="187" spans="1:11" x14ac:dyDescent="0.4">
      <c r="A187" s="9" t="s">
        <v>282</v>
      </c>
      <c r="B187" s="9" t="s">
        <v>7</v>
      </c>
      <c r="C187" s="9">
        <v>4</v>
      </c>
      <c r="D187" s="9" t="s">
        <v>669</v>
      </c>
      <c r="E187" s="9" t="s">
        <v>1387</v>
      </c>
      <c r="F187" s="9" t="s">
        <v>1389</v>
      </c>
      <c r="G187" s="9">
        <v>38637</v>
      </c>
      <c r="H187" s="9" t="s">
        <v>1390</v>
      </c>
      <c r="I187" s="9">
        <v>183</v>
      </c>
      <c r="J187" s="9">
        <v>13</v>
      </c>
      <c r="K187" s="9">
        <v>0</v>
      </c>
    </row>
    <row r="188" spans="1:11" x14ac:dyDescent="0.4">
      <c r="A188" s="9" t="s">
        <v>282</v>
      </c>
      <c r="B188" s="9" t="s">
        <v>7</v>
      </c>
      <c r="C188" s="9">
        <v>5</v>
      </c>
      <c r="D188" s="9" t="s">
        <v>669</v>
      </c>
      <c r="E188" s="9" t="s">
        <v>1392</v>
      </c>
      <c r="F188" s="9" t="s">
        <v>1394</v>
      </c>
      <c r="G188" s="9">
        <v>35088</v>
      </c>
      <c r="H188" s="9" t="s">
        <v>1395</v>
      </c>
      <c r="I188" s="9">
        <v>185</v>
      </c>
      <c r="J188" s="9">
        <v>17</v>
      </c>
      <c r="K188" s="9">
        <v>0</v>
      </c>
    </row>
    <row r="189" spans="1:11" x14ac:dyDescent="0.4">
      <c r="A189" s="9" t="s">
        <v>282</v>
      </c>
      <c r="B189" s="9" t="s">
        <v>7</v>
      </c>
      <c r="C189" s="9">
        <v>6</v>
      </c>
      <c r="D189" s="9" t="s">
        <v>686</v>
      </c>
      <c r="E189" s="9" t="s">
        <v>1396</v>
      </c>
      <c r="F189" s="9" t="s">
        <v>1398</v>
      </c>
      <c r="G189" s="9">
        <v>36198</v>
      </c>
      <c r="H189" s="9" t="s">
        <v>1399</v>
      </c>
      <c r="I189" s="9">
        <v>173</v>
      </c>
      <c r="J189" s="9">
        <v>23</v>
      </c>
      <c r="K189" s="9">
        <v>0</v>
      </c>
    </row>
    <row r="190" spans="1:11" x14ac:dyDescent="0.4">
      <c r="A190" s="9" t="s">
        <v>282</v>
      </c>
      <c r="B190" s="9" t="s">
        <v>7</v>
      </c>
      <c r="C190" s="9">
        <v>7</v>
      </c>
      <c r="D190" s="9" t="s">
        <v>686</v>
      </c>
      <c r="E190" s="9" t="s">
        <v>1400</v>
      </c>
      <c r="F190" s="9" t="s">
        <v>1402</v>
      </c>
      <c r="G190" s="9">
        <v>35420</v>
      </c>
      <c r="H190" s="9" t="s">
        <v>1399</v>
      </c>
      <c r="I190" s="9">
        <v>175</v>
      </c>
      <c r="J190" s="9">
        <v>56</v>
      </c>
      <c r="K190" s="9">
        <v>4</v>
      </c>
    </row>
    <row r="191" spans="1:11" x14ac:dyDescent="0.4">
      <c r="A191" s="9" t="s">
        <v>282</v>
      </c>
      <c r="B191" s="9" t="s">
        <v>7</v>
      </c>
      <c r="C191" s="9">
        <v>8</v>
      </c>
      <c r="D191" s="9" t="s">
        <v>686</v>
      </c>
      <c r="E191" s="9" t="s">
        <v>1404</v>
      </c>
      <c r="F191" s="9" t="s">
        <v>1406</v>
      </c>
      <c r="G191" s="9">
        <v>37423</v>
      </c>
      <c r="H191" s="9" t="s">
        <v>844</v>
      </c>
      <c r="I191" s="9">
        <v>188</v>
      </c>
      <c r="J191" s="9">
        <v>40</v>
      </c>
      <c r="K191" s="9">
        <v>4</v>
      </c>
    </row>
    <row r="192" spans="1:11" x14ac:dyDescent="0.4">
      <c r="A192" s="9" t="s">
        <v>282</v>
      </c>
      <c r="B192" s="9" t="s">
        <v>7</v>
      </c>
      <c r="C192" s="9">
        <v>9</v>
      </c>
      <c r="D192" s="9" t="s">
        <v>691</v>
      </c>
      <c r="E192" s="9" t="s">
        <v>1408</v>
      </c>
      <c r="F192" s="9" t="s">
        <v>1410</v>
      </c>
      <c r="G192" s="9">
        <v>34806</v>
      </c>
      <c r="H192" s="9" t="s">
        <v>1411</v>
      </c>
      <c r="I192" s="9">
        <v>188</v>
      </c>
      <c r="J192" s="9">
        <v>90</v>
      </c>
      <c r="K192" s="9">
        <v>30</v>
      </c>
    </row>
    <row r="193" spans="1:11" x14ac:dyDescent="0.4">
      <c r="A193" s="9" t="s">
        <v>282</v>
      </c>
      <c r="B193" s="9" t="s">
        <v>7</v>
      </c>
      <c r="C193" s="9">
        <v>10</v>
      </c>
      <c r="D193" s="9" t="s">
        <v>691</v>
      </c>
      <c r="E193" s="9" t="s">
        <v>1412</v>
      </c>
      <c r="F193" s="9" t="s">
        <v>1414</v>
      </c>
      <c r="G193" s="9">
        <v>36539</v>
      </c>
      <c r="H193" s="9" t="s">
        <v>1204</v>
      </c>
      <c r="I193" s="9">
        <v>175</v>
      </c>
      <c r="J193" s="9">
        <v>77</v>
      </c>
      <c r="K193" s="9">
        <v>39</v>
      </c>
    </row>
    <row r="194" spans="1:11" x14ac:dyDescent="0.4">
      <c r="A194" s="9" t="s">
        <v>282</v>
      </c>
      <c r="B194" s="9" t="s">
        <v>7</v>
      </c>
      <c r="C194" s="9">
        <v>11</v>
      </c>
      <c r="D194" s="9" t="s">
        <v>686</v>
      </c>
      <c r="E194" s="9" t="s">
        <v>1416</v>
      </c>
      <c r="F194" s="9" t="s">
        <v>1418</v>
      </c>
      <c r="G194" s="9">
        <v>36430</v>
      </c>
      <c r="H194" s="9" t="s">
        <v>1114</v>
      </c>
      <c r="I194" s="9">
        <v>176</v>
      </c>
      <c r="J194" s="9">
        <v>41</v>
      </c>
      <c r="K194" s="9">
        <v>1</v>
      </c>
    </row>
    <row r="195" spans="1:11" x14ac:dyDescent="0.4">
      <c r="A195" s="9" t="s">
        <v>282</v>
      </c>
      <c r="B195" s="9" t="s">
        <v>7</v>
      </c>
      <c r="C195" s="9">
        <v>12</v>
      </c>
      <c r="D195" s="9" t="s">
        <v>691</v>
      </c>
      <c r="E195" s="9" t="s">
        <v>1419</v>
      </c>
      <c r="F195" s="9" t="s">
        <v>1421</v>
      </c>
      <c r="G195" s="9">
        <v>36661</v>
      </c>
      <c r="H195" s="9" t="s">
        <v>1274</v>
      </c>
      <c r="I195" s="9">
        <v>187</v>
      </c>
      <c r="J195" s="9">
        <v>24</v>
      </c>
      <c r="K195" s="9">
        <v>2</v>
      </c>
    </row>
    <row r="196" spans="1:11" x14ac:dyDescent="0.4">
      <c r="A196" s="9" t="s">
        <v>282</v>
      </c>
      <c r="B196" s="9" t="s">
        <v>7</v>
      </c>
      <c r="C196" s="9">
        <v>13</v>
      </c>
      <c r="D196" s="9" t="s">
        <v>669</v>
      </c>
      <c r="E196" s="9" t="s">
        <v>1422</v>
      </c>
      <c r="F196" s="9" t="s">
        <v>1424</v>
      </c>
      <c r="G196" s="9">
        <v>35759</v>
      </c>
      <c r="H196" s="9" t="s">
        <v>1048</v>
      </c>
      <c r="I196" s="9">
        <v>186</v>
      </c>
      <c r="J196" s="9">
        <v>44</v>
      </c>
      <c r="K196" s="9">
        <v>1</v>
      </c>
    </row>
    <row r="197" spans="1:11" x14ac:dyDescent="0.4">
      <c r="A197" s="9" t="s">
        <v>282</v>
      </c>
      <c r="B197" s="9" t="s">
        <v>7</v>
      </c>
      <c r="C197" s="9">
        <v>14</v>
      </c>
      <c r="D197" s="9" t="s">
        <v>686</v>
      </c>
      <c r="E197" s="9" t="s">
        <v>1425</v>
      </c>
      <c r="F197" s="9" t="s">
        <v>1427</v>
      </c>
      <c r="G197" s="9">
        <v>36490</v>
      </c>
      <c r="H197" s="9" t="s">
        <v>1399</v>
      </c>
      <c r="I197" s="9">
        <v>181</v>
      </c>
      <c r="J197" s="9">
        <v>31</v>
      </c>
      <c r="K197" s="9">
        <v>6</v>
      </c>
    </row>
    <row r="198" spans="1:11" x14ac:dyDescent="0.4">
      <c r="A198" s="9" t="s">
        <v>282</v>
      </c>
      <c r="B198" s="9" t="s">
        <v>7</v>
      </c>
      <c r="C198" s="9">
        <v>15</v>
      </c>
      <c r="D198" s="9" t="s">
        <v>669</v>
      </c>
      <c r="E198" s="9" t="s">
        <v>1428</v>
      </c>
      <c r="F198" s="9" t="s">
        <v>1430</v>
      </c>
      <c r="G198" s="9">
        <v>36615</v>
      </c>
      <c r="H198" s="9" t="s">
        <v>723</v>
      </c>
      <c r="I198" s="9">
        <v>190</v>
      </c>
      <c r="J198" s="9">
        <v>20</v>
      </c>
      <c r="K198" s="9">
        <v>0</v>
      </c>
    </row>
    <row r="199" spans="1:11" x14ac:dyDescent="0.4">
      <c r="A199" s="9" t="s">
        <v>282</v>
      </c>
      <c r="B199" s="9" t="s">
        <v>7</v>
      </c>
      <c r="C199" s="9">
        <v>16</v>
      </c>
      <c r="D199" s="9" t="s">
        <v>664</v>
      </c>
      <c r="E199" s="9" t="s">
        <v>1432</v>
      </c>
      <c r="F199" s="9" t="s">
        <v>1434</v>
      </c>
      <c r="G199" s="9">
        <v>34465</v>
      </c>
      <c r="H199" s="9" t="s">
        <v>1435</v>
      </c>
      <c r="I199" s="9">
        <v>185</v>
      </c>
      <c r="J199" s="9">
        <v>32</v>
      </c>
      <c r="K199" s="9">
        <v>0</v>
      </c>
    </row>
    <row r="200" spans="1:11" x14ac:dyDescent="0.4">
      <c r="A200" s="9" t="s">
        <v>282</v>
      </c>
      <c r="B200" s="9" t="s">
        <v>7</v>
      </c>
      <c r="C200" s="9">
        <v>17</v>
      </c>
      <c r="D200" s="9" t="s">
        <v>691</v>
      </c>
      <c r="E200" s="9" t="s">
        <v>1436</v>
      </c>
      <c r="F200" s="9" t="s">
        <v>1438</v>
      </c>
      <c r="G200" s="9">
        <v>36199</v>
      </c>
      <c r="H200" s="9" t="s">
        <v>1274</v>
      </c>
      <c r="I200" s="9">
        <v>183</v>
      </c>
      <c r="J200" s="9">
        <v>60</v>
      </c>
      <c r="K200" s="9">
        <v>8</v>
      </c>
    </row>
    <row r="201" spans="1:11" x14ac:dyDescent="0.4">
      <c r="A201" s="9" t="s">
        <v>282</v>
      </c>
      <c r="B201" s="9" t="s">
        <v>7</v>
      </c>
      <c r="C201" s="9">
        <v>18</v>
      </c>
      <c r="D201" s="9" t="s">
        <v>664</v>
      </c>
      <c r="E201" s="9" t="s">
        <v>1439</v>
      </c>
      <c r="F201" s="9" t="s">
        <v>1441</v>
      </c>
      <c r="G201" s="9">
        <v>37952</v>
      </c>
      <c r="H201" s="9" t="s">
        <v>1442</v>
      </c>
      <c r="I201" s="9">
        <v>193</v>
      </c>
      <c r="J201" s="9">
        <v>0</v>
      </c>
      <c r="K201" s="9">
        <v>0</v>
      </c>
    </row>
    <row r="202" spans="1:11" x14ac:dyDescent="0.4">
      <c r="A202" s="9" t="s">
        <v>282</v>
      </c>
      <c r="B202" s="9" t="s">
        <v>7</v>
      </c>
      <c r="C202" s="9">
        <v>19</v>
      </c>
      <c r="D202" s="9" t="s">
        <v>669</v>
      </c>
      <c r="E202" s="9" t="s">
        <v>1443</v>
      </c>
      <c r="F202" s="9" t="s">
        <v>1445</v>
      </c>
      <c r="G202" s="9">
        <v>36832</v>
      </c>
      <c r="H202" s="9" t="s">
        <v>944</v>
      </c>
      <c r="I202" s="9">
        <v>183</v>
      </c>
      <c r="J202" s="9">
        <v>58</v>
      </c>
      <c r="K202" s="9">
        <v>15</v>
      </c>
    </row>
    <row r="203" spans="1:11" x14ac:dyDescent="0.4">
      <c r="A203" s="9" t="s">
        <v>282</v>
      </c>
      <c r="B203" s="9" t="s">
        <v>7</v>
      </c>
      <c r="C203" s="9">
        <v>20</v>
      </c>
      <c r="D203" s="9" t="s">
        <v>691</v>
      </c>
      <c r="E203" s="9" t="s">
        <v>1446</v>
      </c>
      <c r="F203" s="9" t="s">
        <v>1448</v>
      </c>
      <c r="G203" s="9">
        <v>36809</v>
      </c>
      <c r="H203" s="9" t="s">
        <v>803</v>
      </c>
      <c r="I203" s="9">
        <v>180</v>
      </c>
      <c r="J203" s="9">
        <v>24</v>
      </c>
      <c r="K203" s="9">
        <v>1</v>
      </c>
    </row>
    <row r="204" spans="1:11" x14ac:dyDescent="0.4">
      <c r="A204" s="9" t="s">
        <v>282</v>
      </c>
      <c r="B204" s="9" t="s">
        <v>7</v>
      </c>
      <c r="C204" s="9">
        <v>21</v>
      </c>
      <c r="D204" s="9" t="s">
        <v>686</v>
      </c>
      <c r="E204" s="9" t="s">
        <v>1449</v>
      </c>
      <c r="F204" s="9" t="s">
        <v>1451</v>
      </c>
      <c r="G204" s="9">
        <v>33767</v>
      </c>
      <c r="H204" s="9" t="s">
        <v>1452</v>
      </c>
      <c r="I204" s="9">
        <v>175</v>
      </c>
      <c r="J204" s="9">
        <v>90</v>
      </c>
      <c r="K204" s="9">
        <v>10</v>
      </c>
    </row>
    <row r="205" spans="1:11" x14ac:dyDescent="0.4">
      <c r="A205" s="9" t="s">
        <v>282</v>
      </c>
      <c r="B205" s="9" t="s">
        <v>7</v>
      </c>
      <c r="C205" s="9">
        <v>22</v>
      </c>
      <c r="D205" s="9" t="s">
        <v>669</v>
      </c>
      <c r="E205" s="9" t="s">
        <v>1453</v>
      </c>
      <c r="F205" s="9" t="s">
        <v>1455</v>
      </c>
      <c r="G205" s="9">
        <v>34706</v>
      </c>
      <c r="H205" s="9" t="s">
        <v>1452</v>
      </c>
      <c r="I205" s="9">
        <v>175</v>
      </c>
      <c r="J205" s="9">
        <v>75</v>
      </c>
      <c r="K205" s="9">
        <v>1</v>
      </c>
    </row>
    <row r="206" spans="1:11" x14ac:dyDescent="0.4">
      <c r="A206" s="9" t="s">
        <v>282</v>
      </c>
      <c r="B206" s="9" t="s">
        <v>7</v>
      </c>
      <c r="C206" s="9">
        <v>23</v>
      </c>
      <c r="D206" s="9" t="s">
        <v>669</v>
      </c>
      <c r="E206" s="9" t="s">
        <v>1456</v>
      </c>
      <c r="F206" s="9" t="s">
        <v>1458</v>
      </c>
      <c r="G206" s="9">
        <v>37873</v>
      </c>
      <c r="H206" s="9" t="s">
        <v>1459</v>
      </c>
      <c r="I206" s="9">
        <v>178</v>
      </c>
      <c r="J206" s="9">
        <v>19</v>
      </c>
      <c r="K206" s="9">
        <v>2</v>
      </c>
    </row>
    <row r="207" spans="1:11" x14ac:dyDescent="0.4">
      <c r="A207" s="9" t="s">
        <v>282</v>
      </c>
      <c r="B207" s="9" t="s">
        <v>7</v>
      </c>
      <c r="C207" s="9">
        <v>24</v>
      </c>
      <c r="D207" s="9" t="s">
        <v>691</v>
      </c>
      <c r="E207" s="9" t="s">
        <v>1460</v>
      </c>
      <c r="F207" s="9" t="s">
        <v>1462</v>
      </c>
      <c r="G207" s="9">
        <v>37075</v>
      </c>
      <c r="H207" s="9" t="s">
        <v>1463</v>
      </c>
      <c r="I207" s="9">
        <v>195</v>
      </c>
      <c r="J207" s="9">
        <v>10</v>
      </c>
      <c r="K207" s="9">
        <v>3</v>
      </c>
    </row>
    <row r="208" spans="1:11" x14ac:dyDescent="0.4">
      <c r="A208" s="9" t="s">
        <v>282</v>
      </c>
      <c r="B208" s="9" t="s">
        <v>7</v>
      </c>
      <c r="C208" s="9">
        <v>25</v>
      </c>
      <c r="D208" s="9" t="s">
        <v>686</v>
      </c>
      <c r="E208" s="9" t="s">
        <v>1464</v>
      </c>
      <c r="F208" s="9" t="s">
        <v>1466</v>
      </c>
      <c r="G208" s="9">
        <v>38024</v>
      </c>
      <c r="H208" s="9" t="s">
        <v>1467</v>
      </c>
      <c r="I208" s="9">
        <v>174</v>
      </c>
      <c r="J208" s="9">
        <v>15</v>
      </c>
      <c r="K208" s="9">
        <v>2</v>
      </c>
    </row>
    <row r="209" spans="1:11" x14ac:dyDescent="0.4">
      <c r="A209" s="9" t="s">
        <v>282</v>
      </c>
      <c r="B209" s="9" t="s">
        <v>7</v>
      </c>
      <c r="C209" s="9">
        <v>26</v>
      </c>
      <c r="D209" s="9" t="s">
        <v>691</v>
      </c>
      <c r="E209" s="9" t="s">
        <v>1468</v>
      </c>
      <c r="F209" s="9" t="s">
        <v>1470</v>
      </c>
      <c r="G209" s="9">
        <v>37525</v>
      </c>
      <c r="H209" s="9" t="s">
        <v>1471</v>
      </c>
      <c r="I209" s="9">
        <v>170</v>
      </c>
      <c r="J209" s="9">
        <v>14</v>
      </c>
      <c r="K209" s="9">
        <v>3</v>
      </c>
    </row>
    <row r="210" spans="1:11" x14ac:dyDescent="0.4">
      <c r="A210" s="9" t="s">
        <v>297</v>
      </c>
      <c r="B210" s="9" t="s">
        <v>23</v>
      </c>
      <c r="C210" s="9">
        <v>1</v>
      </c>
      <c r="D210" s="9" t="s">
        <v>664</v>
      </c>
      <c r="E210" s="9" t="s">
        <v>1472</v>
      </c>
      <c r="F210" s="9" t="s">
        <v>1474</v>
      </c>
      <c r="G210" s="9">
        <v>34460</v>
      </c>
      <c r="H210" s="9" t="s">
        <v>1475</v>
      </c>
      <c r="I210" s="9">
        <v>193</v>
      </c>
      <c r="J210" s="9">
        <v>4</v>
      </c>
      <c r="K210" s="9">
        <v>0</v>
      </c>
    </row>
    <row r="211" spans="1:11" x14ac:dyDescent="0.4">
      <c r="A211" s="9" t="s">
        <v>297</v>
      </c>
      <c r="B211" s="9" t="s">
        <v>23</v>
      </c>
      <c r="C211" s="9">
        <v>2</v>
      </c>
      <c r="D211" s="9" t="s">
        <v>669</v>
      </c>
      <c r="E211" s="9" t="s">
        <v>1476</v>
      </c>
      <c r="F211" s="9" t="s">
        <v>1478</v>
      </c>
      <c r="G211" s="9">
        <v>35560</v>
      </c>
      <c r="H211" s="9" t="s">
        <v>1252</v>
      </c>
      <c r="I211" s="9">
        <v>185</v>
      </c>
      <c r="J211" s="9">
        <v>3</v>
      </c>
      <c r="K211" s="9">
        <v>0</v>
      </c>
    </row>
    <row r="212" spans="1:11" x14ac:dyDescent="0.4">
      <c r="A212" s="9" t="s">
        <v>297</v>
      </c>
      <c r="B212" s="9" t="s">
        <v>23</v>
      </c>
      <c r="C212" s="9">
        <v>3</v>
      </c>
      <c r="D212" s="9" t="s">
        <v>669</v>
      </c>
      <c r="E212" s="9" t="s">
        <v>1480</v>
      </c>
      <c r="F212" s="9" t="s">
        <v>1482</v>
      </c>
      <c r="G212" s="9">
        <v>33847</v>
      </c>
      <c r="H212" s="9" t="s">
        <v>1225</v>
      </c>
      <c r="I212" s="9">
        <v>172</v>
      </c>
      <c r="J212" s="9">
        <v>76</v>
      </c>
      <c r="K212" s="9">
        <v>1</v>
      </c>
    </row>
    <row r="213" spans="1:11" x14ac:dyDescent="0.4">
      <c r="A213" s="9" t="s">
        <v>297</v>
      </c>
      <c r="B213" s="9" t="s">
        <v>23</v>
      </c>
      <c r="C213" s="9">
        <v>4</v>
      </c>
      <c r="D213" s="9" t="s">
        <v>669</v>
      </c>
      <c r="E213" s="9" t="s">
        <v>1483</v>
      </c>
      <c r="F213" s="9" t="s">
        <v>1485</v>
      </c>
      <c r="G213" s="9">
        <v>35431</v>
      </c>
      <c r="H213" s="9" t="s">
        <v>1486</v>
      </c>
      <c r="I213" s="9">
        <v>175</v>
      </c>
      <c r="J213" s="9">
        <v>39</v>
      </c>
      <c r="K213" s="9">
        <v>2</v>
      </c>
    </row>
    <row r="214" spans="1:11" x14ac:dyDescent="0.4">
      <c r="A214" s="9" t="s">
        <v>297</v>
      </c>
      <c r="B214" s="9" t="s">
        <v>23</v>
      </c>
      <c r="C214" s="9">
        <v>5</v>
      </c>
      <c r="D214" s="9" t="s">
        <v>686</v>
      </c>
      <c r="E214" s="9" t="s">
        <v>1487</v>
      </c>
      <c r="F214" s="9" t="s">
        <v>1489</v>
      </c>
      <c r="G214" s="9">
        <v>34514</v>
      </c>
      <c r="H214" s="9" t="s">
        <v>1490</v>
      </c>
      <c r="I214" s="9">
        <v>182</v>
      </c>
      <c r="J214" s="9">
        <v>77</v>
      </c>
      <c r="K214" s="9">
        <v>5</v>
      </c>
    </row>
    <row r="215" spans="1:11" x14ac:dyDescent="0.4">
      <c r="A215" s="9" t="s">
        <v>297</v>
      </c>
      <c r="B215" s="9" t="s">
        <v>23</v>
      </c>
      <c r="C215" s="9">
        <v>6</v>
      </c>
      <c r="D215" s="9" t="s">
        <v>669</v>
      </c>
      <c r="E215" s="9" t="s">
        <v>1491</v>
      </c>
      <c r="F215" s="9" t="s">
        <v>1493</v>
      </c>
      <c r="G215" s="9">
        <v>35813</v>
      </c>
      <c r="H215" s="9" t="s">
        <v>1007</v>
      </c>
      <c r="I215" s="9">
        <v>175</v>
      </c>
      <c r="J215" s="9">
        <v>28</v>
      </c>
      <c r="K215" s="9">
        <v>1</v>
      </c>
    </row>
    <row r="216" spans="1:11" x14ac:dyDescent="0.4">
      <c r="A216" s="9" t="s">
        <v>297</v>
      </c>
      <c r="B216" s="9" t="s">
        <v>23</v>
      </c>
      <c r="C216" s="9">
        <v>7</v>
      </c>
      <c r="D216" s="9" t="s">
        <v>686</v>
      </c>
      <c r="E216" s="9" t="s">
        <v>1494</v>
      </c>
      <c r="F216" s="9" t="s">
        <v>1496</v>
      </c>
      <c r="G216" s="9">
        <v>34478</v>
      </c>
      <c r="H216" s="9" t="s">
        <v>1378</v>
      </c>
      <c r="I216" s="9">
        <v>178</v>
      </c>
      <c r="J216" s="9">
        <v>87</v>
      </c>
      <c r="K216" s="9">
        <v>2</v>
      </c>
    </row>
    <row r="217" spans="1:11" x14ac:dyDescent="0.4">
      <c r="A217" s="9" t="s">
        <v>297</v>
      </c>
      <c r="B217" s="9" t="s">
        <v>23</v>
      </c>
      <c r="C217" s="9">
        <v>8</v>
      </c>
      <c r="D217" s="9" t="s">
        <v>686</v>
      </c>
      <c r="E217" s="9" t="s">
        <v>1497</v>
      </c>
      <c r="F217" s="9" t="s">
        <v>1499</v>
      </c>
      <c r="G217" s="9">
        <v>38191</v>
      </c>
      <c r="H217" s="9" t="s">
        <v>1011</v>
      </c>
      <c r="I217" s="9">
        <v>172</v>
      </c>
      <c r="J217" s="9">
        <v>4</v>
      </c>
      <c r="K217" s="9">
        <v>2</v>
      </c>
    </row>
    <row r="218" spans="1:11" x14ac:dyDescent="0.4">
      <c r="A218" s="9" t="s">
        <v>297</v>
      </c>
      <c r="B218" s="9" t="s">
        <v>23</v>
      </c>
      <c r="C218" s="9">
        <v>9</v>
      </c>
      <c r="D218" s="9" t="s">
        <v>691</v>
      </c>
      <c r="E218" s="9" t="s">
        <v>1500</v>
      </c>
      <c r="F218" s="9" t="s">
        <v>1502</v>
      </c>
      <c r="G218" s="9">
        <v>36556</v>
      </c>
      <c r="H218" s="9" t="s">
        <v>1475</v>
      </c>
      <c r="I218" s="9">
        <v>170</v>
      </c>
      <c r="J218" s="9">
        <v>51</v>
      </c>
      <c r="K218" s="9">
        <v>14</v>
      </c>
    </row>
    <row r="219" spans="1:11" x14ac:dyDescent="0.4">
      <c r="A219" s="9" t="s">
        <v>297</v>
      </c>
      <c r="B219" s="9" t="s">
        <v>23</v>
      </c>
      <c r="C219" s="9">
        <v>10</v>
      </c>
      <c r="D219" s="9" t="s">
        <v>691</v>
      </c>
      <c r="E219" s="9" t="s">
        <v>1504</v>
      </c>
      <c r="F219" s="9" t="s">
        <v>1506</v>
      </c>
      <c r="G219" s="9">
        <v>31952</v>
      </c>
      <c r="H219" s="9" t="s">
        <v>1378</v>
      </c>
      <c r="I219" s="9">
        <v>170</v>
      </c>
      <c r="J219" s="9">
        <v>199</v>
      </c>
      <c r="K219" s="9">
        <v>117</v>
      </c>
    </row>
    <row r="220" spans="1:11" x14ac:dyDescent="0.4">
      <c r="A220" s="9" t="s">
        <v>297</v>
      </c>
      <c r="B220" s="9" t="s">
        <v>23</v>
      </c>
      <c r="C220" s="9">
        <v>11</v>
      </c>
      <c r="D220" s="9" t="s">
        <v>686</v>
      </c>
      <c r="E220" s="9" t="s">
        <v>1507</v>
      </c>
      <c r="F220" s="9" t="s">
        <v>1509</v>
      </c>
      <c r="G220" s="9">
        <v>35164</v>
      </c>
      <c r="H220" s="9" t="s">
        <v>1510</v>
      </c>
      <c r="I220" s="9">
        <v>177</v>
      </c>
      <c r="J220" s="9">
        <v>67</v>
      </c>
      <c r="K220" s="9">
        <v>4</v>
      </c>
    </row>
    <row r="221" spans="1:11" x14ac:dyDescent="0.4">
      <c r="A221" s="9" t="s">
        <v>297</v>
      </c>
      <c r="B221" s="9" t="s">
        <v>23</v>
      </c>
      <c r="C221" s="9">
        <v>12</v>
      </c>
      <c r="D221" s="9" t="s">
        <v>664</v>
      </c>
      <c r="E221" s="9" t="s">
        <v>1511</v>
      </c>
      <c r="F221" s="9" t="s">
        <v>1513</v>
      </c>
      <c r="G221" s="9">
        <v>33744</v>
      </c>
      <c r="H221" s="9" t="s">
        <v>703</v>
      </c>
      <c r="I221" s="9">
        <v>189</v>
      </c>
      <c r="J221" s="9">
        <v>8</v>
      </c>
      <c r="K221" s="9">
        <v>0</v>
      </c>
    </row>
    <row r="222" spans="1:11" x14ac:dyDescent="0.4">
      <c r="A222" s="9" t="s">
        <v>297</v>
      </c>
      <c r="B222" s="9" t="s">
        <v>23</v>
      </c>
      <c r="C222" s="9">
        <v>13</v>
      </c>
      <c r="D222" s="9" t="s">
        <v>669</v>
      </c>
      <c r="E222" s="9" t="s">
        <v>1514</v>
      </c>
      <c r="F222" s="9" t="s">
        <v>1516</v>
      </c>
      <c r="G222" s="9">
        <v>35912</v>
      </c>
      <c r="H222" s="9" t="s">
        <v>879</v>
      </c>
      <c r="I222" s="9">
        <v>185</v>
      </c>
      <c r="J222" s="9">
        <v>51</v>
      </c>
      <c r="K222" s="9">
        <v>3</v>
      </c>
    </row>
    <row r="223" spans="1:11" x14ac:dyDescent="0.4">
      <c r="A223" s="9" t="s">
        <v>297</v>
      </c>
      <c r="B223" s="9" t="s">
        <v>23</v>
      </c>
      <c r="C223" s="9">
        <v>14</v>
      </c>
      <c r="D223" s="9" t="s">
        <v>686</v>
      </c>
      <c r="E223" s="9" t="s">
        <v>1517</v>
      </c>
      <c r="F223" s="9" t="s">
        <v>1519</v>
      </c>
      <c r="G223" s="9">
        <v>36073</v>
      </c>
      <c r="H223" s="9" t="s">
        <v>753</v>
      </c>
      <c r="I223" s="9">
        <v>177</v>
      </c>
      <c r="J223" s="9">
        <v>40</v>
      </c>
      <c r="K223" s="9">
        <v>0</v>
      </c>
    </row>
    <row r="224" spans="1:11" x14ac:dyDescent="0.4">
      <c r="A224" s="9" t="s">
        <v>297</v>
      </c>
      <c r="B224" s="9" t="s">
        <v>23</v>
      </c>
      <c r="C224" s="9">
        <v>15</v>
      </c>
      <c r="D224" s="9" t="s">
        <v>686</v>
      </c>
      <c r="E224" s="9" t="s">
        <v>1520</v>
      </c>
      <c r="F224" s="9" t="s">
        <v>1522</v>
      </c>
      <c r="G224" s="9">
        <v>35891</v>
      </c>
      <c r="H224" s="9" t="s">
        <v>1475</v>
      </c>
      <c r="I224" s="9">
        <v>180</v>
      </c>
      <c r="J224" s="9">
        <v>51</v>
      </c>
      <c r="K224" s="9">
        <v>6</v>
      </c>
    </row>
    <row r="225" spans="1:11" x14ac:dyDescent="0.4">
      <c r="A225" s="9" t="s">
        <v>297</v>
      </c>
      <c r="B225" s="9" t="s">
        <v>23</v>
      </c>
      <c r="C225" s="9">
        <v>16</v>
      </c>
      <c r="D225" s="9" t="s">
        <v>691</v>
      </c>
      <c r="E225" s="9" t="s">
        <v>1524</v>
      </c>
      <c r="F225" s="9" t="s">
        <v>1526</v>
      </c>
      <c r="G225" s="9">
        <v>37007</v>
      </c>
      <c r="H225" s="9" t="s">
        <v>1475</v>
      </c>
      <c r="I225" s="9">
        <v>171</v>
      </c>
      <c r="J225" s="9">
        <v>16</v>
      </c>
      <c r="K225" s="9">
        <v>5</v>
      </c>
    </row>
    <row r="226" spans="1:11" x14ac:dyDescent="0.4">
      <c r="A226" s="9" t="s">
        <v>297</v>
      </c>
      <c r="B226" s="9" t="s">
        <v>23</v>
      </c>
      <c r="C226" s="9">
        <v>17</v>
      </c>
      <c r="D226" s="9" t="s">
        <v>691</v>
      </c>
      <c r="E226" s="9" t="s">
        <v>1527</v>
      </c>
      <c r="F226" s="9" t="s">
        <v>1529</v>
      </c>
      <c r="G226" s="9">
        <v>37608</v>
      </c>
      <c r="H226" s="9" t="s">
        <v>1475</v>
      </c>
      <c r="I226" s="9">
        <v>174</v>
      </c>
      <c r="J226" s="9">
        <v>13</v>
      </c>
      <c r="K226" s="9">
        <v>2</v>
      </c>
    </row>
    <row r="227" spans="1:11" x14ac:dyDescent="0.4">
      <c r="A227" s="9" t="s">
        <v>297</v>
      </c>
      <c r="B227" s="9" t="s">
        <v>23</v>
      </c>
      <c r="C227" s="9">
        <v>18</v>
      </c>
      <c r="D227" s="9" t="s">
        <v>691</v>
      </c>
      <c r="E227" s="9" t="s">
        <v>1530</v>
      </c>
      <c r="F227" s="9" t="s">
        <v>1531</v>
      </c>
      <c r="G227" s="9">
        <v>38238</v>
      </c>
      <c r="H227" s="9" t="s">
        <v>1532</v>
      </c>
      <c r="I227" s="9">
        <v>185</v>
      </c>
      <c r="J227" s="9">
        <v>9</v>
      </c>
      <c r="K227" s="9">
        <v>1</v>
      </c>
    </row>
    <row r="228" spans="1:11" x14ac:dyDescent="0.4">
      <c r="A228" s="9" t="s">
        <v>297</v>
      </c>
      <c r="B228" s="9" t="s">
        <v>23</v>
      </c>
      <c r="C228" s="9">
        <v>19</v>
      </c>
      <c r="D228" s="9" t="s">
        <v>669</v>
      </c>
      <c r="E228" s="9" t="s">
        <v>1534</v>
      </c>
      <c r="F228" s="9" t="s">
        <v>1536</v>
      </c>
      <c r="G228" s="9">
        <v>32185</v>
      </c>
      <c r="H228" s="9" t="s">
        <v>1083</v>
      </c>
      <c r="I228" s="9">
        <v>182</v>
      </c>
      <c r="J228" s="9">
        <v>132</v>
      </c>
      <c r="K228" s="9">
        <v>8</v>
      </c>
    </row>
    <row r="229" spans="1:11" x14ac:dyDescent="0.4">
      <c r="A229" s="9" t="s">
        <v>297</v>
      </c>
      <c r="B229" s="9" t="s">
        <v>23</v>
      </c>
      <c r="C229" s="9">
        <v>20</v>
      </c>
      <c r="D229" s="9" t="s">
        <v>686</v>
      </c>
      <c r="E229" s="9" t="s">
        <v>1537</v>
      </c>
      <c r="F229" s="9" t="s">
        <v>1539</v>
      </c>
      <c r="G229" s="9">
        <v>36153</v>
      </c>
      <c r="H229" s="9" t="s">
        <v>1153</v>
      </c>
      <c r="I229" s="9">
        <v>176</v>
      </c>
      <c r="J229" s="9">
        <v>46</v>
      </c>
      <c r="K229" s="9">
        <v>6</v>
      </c>
    </row>
    <row r="230" spans="1:11" x14ac:dyDescent="0.4">
      <c r="A230" s="9" t="s">
        <v>297</v>
      </c>
      <c r="B230" s="9" t="s">
        <v>23</v>
      </c>
      <c r="C230" s="9">
        <v>21</v>
      </c>
      <c r="D230" s="9" t="s">
        <v>691</v>
      </c>
      <c r="E230" s="9" t="s">
        <v>1540</v>
      </c>
      <c r="F230" s="9" t="s">
        <v>1542</v>
      </c>
      <c r="G230" s="9">
        <v>36866</v>
      </c>
      <c r="H230" s="9" t="s">
        <v>1543</v>
      </c>
      <c r="I230" s="9">
        <v>190</v>
      </c>
      <c r="J230" s="9">
        <v>5</v>
      </c>
      <c r="K230" s="9">
        <v>0</v>
      </c>
    </row>
    <row r="231" spans="1:11" x14ac:dyDescent="0.4">
      <c r="A231" s="9" t="s">
        <v>297</v>
      </c>
      <c r="B231" s="9" t="s">
        <v>23</v>
      </c>
      <c r="C231" s="9">
        <v>22</v>
      </c>
      <c r="D231" s="9" t="s">
        <v>691</v>
      </c>
      <c r="E231" s="9" t="s">
        <v>1544</v>
      </c>
      <c r="F231" s="9" t="s">
        <v>1546</v>
      </c>
      <c r="G231" s="9">
        <v>35664</v>
      </c>
      <c r="H231" s="9" t="s">
        <v>1547</v>
      </c>
      <c r="I231" s="9">
        <v>175</v>
      </c>
      <c r="J231" s="9">
        <v>77</v>
      </c>
      <c r="K231" s="9">
        <v>37</v>
      </c>
    </row>
    <row r="232" spans="1:11" x14ac:dyDescent="0.4">
      <c r="A232" s="9" t="s">
        <v>297</v>
      </c>
      <c r="B232" s="9" t="s">
        <v>23</v>
      </c>
      <c r="C232" s="9">
        <v>23</v>
      </c>
      <c r="D232" s="9" t="s">
        <v>664</v>
      </c>
      <c r="E232" s="9" t="s">
        <v>1548</v>
      </c>
      <c r="F232" s="9" t="s">
        <v>1550</v>
      </c>
      <c r="G232" s="9">
        <v>33849</v>
      </c>
      <c r="H232" s="9" t="s">
        <v>992</v>
      </c>
      <c r="I232" s="9">
        <v>195</v>
      </c>
      <c r="J232" s="9">
        <v>59</v>
      </c>
      <c r="K232" s="9">
        <v>0</v>
      </c>
    </row>
    <row r="233" spans="1:11" x14ac:dyDescent="0.4">
      <c r="A233" s="9" t="s">
        <v>297</v>
      </c>
      <c r="B233" s="9" t="s">
        <v>23</v>
      </c>
      <c r="C233" s="9">
        <v>24</v>
      </c>
      <c r="D233" s="9" t="s">
        <v>686</v>
      </c>
      <c r="E233" s="9" t="s">
        <v>1551</v>
      </c>
      <c r="F233" s="9" t="s">
        <v>1553</v>
      </c>
      <c r="G233" s="9">
        <v>36908</v>
      </c>
      <c r="H233" s="9" t="s">
        <v>1554</v>
      </c>
      <c r="I233" s="9">
        <v>178</v>
      </c>
      <c r="J233" s="9">
        <v>42</v>
      </c>
      <c r="K233" s="9">
        <v>6</v>
      </c>
    </row>
    <row r="234" spans="1:11" x14ac:dyDescent="0.4">
      <c r="A234" s="9" t="s">
        <v>297</v>
      </c>
      <c r="B234" s="9" t="s">
        <v>23</v>
      </c>
      <c r="C234" s="9">
        <v>25</v>
      </c>
      <c r="D234" s="9" t="s">
        <v>669</v>
      </c>
      <c r="E234" s="9" t="s">
        <v>1556</v>
      </c>
      <c r="F234" s="9" t="s">
        <v>1558</v>
      </c>
      <c r="G234" s="9">
        <v>36308</v>
      </c>
      <c r="H234" s="9" t="s">
        <v>703</v>
      </c>
      <c r="I234" s="9">
        <v>184</v>
      </c>
      <c r="J234" s="9">
        <v>9</v>
      </c>
      <c r="K234" s="9">
        <v>0</v>
      </c>
    </row>
    <row r="235" spans="1:11" x14ac:dyDescent="0.4">
      <c r="A235" s="9" t="s">
        <v>297</v>
      </c>
      <c r="B235" s="9" t="s">
        <v>23</v>
      </c>
      <c r="C235" s="9">
        <v>26</v>
      </c>
      <c r="D235" s="9" t="s">
        <v>669</v>
      </c>
      <c r="E235" s="9" t="s">
        <v>1559</v>
      </c>
      <c r="F235" s="9" t="s">
        <v>1561</v>
      </c>
      <c r="G235" s="9">
        <v>35891</v>
      </c>
      <c r="H235" s="9" t="s">
        <v>1475</v>
      </c>
      <c r="I235" s="9">
        <v>179</v>
      </c>
      <c r="J235" s="9">
        <v>58</v>
      </c>
      <c r="K235" s="9">
        <v>1</v>
      </c>
    </row>
    <row r="236" spans="1:11" x14ac:dyDescent="0.4">
      <c r="A236" s="9" t="s">
        <v>314</v>
      </c>
      <c r="B236" s="9" t="s">
        <v>40</v>
      </c>
      <c r="C236" s="9">
        <v>1</v>
      </c>
      <c r="D236" s="9" t="s">
        <v>664</v>
      </c>
      <c r="E236" s="9" t="s">
        <v>1563</v>
      </c>
      <c r="F236" s="9" t="s">
        <v>1564</v>
      </c>
      <c r="G236" s="9">
        <v>32386</v>
      </c>
      <c r="H236" s="9" t="s">
        <v>1565</v>
      </c>
      <c r="I236" s="9">
        <v>183</v>
      </c>
      <c r="J236" s="9">
        <v>130</v>
      </c>
      <c r="K236" s="9">
        <v>0</v>
      </c>
    </row>
    <row r="237" spans="1:11" x14ac:dyDescent="0.4">
      <c r="A237" s="9" t="s">
        <v>314</v>
      </c>
      <c r="B237" s="9" t="s">
        <v>40</v>
      </c>
      <c r="C237" s="9">
        <v>2</v>
      </c>
      <c r="D237" s="9" t="s">
        <v>669</v>
      </c>
      <c r="E237" s="9" t="s">
        <v>1567</v>
      </c>
      <c r="F237" s="9" t="s">
        <v>1569</v>
      </c>
      <c r="G237" s="9">
        <v>35211</v>
      </c>
      <c r="H237" s="9" t="s">
        <v>1570</v>
      </c>
      <c r="I237" s="9">
        <v>180</v>
      </c>
      <c r="J237" s="9">
        <v>46</v>
      </c>
      <c r="K237" s="9">
        <v>3</v>
      </c>
    </row>
    <row r="238" spans="1:11" x14ac:dyDescent="0.4">
      <c r="A238" s="9" t="s">
        <v>314</v>
      </c>
      <c r="B238" s="9" t="s">
        <v>40</v>
      </c>
      <c r="C238" s="9">
        <v>3</v>
      </c>
      <c r="D238" s="9" t="s">
        <v>669</v>
      </c>
      <c r="E238" s="9" t="s">
        <v>1572</v>
      </c>
      <c r="F238" s="9" t="s">
        <v>1574</v>
      </c>
      <c r="G238" s="9">
        <v>35972</v>
      </c>
      <c r="H238" s="9" t="s">
        <v>1575</v>
      </c>
      <c r="I238" s="9">
        <v>187</v>
      </c>
      <c r="J238" s="9">
        <v>37</v>
      </c>
      <c r="K238" s="9">
        <v>1</v>
      </c>
    </row>
    <row r="239" spans="1:11" x14ac:dyDescent="0.4">
      <c r="A239" s="9" t="s">
        <v>314</v>
      </c>
      <c r="B239" s="9" t="s">
        <v>40</v>
      </c>
      <c r="C239" s="9">
        <v>4</v>
      </c>
      <c r="D239" s="9" t="s">
        <v>669</v>
      </c>
      <c r="E239" s="9" t="s">
        <v>1577</v>
      </c>
      <c r="F239" s="9" t="s">
        <v>1579</v>
      </c>
      <c r="G239" s="9">
        <v>33616</v>
      </c>
      <c r="H239" s="9" t="s">
        <v>1580</v>
      </c>
      <c r="I239" s="9">
        <v>177</v>
      </c>
      <c r="J239" s="9">
        <v>68</v>
      </c>
      <c r="K239" s="9">
        <v>0</v>
      </c>
    </row>
    <row r="240" spans="1:11" x14ac:dyDescent="0.4">
      <c r="A240" s="9" t="s">
        <v>314</v>
      </c>
      <c r="B240" s="9" t="s">
        <v>40</v>
      </c>
      <c r="C240" s="9">
        <v>5</v>
      </c>
      <c r="D240" s="9" t="s">
        <v>686</v>
      </c>
      <c r="E240" s="9" t="s">
        <v>1582</v>
      </c>
      <c r="F240" s="9" t="s">
        <v>1584</v>
      </c>
      <c r="G240" s="9">
        <v>36798</v>
      </c>
      <c r="H240" s="9" t="s">
        <v>1486</v>
      </c>
      <c r="I240" s="9">
        <v>179</v>
      </c>
      <c r="J240" s="9">
        <v>25</v>
      </c>
      <c r="K240" s="9">
        <v>0</v>
      </c>
    </row>
    <row r="241" spans="1:11" x14ac:dyDescent="0.4">
      <c r="A241" s="9" t="s">
        <v>314</v>
      </c>
      <c r="B241" s="9" t="s">
        <v>40</v>
      </c>
      <c r="C241" s="9">
        <v>6</v>
      </c>
      <c r="D241" s="9" t="s">
        <v>686</v>
      </c>
      <c r="E241" s="9" t="s">
        <v>1586</v>
      </c>
      <c r="F241" s="9" t="s">
        <v>1588</v>
      </c>
      <c r="G241" s="9">
        <v>36679</v>
      </c>
      <c r="H241" s="9" t="s">
        <v>1015</v>
      </c>
      <c r="I241" s="9">
        <v>185</v>
      </c>
      <c r="J241" s="9">
        <v>32</v>
      </c>
      <c r="K241" s="9">
        <v>2</v>
      </c>
    </row>
    <row r="242" spans="1:11" x14ac:dyDescent="0.4">
      <c r="A242" s="9" t="s">
        <v>314</v>
      </c>
      <c r="B242" s="9" t="s">
        <v>40</v>
      </c>
      <c r="C242" s="9">
        <v>7</v>
      </c>
      <c r="D242" s="9" t="s">
        <v>691</v>
      </c>
      <c r="E242" s="9" t="s">
        <v>1590</v>
      </c>
      <c r="F242" s="9" t="s">
        <v>1592</v>
      </c>
      <c r="G242" s="9">
        <v>35443</v>
      </c>
      <c r="H242" s="9" t="s">
        <v>944</v>
      </c>
      <c r="I242" s="9">
        <v>179</v>
      </c>
      <c r="J242" s="9">
        <v>74</v>
      </c>
      <c r="K242" s="9">
        <v>22</v>
      </c>
    </row>
    <row r="243" spans="1:11" x14ac:dyDescent="0.4">
      <c r="A243" s="9" t="s">
        <v>314</v>
      </c>
      <c r="B243" s="9" t="s">
        <v>40</v>
      </c>
      <c r="C243" s="9">
        <v>8</v>
      </c>
      <c r="D243" s="9" t="s">
        <v>686</v>
      </c>
      <c r="E243" s="9" t="s">
        <v>1594</v>
      </c>
      <c r="F243" s="9" t="s">
        <v>1596</v>
      </c>
      <c r="G243" s="9">
        <v>35940</v>
      </c>
      <c r="H243" s="9" t="s">
        <v>1172</v>
      </c>
      <c r="I243" s="9">
        <v>180</v>
      </c>
      <c r="J243" s="9">
        <v>24</v>
      </c>
      <c r="K243" s="9">
        <v>2</v>
      </c>
    </row>
    <row r="244" spans="1:11" x14ac:dyDescent="0.4">
      <c r="A244" s="9" t="s">
        <v>314</v>
      </c>
      <c r="B244" s="9" t="s">
        <v>40</v>
      </c>
      <c r="C244" s="9">
        <v>9</v>
      </c>
      <c r="D244" s="9" t="s">
        <v>691</v>
      </c>
      <c r="E244" s="9" t="s">
        <v>1598</v>
      </c>
      <c r="F244" s="9" t="s">
        <v>1600</v>
      </c>
      <c r="G244" s="9">
        <v>34100</v>
      </c>
      <c r="H244" s="9" t="s">
        <v>1278</v>
      </c>
      <c r="I244" s="9">
        <v>186</v>
      </c>
      <c r="J244" s="9">
        <v>21</v>
      </c>
      <c r="K244" s="9">
        <v>6</v>
      </c>
    </row>
    <row r="245" spans="1:11" x14ac:dyDescent="0.4">
      <c r="A245" s="9" t="s">
        <v>314</v>
      </c>
      <c r="B245" s="9" t="s">
        <v>40</v>
      </c>
      <c r="C245" s="9">
        <v>10</v>
      </c>
      <c r="D245" s="9" t="s">
        <v>686</v>
      </c>
      <c r="E245" s="9" t="s">
        <v>1602</v>
      </c>
      <c r="F245" s="9" t="s">
        <v>1604</v>
      </c>
      <c r="G245" s="9">
        <v>33431</v>
      </c>
      <c r="H245" s="9" t="s">
        <v>1605</v>
      </c>
      <c r="I245" s="9">
        <v>181</v>
      </c>
      <c r="J245" s="9">
        <v>126</v>
      </c>
      <c r="K245" s="9">
        <v>31</v>
      </c>
    </row>
    <row r="246" spans="1:11" x14ac:dyDescent="0.4">
      <c r="A246" s="9" t="s">
        <v>314</v>
      </c>
      <c r="B246" s="9" t="s">
        <v>40</v>
      </c>
      <c r="C246" s="9">
        <v>11</v>
      </c>
      <c r="D246" s="9" t="s">
        <v>686</v>
      </c>
      <c r="E246" s="9" t="s">
        <v>1607</v>
      </c>
      <c r="F246" s="9" t="s">
        <v>1609</v>
      </c>
      <c r="G246" s="9">
        <v>35694</v>
      </c>
      <c r="H246" s="9" t="s">
        <v>1543</v>
      </c>
      <c r="I246" s="9">
        <v>168</v>
      </c>
      <c r="J246" s="9">
        <v>38</v>
      </c>
      <c r="K246" s="9">
        <v>6</v>
      </c>
    </row>
    <row r="247" spans="1:11" x14ac:dyDescent="0.4">
      <c r="A247" s="9" t="s">
        <v>314</v>
      </c>
      <c r="B247" s="9" t="s">
        <v>40</v>
      </c>
      <c r="C247" s="9">
        <v>12</v>
      </c>
      <c r="D247" s="9" t="s">
        <v>664</v>
      </c>
      <c r="E247" s="9" t="s">
        <v>1611</v>
      </c>
      <c r="F247" s="9" t="s">
        <v>1613</v>
      </c>
      <c r="G247" s="9">
        <v>32576</v>
      </c>
      <c r="H247" s="9" t="s">
        <v>1614</v>
      </c>
      <c r="I247" s="9">
        <v>183</v>
      </c>
      <c r="J247" s="9">
        <v>42</v>
      </c>
      <c r="K247" s="9">
        <v>0</v>
      </c>
    </row>
    <row r="248" spans="1:11" x14ac:dyDescent="0.4">
      <c r="A248" s="9" t="s">
        <v>314</v>
      </c>
      <c r="B248" s="9" t="s">
        <v>40</v>
      </c>
      <c r="C248" s="9">
        <v>13</v>
      </c>
      <c r="D248" s="9" t="s">
        <v>669</v>
      </c>
      <c r="E248" s="9" t="s">
        <v>1616</v>
      </c>
      <c r="F248" s="9" t="s">
        <v>1618</v>
      </c>
      <c r="G248" s="9">
        <v>34600</v>
      </c>
      <c r="H248" s="9" t="s">
        <v>1619</v>
      </c>
      <c r="I248" s="9">
        <v>195</v>
      </c>
      <c r="J248" s="9">
        <v>54</v>
      </c>
      <c r="K248" s="9">
        <v>8</v>
      </c>
    </row>
    <row r="249" spans="1:11" x14ac:dyDescent="0.4">
      <c r="A249" s="9" t="s">
        <v>314</v>
      </c>
      <c r="B249" s="9" t="s">
        <v>40</v>
      </c>
      <c r="C249" s="9">
        <v>14</v>
      </c>
      <c r="D249" s="9" t="s">
        <v>669</v>
      </c>
      <c r="E249" s="9" t="s">
        <v>1621</v>
      </c>
      <c r="F249" s="9" t="s">
        <v>1623</v>
      </c>
      <c r="G249" s="9">
        <v>37825</v>
      </c>
      <c r="H249" s="9" t="s">
        <v>1624</v>
      </c>
      <c r="I249" s="9">
        <v>173</v>
      </c>
      <c r="J249" s="9">
        <v>6</v>
      </c>
      <c r="K249" s="9">
        <v>1</v>
      </c>
    </row>
    <row r="250" spans="1:11" x14ac:dyDescent="0.4">
      <c r="A250" s="9" t="s">
        <v>314</v>
      </c>
      <c r="B250" s="9" t="s">
        <v>40</v>
      </c>
      <c r="C250" s="9">
        <v>15</v>
      </c>
      <c r="D250" s="9" t="s">
        <v>686</v>
      </c>
      <c r="E250" s="9" t="s">
        <v>1626</v>
      </c>
      <c r="F250" s="9" t="s">
        <v>1628</v>
      </c>
      <c r="G250" s="9">
        <v>36050</v>
      </c>
      <c r="H250" s="9" t="s">
        <v>1629</v>
      </c>
      <c r="I250" s="9">
        <v>181</v>
      </c>
      <c r="J250" s="9">
        <v>10</v>
      </c>
      <c r="K250" s="9">
        <v>0</v>
      </c>
    </row>
    <row r="251" spans="1:11" x14ac:dyDescent="0.4">
      <c r="A251" s="9" t="s">
        <v>314</v>
      </c>
      <c r="B251" s="9" t="s">
        <v>40</v>
      </c>
      <c r="C251" s="9">
        <v>16</v>
      </c>
      <c r="D251" s="9" t="s">
        <v>686</v>
      </c>
      <c r="E251" s="9" t="s">
        <v>1631</v>
      </c>
      <c r="F251" s="9" t="s">
        <v>1633</v>
      </c>
      <c r="G251" s="9">
        <v>34632</v>
      </c>
      <c r="H251" s="9" t="s">
        <v>1570</v>
      </c>
      <c r="I251" s="9">
        <v>180</v>
      </c>
      <c r="J251" s="9">
        <v>65</v>
      </c>
      <c r="K251" s="9">
        <v>5</v>
      </c>
    </row>
    <row r="252" spans="1:11" x14ac:dyDescent="0.4">
      <c r="A252" s="9" t="s">
        <v>314</v>
      </c>
      <c r="B252" s="9" t="s">
        <v>40</v>
      </c>
      <c r="C252" s="9">
        <v>17</v>
      </c>
      <c r="D252" s="9" t="s">
        <v>669</v>
      </c>
      <c r="E252" s="9" t="s">
        <v>1635</v>
      </c>
      <c r="F252" s="9" t="s">
        <v>1637</v>
      </c>
      <c r="G252" s="9">
        <v>33837</v>
      </c>
      <c r="H252" s="9" t="s">
        <v>1638</v>
      </c>
      <c r="I252" s="9">
        <v>184</v>
      </c>
      <c r="J252" s="9">
        <v>45</v>
      </c>
      <c r="K252" s="9">
        <v>1</v>
      </c>
    </row>
    <row r="253" spans="1:11" x14ac:dyDescent="0.4">
      <c r="A253" s="9" t="s">
        <v>314</v>
      </c>
      <c r="B253" s="9" t="s">
        <v>40</v>
      </c>
      <c r="C253" s="9">
        <v>18</v>
      </c>
      <c r="D253" s="9" t="s">
        <v>669</v>
      </c>
      <c r="E253" s="9" t="s">
        <v>1640</v>
      </c>
      <c r="F253" s="9" t="s">
        <v>1642</v>
      </c>
      <c r="G253" s="9">
        <v>35818</v>
      </c>
      <c r="H253" s="9" t="s">
        <v>1643</v>
      </c>
      <c r="I253" s="9">
        <v>179</v>
      </c>
      <c r="J253" s="9">
        <v>5</v>
      </c>
      <c r="K253" s="9">
        <v>0</v>
      </c>
    </row>
    <row r="254" spans="1:11" x14ac:dyDescent="0.4">
      <c r="A254" s="9" t="s">
        <v>314</v>
      </c>
      <c r="B254" s="9" t="s">
        <v>40</v>
      </c>
      <c r="C254" s="9">
        <v>19</v>
      </c>
      <c r="D254" s="9" t="s">
        <v>691</v>
      </c>
      <c r="E254" s="9" t="s">
        <v>1645</v>
      </c>
      <c r="F254" s="9" t="s">
        <v>1646</v>
      </c>
      <c r="G254" s="9">
        <v>36270</v>
      </c>
      <c r="H254" s="9" t="s">
        <v>1510</v>
      </c>
      <c r="I254" s="9">
        <v>176</v>
      </c>
      <c r="J254" s="9">
        <v>9</v>
      </c>
      <c r="K254" s="9">
        <v>2</v>
      </c>
    </row>
    <row r="255" spans="1:11" x14ac:dyDescent="0.4">
      <c r="A255" s="9" t="s">
        <v>314</v>
      </c>
      <c r="B255" s="9" t="s">
        <v>40</v>
      </c>
      <c r="C255" s="9">
        <v>20</v>
      </c>
      <c r="D255" s="9" t="s">
        <v>686</v>
      </c>
      <c r="E255" s="9" t="s">
        <v>1648</v>
      </c>
      <c r="F255" s="9" t="s">
        <v>1650</v>
      </c>
      <c r="G255" s="9">
        <v>33987</v>
      </c>
      <c r="H255" s="9" t="s">
        <v>1486</v>
      </c>
      <c r="I255" s="9">
        <v>167</v>
      </c>
      <c r="J255" s="9">
        <v>49</v>
      </c>
      <c r="K255" s="9">
        <v>6</v>
      </c>
    </row>
    <row r="256" spans="1:11" x14ac:dyDescent="0.4">
      <c r="A256" s="9" t="s">
        <v>314</v>
      </c>
      <c r="B256" s="9" t="s">
        <v>40</v>
      </c>
      <c r="C256" s="9">
        <v>21</v>
      </c>
      <c r="D256" s="9" t="s">
        <v>691</v>
      </c>
      <c r="E256" s="9" t="s">
        <v>1652</v>
      </c>
      <c r="F256" s="9" t="s">
        <v>1654</v>
      </c>
      <c r="G256" s="9">
        <v>36670</v>
      </c>
      <c r="H256" s="9" t="s">
        <v>1655</v>
      </c>
      <c r="I256" s="9">
        <v>166</v>
      </c>
      <c r="J256" s="9">
        <v>10</v>
      </c>
      <c r="K256" s="9">
        <v>1</v>
      </c>
    </row>
    <row r="257" spans="1:11" x14ac:dyDescent="0.4">
      <c r="A257" s="9" t="s">
        <v>314</v>
      </c>
      <c r="B257" s="9" t="s">
        <v>40</v>
      </c>
      <c r="C257" s="9">
        <v>22</v>
      </c>
      <c r="D257" s="9" t="s">
        <v>669</v>
      </c>
      <c r="E257" s="9" t="s">
        <v>1656</v>
      </c>
      <c r="F257" s="9" t="s">
        <v>1658</v>
      </c>
      <c r="G257" s="9">
        <v>34214</v>
      </c>
      <c r="H257" s="9" t="s">
        <v>1659</v>
      </c>
      <c r="I257" s="9">
        <v>173</v>
      </c>
      <c r="J257" s="9">
        <v>15</v>
      </c>
      <c r="K257" s="9">
        <v>0</v>
      </c>
    </row>
    <row r="258" spans="1:11" x14ac:dyDescent="0.4">
      <c r="A258" s="9" t="s">
        <v>314</v>
      </c>
      <c r="B258" s="9" t="s">
        <v>40</v>
      </c>
      <c r="C258" s="9">
        <v>23</v>
      </c>
      <c r="D258" s="9" t="s">
        <v>669</v>
      </c>
      <c r="E258" s="9" t="s">
        <v>1661</v>
      </c>
      <c r="F258" s="9" t="s">
        <v>1663</v>
      </c>
      <c r="G258" s="9">
        <v>35228</v>
      </c>
      <c r="H258" s="9" t="s">
        <v>1664</v>
      </c>
      <c r="I258" s="9">
        <v>188</v>
      </c>
      <c r="J258" s="9">
        <v>79</v>
      </c>
      <c r="K258" s="9">
        <v>4</v>
      </c>
    </row>
    <row r="259" spans="1:11" x14ac:dyDescent="0.4">
      <c r="A259" s="9" t="s">
        <v>314</v>
      </c>
      <c r="B259" s="9" t="s">
        <v>40</v>
      </c>
      <c r="C259" s="9">
        <v>24</v>
      </c>
      <c r="D259" s="9" t="s">
        <v>664</v>
      </c>
      <c r="E259" s="9" t="s">
        <v>1666</v>
      </c>
      <c r="F259" s="9" t="s">
        <v>1668</v>
      </c>
      <c r="G259" s="9">
        <v>34787</v>
      </c>
      <c r="H259" s="9" t="s">
        <v>1669</v>
      </c>
      <c r="I259" s="9">
        <v>201</v>
      </c>
      <c r="J259" s="9">
        <v>12</v>
      </c>
      <c r="K259" s="9">
        <v>0</v>
      </c>
    </row>
    <row r="260" spans="1:11" x14ac:dyDescent="0.4">
      <c r="A260" s="9" t="s">
        <v>314</v>
      </c>
      <c r="B260" s="9" t="s">
        <v>40</v>
      </c>
      <c r="C260" s="9">
        <v>25</v>
      </c>
      <c r="D260" s="9" t="s">
        <v>691</v>
      </c>
      <c r="E260" s="9" t="s">
        <v>1671</v>
      </c>
      <c r="F260" s="9" t="s">
        <v>1673</v>
      </c>
      <c r="G260" s="9">
        <v>35766</v>
      </c>
      <c r="H260" s="9" t="s">
        <v>970</v>
      </c>
      <c r="I260" s="9">
        <v>179</v>
      </c>
      <c r="J260" s="9">
        <v>12</v>
      </c>
      <c r="K260" s="9">
        <v>5</v>
      </c>
    </row>
    <row r="261" spans="1:11" x14ac:dyDescent="0.4">
      <c r="A261" s="9" t="s">
        <v>314</v>
      </c>
      <c r="B261" s="9" t="s">
        <v>40</v>
      </c>
      <c r="C261" s="9">
        <v>26</v>
      </c>
      <c r="D261" s="9" t="s">
        <v>691</v>
      </c>
      <c r="E261" s="9" t="s">
        <v>1675</v>
      </c>
      <c r="F261" s="9" t="s">
        <v>1677</v>
      </c>
      <c r="G261" s="9">
        <v>37511</v>
      </c>
      <c r="H261" s="9" t="s">
        <v>1678</v>
      </c>
      <c r="I261" s="9">
        <v>170</v>
      </c>
      <c r="J261" s="9">
        <v>8</v>
      </c>
      <c r="K261" s="9">
        <v>2</v>
      </c>
    </row>
    <row r="262" spans="1:11" x14ac:dyDescent="0.4">
      <c r="A262" s="9" t="s">
        <v>324</v>
      </c>
      <c r="B262" s="9" t="s">
        <v>240</v>
      </c>
      <c r="C262" s="9">
        <v>1</v>
      </c>
      <c r="D262" s="9" t="s">
        <v>664</v>
      </c>
      <c r="E262" s="9" t="s">
        <v>1680</v>
      </c>
      <c r="F262" s="9" t="s">
        <v>1682</v>
      </c>
      <c r="G262" s="9">
        <v>34547</v>
      </c>
      <c r="H262" s="9" t="s">
        <v>1683</v>
      </c>
      <c r="I262" s="9">
        <v>182</v>
      </c>
      <c r="J262" s="9">
        <v>29</v>
      </c>
      <c r="K262" s="9">
        <v>0</v>
      </c>
    </row>
    <row r="263" spans="1:11" x14ac:dyDescent="0.4">
      <c r="A263" s="9" t="s">
        <v>324</v>
      </c>
      <c r="B263" s="9" t="s">
        <v>240</v>
      </c>
      <c r="C263" s="9">
        <v>2</v>
      </c>
      <c r="D263" s="9" t="s">
        <v>669</v>
      </c>
      <c r="E263" s="9" t="s">
        <v>1684</v>
      </c>
      <c r="F263" s="9" t="s">
        <v>1686</v>
      </c>
      <c r="G263" s="9">
        <v>35760</v>
      </c>
      <c r="H263" s="9" t="s">
        <v>1687</v>
      </c>
      <c r="I263" s="9">
        <v>183</v>
      </c>
      <c r="J263" s="9">
        <v>12</v>
      </c>
      <c r="K263" s="9">
        <v>0</v>
      </c>
    </row>
    <row r="264" spans="1:11" x14ac:dyDescent="0.4">
      <c r="A264" s="9" t="s">
        <v>324</v>
      </c>
      <c r="B264" s="9" t="s">
        <v>240</v>
      </c>
      <c r="C264" s="9">
        <v>3</v>
      </c>
      <c r="D264" s="9" t="s">
        <v>669</v>
      </c>
      <c r="E264" s="9" t="s">
        <v>1689</v>
      </c>
      <c r="F264" s="9" t="s">
        <v>1691</v>
      </c>
      <c r="G264" s="9">
        <v>35915</v>
      </c>
      <c r="H264" s="9" t="s">
        <v>1692</v>
      </c>
      <c r="I264" s="9">
        <v>196</v>
      </c>
      <c r="J264" s="9">
        <v>4</v>
      </c>
      <c r="K264" s="9">
        <v>0</v>
      </c>
    </row>
    <row r="265" spans="1:11" x14ac:dyDescent="0.4">
      <c r="A265" s="9" t="s">
        <v>324</v>
      </c>
      <c r="B265" s="9" t="s">
        <v>240</v>
      </c>
      <c r="C265" s="9">
        <v>4</v>
      </c>
      <c r="D265" s="9" t="s">
        <v>669</v>
      </c>
      <c r="E265" s="9" t="s">
        <v>1693</v>
      </c>
      <c r="F265" s="9" t="s">
        <v>1695</v>
      </c>
      <c r="G265" s="9">
        <v>35748</v>
      </c>
      <c r="H265" s="9" t="s">
        <v>1696</v>
      </c>
      <c r="I265" s="9">
        <v>188</v>
      </c>
      <c r="J265" s="9">
        <v>14</v>
      </c>
      <c r="K265" s="9">
        <v>1</v>
      </c>
    </row>
    <row r="266" spans="1:11" x14ac:dyDescent="0.4">
      <c r="A266" s="9" t="s">
        <v>324</v>
      </c>
      <c r="B266" s="9" t="s">
        <v>240</v>
      </c>
      <c r="C266" s="9">
        <v>5</v>
      </c>
      <c r="D266" s="9" t="s">
        <v>669</v>
      </c>
      <c r="E266" s="9" t="s">
        <v>1697</v>
      </c>
      <c r="F266" s="9" t="s">
        <v>1699</v>
      </c>
      <c r="G266" s="9">
        <v>35110</v>
      </c>
      <c r="H266" s="9" t="s">
        <v>1700</v>
      </c>
      <c r="I266" s="9">
        <v>185</v>
      </c>
      <c r="J266" s="9">
        <v>14</v>
      </c>
      <c r="K266" s="9">
        <v>1</v>
      </c>
    </row>
    <row r="267" spans="1:11" x14ac:dyDescent="0.4">
      <c r="A267" s="9" t="s">
        <v>324</v>
      </c>
      <c r="B267" s="9" t="s">
        <v>240</v>
      </c>
      <c r="C267" s="9">
        <v>6</v>
      </c>
      <c r="D267" s="9" t="s">
        <v>686</v>
      </c>
      <c r="E267" s="9" t="s">
        <v>1701</v>
      </c>
      <c r="F267" s="9" t="s">
        <v>1703</v>
      </c>
      <c r="G267" s="9">
        <v>38294</v>
      </c>
      <c r="H267" s="9" t="s">
        <v>673</v>
      </c>
      <c r="I267" s="9">
        <v>186</v>
      </c>
      <c r="J267" s="9">
        <v>14</v>
      </c>
      <c r="K267" s="9">
        <v>0</v>
      </c>
    </row>
    <row r="268" spans="1:11" x14ac:dyDescent="0.4">
      <c r="A268" s="9" t="s">
        <v>324</v>
      </c>
      <c r="B268" s="9" t="s">
        <v>240</v>
      </c>
      <c r="C268" s="9">
        <v>7</v>
      </c>
      <c r="D268" s="9" t="s">
        <v>686</v>
      </c>
      <c r="E268" s="9" t="s">
        <v>1704</v>
      </c>
      <c r="F268" s="9" t="s">
        <v>1706</v>
      </c>
      <c r="G268" s="9">
        <v>37331</v>
      </c>
      <c r="H268" s="9" t="s">
        <v>1707</v>
      </c>
      <c r="I268" s="9">
        <v>170</v>
      </c>
      <c r="J268" s="9">
        <v>19</v>
      </c>
      <c r="K268" s="9">
        <v>2</v>
      </c>
    </row>
    <row r="269" spans="1:11" x14ac:dyDescent="0.4">
      <c r="A269" s="9" t="s">
        <v>324</v>
      </c>
      <c r="B269" s="9" t="s">
        <v>240</v>
      </c>
      <c r="C269" s="9">
        <v>8</v>
      </c>
      <c r="D269" s="9" t="s">
        <v>686</v>
      </c>
      <c r="E269" s="9" t="s">
        <v>1708</v>
      </c>
      <c r="F269" s="9" t="s">
        <v>1710</v>
      </c>
      <c r="G269" s="9">
        <v>35289</v>
      </c>
      <c r="H269" s="9" t="s">
        <v>1711</v>
      </c>
      <c r="I269" s="9">
        <v>176</v>
      </c>
      <c r="J269" s="9">
        <v>58</v>
      </c>
      <c r="K269" s="9">
        <v>0</v>
      </c>
    </row>
    <row r="270" spans="1:11" x14ac:dyDescent="0.4">
      <c r="A270" s="9" t="s">
        <v>324</v>
      </c>
      <c r="B270" s="9" t="s">
        <v>240</v>
      </c>
      <c r="C270" s="9">
        <v>9</v>
      </c>
      <c r="D270" s="9" t="s">
        <v>691</v>
      </c>
      <c r="E270" s="9" t="s">
        <v>1712</v>
      </c>
      <c r="F270" s="9" t="s">
        <v>1714</v>
      </c>
      <c r="G270" s="9">
        <v>35865</v>
      </c>
      <c r="H270" s="9" t="s">
        <v>811</v>
      </c>
      <c r="I270" s="9">
        <v>172</v>
      </c>
      <c r="J270" s="9">
        <v>8</v>
      </c>
      <c r="K270" s="9">
        <v>0</v>
      </c>
    </row>
    <row r="271" spans="1:11" x14ac:dyDescent="0.4">
      <c r="A271" s="9" t="s">
        <v>324</v>
      </c>
      <c r="B271" s="9" t="s">
        <v>240</v>
      </c>
      <c r="C271" s="9">
        <v>10</v>
      </c>
      <c r="D271" s="9" t="s">
        <v>686</v>
      </c>
      <c r="E271" s="9" t="s">
        <v>1715</v>
      </c>
      <c r="F271" s="9" t="s">
        <v>1717</v>
      </c>
      <c r="G271" s="9">
        <v>35023</v>
      </c>
      <c r="H271" s="9" t="s">
        <v>1718</v>
      </c>
      <c r="I271" s="9">
        <v>176</v>
      </c>
      <c r="J271" s="9">
        <v>38</v>
      </c>
      <c r="K271" s="9">
        <v>7</v>
      </c>
    </row>
    <row r="272" spans="1:11" x14ac:dyDescent="0.4">
      <c r="A272" s="9" t="s">
        <v>324</v>
      </c>
      <c r="B272" s="9" t="s">
        <v>240</v>
      </c>
      <c r="C272" s="9">
        <v>11</v>
      </c>
      <c r="D272" s="9" t="s">
        <v>691</v>
      </c>
      <c r="E272" s="9" t="s">
        <v>1719</v>
      </c>
      <c r="F272" s="9" t="s">
        <v>1721</v>
      </c>
      <c r="G272" s="9">
        <v>33410</v>
      </c>
      <c r="H272" s="9" t="s">
        <v>1700</v>
      </c>
      <c r="I272" s="9">
        <v>174</v>
      </c>
      <c r="J272" s="9">
        <v>31</v>
      </c>
      <c r="K272" s="9">
        <v>5</v>
      </c>
    </row>
    <row r="273" spans="1:11" x14ac:dyDescent="0.4">
      <c r="A273" s="9" t="s">
        <v>324</v>
      </c>
      <c r="B273" s="9" t="s">
        <v>240</v>
      </c>
      <c r="C273" s="9">
        <v>12</v>
      </c>
      <c r="D273" s="9" t="s">
        <v>669</v>
      </c>
      <c r="E273" s="9" t="s">
        <v>1722</v>
      </c>
      <c r="F273" s="9" t="s">
        <v>1724</v>
      </c>
      <c r="G273" s="9">
        <v>34554</v>
      </c>
      <c r="H273" s="9" t="s">
        <v>1725</v>
      </c>
      <c r="I273" s="9">
        <v>180</v>
      </c>
      <c r="J273" s="9">
        <v>26</v>
      </c>
      <c r="K273" s="9">
        <v>1</v>
      </c>
    </row>
    <row r="274" spans="1:11" x14ac:dyDescent="0.4">
      <c r="A274" s="9" t="s">
        <v>324</v>
      </c>
      <c r="B274" s="9" t="s">
        <v>240</v>
      </c>
      <c r="C274" s="9">
        <v>13</v>
      </c>
      <c r="D274" s="9" t="s">
        <v>691</v>
      </c>
      <c r="E274" s="9" t="s">
        <v>1727</v>
      </c>
      <c r="F274" s="9" t="s">
        <v>1729</v>
      </c>
      <c r="G274" s="9">
        <v>35648</v>
      </c>
      <c r="H274" s="9" t="s">
        <v>1730</v>
      </c>
      <c r="I274" s="9">
        <v>173</v>
      </c>
      <c r="J274" s="9">
        <v>69</v>
      </c>
      <c r="K274" s="9">
        <v>12</v>
      </c>
    </row>
    <row r="275" spans="1:11" x14ac:dyDescent="0.4">
      <c r="A275" s="9" t="s">
        <v>324</v>
      </c>
      <c r="B275" s="9" t="s">
        <v>240</v>
      </c>
      <c r="C275" s="9">
        <v>14</v>
      </c>
      <c r="D275" s="9" t="s">
        <v>686</v>
      </c>
      <c r="E275" s="9" t="s">
        <v>1732</v>
      </c>
      <c r="F275" s="9" t="s">
        <v>1734</v>
      </c>
      <c r="G275" s="9">
        <v>38338</v>
      </c>
      <c r="H275" s="9" t="s">
        <v>1735</v>
      </c>
      <c r="I275" s="9">
        <v>165</v>
      </c>
      <c r="J275" s="9">
        <v>20</v>
      </c>
      <c r="K275" s="9">
        <v>0</v>
      </c>
    </row>
    <row r="276" spans="1:11" x14ac:dyDescent="0.4">
      <c r="A276" s="9" t="s">
        <v>324</v>
      </c>
      <c r="B276" s="9" t="s">
        <v>240</v>
      </c>
      <c r="C276" s="9">
        <v>15</v>
      </c>
      <c r="D276" s="9" t="s">
        <v>686</v>
      </c>
      <c r="E276" s="9" t="s">
        <v>1736</v>
      </c>
      <c r="F276" s="9" t="s">
        <v>1738</v>
      </c>
      <c r="G276" s="9">
        <v>34701</v>
      </c>
      <c r="H276" s="9" t="s">
        <v>1739</v>
      </c>
      <c r="I276" s="9">
        <v>184</v>
      </c>
      <c r="J276" s="9">
        <v>17</v>
      </c>
      <c r="K276" s="9">
        <v>1</v>
      </c>
    </row>
    <row r="277" spans="1:11" x14ac:dyDescent="0.4">
      <c r="A277" s="9" t="s">
        <v>324</v>
      </c>
      <c r="B277" s="9" t="s">
        <v>240</v>
      </c>
      <c r="C277" s="9">
        <v>16</v>
      </c>
      <c r="D277" s="9" t="s">
        <v>664</v>
      </c>
      <c r="E277" s="9" t="s">
        <v>1741</v>
      </c>
      <c r="F277" s="9" t="s">
        <v>1743</v>
      </c>
      <c r="G277" s="9">
        <v>36365</v>
      </c>
      <c r="H277" s="9" t="s">
        <v>1744</v>
      </c>
      <c r="I277" s="9">
        <v>192</v>
      </c>
      <c r="J277" s="9">
        <v>3</v>
      </c>
      <c r="K277" s="9">
        <v>0</v>
      </c>
    </row>
    <row r="278" spans="1:11" x14ac:dyDescent="0.4">
      <c r="A278" s="9" t="s">
        <v>324</v>
      </c>
      <c r="B278" s="9" t="s">
        <v>240</v>
      </c>
      <c r="C278" s="9">
        <v>17</v>
      </c>
      <c r="D278" s="9" t="s">
        <v>691</v>
      </c>
      <c r="E278" s="9" t="s">
        <v>1745</v>
      </c>
      <c r="F278" s="9" t="s">
        <v>1747</v>
      </c>
      <c r="G278" s="9">
        <v>33339</v>
      </c>
      <c r="H278" s="9" t="s">
        <v>1510</v>
      </c>
      <c r="I278" s="9">
        <v>182</v>
      </c>
      <c r="J278" s="9">
        <v>70</v>
      </c>
      <c r="K278" s="9">
        <v>21</v>
      </c>
    </row>
    <row r="279" spans="1:11" x14ac:dyDescent="0.4">
      <c r="A279" s="9" t="s">
        <v>324</v>
      </c>
      <c r="B279" s="9" t="s">
        <v>240</v>
      </c>
      <c r="C279" s="9">
        <v>18</v>
      </c>
      <c r="D279" s="9" t="s">
        <v>686</v>
      </c>
      <c r="E279" s="9" t="s">
        <v>1748</v>
      </c>
      <c r="F279" s="9" t="s">
        <v>1750</v>
      </c>
      <c r="G279" s="9">
        <v>35565</v>
      </c>
      <c r="H279" s="9" t="s">
        <v>1751</v>
      </c>
      <c r="I279" s="9">
        <v>187</v>
      </c>
      <c r="J279" s="9">
        <v>34</v>
      </c>
      <c r="K279" s="9">
        <v>1</v>
      </c>
    </row>
    <row r="280" spans="1:11" x14ac:dyDescent="0.4">
      <c r="A280" s="9" t="s">
        <v>324</v>
      </c>
      <c r="B280" s="9" t="s">
        <v>240</v>
      </c>
      <c r="C280" s="9">
        <v>19</v>
      </c>
      <c r="D280" s="9" t="s">
        <v>691</v>
      </c>
      <c r="E280" s="9" t="s">
        <v>1752</v>
      </c>
      <c r="F280" s="9" t="s">
        <v>1754</v>
      </c>
      <c r="G280" s="9">
        <v>34509</v>
      </c>
      <c r="H280" s="9" t="s">
        <v>1755</v>
      </c>
      <c r="I280" s="9">
        <v>185</v>
      </c>
      <c r="J280" s="9">
        <v>37</v>
      </c>
      <c r="K280" s="9">
        <v>6</v>
      </c>
    </row>
    <row r="281" spans="1:11" x14ac:dyDescent="0.4">
      <c r="A281" s="9" t="s">
        <v>324</v>
      </c>
      <c r="B281" s="9" t="s">
        <v>240</v>
      </c>
      <c r="C281" s="9">
        <v>20</v>
      </c>
      <c r="D281" s="9" t="s">
        <v>691</v>
      </c>
      <c r="E281" s="9" t="s">
        <v>1757</v>
      </c>
      <c r="F281" s="9" t="s">
        <v>1759</v>
      </c>
      <c r="G281" s="9">
        <v>35311</v>
      </c>
      <c r="H281" s="9" t="s">
        <v>1181</v>
      </c>
      <c r="I281" s="9">
        <v>176</v>
      </c>
      <c r="J281" s="9">
        <v>38</v>
      </c>
      <c r="K281" s="9">
        <v>9</v>
      </c>
    </row>
    <row r="282" spans="1:11" x14ac:dyDescent="0.4">
      <c r="A282" s="9" t="s">
        <v>324</v>
      </c>
      <c r="B282" s="9" t="s">
        <v>240</v>
      </c>
      <c r="C282" s="9">
        <v>21</v>
      </c>
      <c r="D282" s="9" t="s">
        <v>664</v>
      </c>
      <c r="E282" s="9" t="s">
        <v>1760</v>
      </c>
      <c r="F282" s="9" t="s">
        <v>1762</v>
      </c>
      <c r="G282" s="9">
        <v>38367</v>
      </c>
      <c r="H282" s="9" t="s">
        <v>1763</v>
      </c>
      <c r="I282" s="9">
        <v>183</v>
      </c>
      <c r="J282" s="9">
        <v>1</v>
      </c>
      <c r="K282" s="9">
        <v>0</v>
      </c>
    </row>
    <row r="283" spans="1:11" x14ac:dyDescent="0.4">
      <c r="A283" s="9" t="s">
        <v>324</v>
      </c>
      <c r="B283" s="9" t="s">
        <v>240</v>
      </c>
      <c r="C283" s="9">
        <v>22</v>
      </c>
      <c r="D283" s="9" t="s">
        <v>669</v>
      </c>
      <c r="E283" s="9" t="s">
        <v>1764</v>
      </c>
      <c r="F283" s="9" t="s">
        <v>1766</v>
      </c>
      <c r="G283" s="9">
        <v>34554</v>
      </c>
      <c r="H283" s="9" t="s">
        <v>673</v>
      </c>
      <c r="I283" s="9">
        <v>182</v>
      </c>
      <c r="J283" s="9">
        <v>109</v>
      </c>
      <c r="K283" s="9">
        <v>7</v>
      </c>
    </row>
    <row r="284" spans="1:11" x14ac:dyDescent="0.4">
      <c r="A284" s="9" t="s">
        <v>324</v>
      </c>
      <c r="B284" s="9" t="s">
        <v>240</v>
      </c>
      <c r="C284" s="9">
        <v>23</v>
      </c>
      <c r="D284" s="9" t="s">
        <v>691</v>
      </c>
      <c r="E284" s="9" t="s">
        <v>1767</v>
      </c>
      <c r="F284" s="9" t="s">
        <v>1769</v>
      </c>
      <c r="G284" s="9">
        <v>35290</v>
      </c>
      <c r="H284" s="9" t="s">
        <v>1770</v>
      </c>
      <c r="I284" s="9">
        <v>189</v>
      </c>
      <c r="J284" s="9">
        <v>15</v>
      </c>
      <c r="K284" s="9">
        <v>2</v>
      </c>
    </row>
    <row r="285" spans="1:11" x14ac:dyDescent="0.4">
      <c r="A285" s="9" t="s">
        <v>324</v>
      </c>
      <c r="B285" s="9" t="s">
        <v>240</v>
      </c>
      <c r="C285" s="9">
        <v>24</v>
      </c>
      <c r="D285" s="9" t="s">
        <v>669</v>
      </c>
      <c r="E285" s="9" t="s">
        <v>1771</v>
      </c>
      <c r="F285" s="9" t="s">
        <v>1773</v>
      </c>
      <c r="G285" s="9">
        <v>35671</v>
      </c>
      <c r="H285" s="9" t="s">
        <v>1774</v>
      </c>
      <c r="I285" s="9">
        <v>178</v>
      </c>
      <c r="J285" s="9">
        <v>28</v>
      </c>
      <c r="K285" s="9">
        <v>0</v>
      </c>
    </row>
    <row r="286" spans="1:11" x14ac:dyDescent="0.4">
      <c r="A286" s="9" t="s">
        <v>324</v>
      </c>
      <c r="B286" s="9" t="s">
        <v>240</v>
      </c>
      <c r="C286" s="9">
        <v>25</v>
      </c>
      <c r="D286" s="9" t="s">
        <v>686</v>
      </c>
      <c r="E286" s="9" t="s">
        <v>1775</v>
      </c>
      <c r="F286" s="9" t="s">
        <v>1777</v>
      </c>
      <c r="G286" s="9">
        <v>35949</v>
      </c>
      <c r="H286" s="9" t="s">
        <v>833</v>
      </c>
      <c r="I286" s="9">
        <v>183</v>
      </c>
      <c r="J286" s="9">
        <v>43</v>
      </c>
      <c r="K286" s="9">
        <v>2</v>
      </c>
    </row>
    <row r="287" spans="1:11" x14ac:dyDescent="0.4">
      <c r="A287" s="9" t="s">
        <v>324</v>
      </c>
      <c r="B287" s="9" t="s">
        <v>240</v>
      </c>
      <c r="C287" s="9">
        <v>26</v>
      </c>
      <c r="D287" s="9" t="s">
        <v>669</v>
      </c>
      <c r="E287" s="9" t="s">
        <v>1779</v>
      </c>
      <c r="F287" s="9" t="s">
        <v>1781</v>
      </c>
      <c r="G287" s="9">
        <v>34280</v>
      </c>
      <c r="H287" s="9" t="s">
        <v>1782</v>
      </c>
      <c r="I287" s="9">
        <v>179</v>
      </c>
      <c r="J287" s="9">
        <v>45</v>
      </c>
      <c r="K287" s="9">
        <v>4</v>
      </c>
    </row>
    <row r="288" spans="1:11" x14ac:dyDescent="0.4">
      <c r="A288" s="9" t="s">
        <v>292</v>
      </c>
      <c r="B288" s="9" t="s">
        <v>5211</v>
      </c>
      <c r="C288" s="9">
        <v>1</v>
      </c>
      <c r="D288" s="9" t="s">
        <v>664</v>
      </c>
      <c r="E288" s="9" t="s">
        <v>1784</v>
      </c>
      <c r="F288" s="9" t="s">
        <v>1786</v>
      </c>
      <c r="G288" s="9">
        <v>36759</v>
      </c>
      <c r="H288" s="9" t="s">
        <v>1787</v>
      </c>
      <c r="I288" s="9">
        <v>194</v>
      </c>
      <c r="J288" s="9">
        <v>35</v>
      </c>
      <c r="K288" s="9">
        <v>0</v>
      </c>
    </row>
    <row r="289" spans="1:11" x14ac:dyDescent="0.4">
      <c r="A289" s="9" t="s">
        <v>292</v>
      </c>
      <c r="B289" s="9" t="s">
        <v>5211</v>
      </c>
      <c r="C289" s="9">
        <v>2</v>
      </c>
      <c r="D289" s="9" t="s">
        <v>669</v>
      </c>
      <c r="E289" s="9" t="s">
        <v>1789</v>
      </c>
      <c r="F289" s="9" t="s">
        <v>1791</v>
      </c>
      <c r="G289" s="9">
        <v>37959</v>
      </c>
      <c r="H289" s="9" t="s">
        <v>970</v>
      </c>
      <c r="I289" s="9">
        <v>190</v>
      </c>
      <c r="J289" s="9">
        <v>15</v>
      </c>
      <c r="K289" s="9">
        <v>1</v>
      </c>
    </row>
    <row r="290" spans="1:11" x14ac:dyDescent="0.4">
      <c r="A290" s="9" t="s">
        <v>292</v>
      </c>
      <c r="B290" s="9" t="s">
        <v>5211</v>
      </c>
      <c r="C290" s="9">
        <v>3</v>
      </c>
      <c r="D290" s="9" t="s">
        <v>669</v>
      </c>
      <c r="E290" s="9" t="s">
        <v>1793</v>
      </c>
      <c r="F290" s="9" t="s">
        <v>1795</v>
      </c>
      <c r="G290" s="9">
        <v>35060</v>
      </c>
      <c r="H290" s="9" t="s">
        <v>1796</v>
      </c>
      <c r="I290" s="9">
        <v>176</v>
      </c>
      <c r="J290" s="9">
        <v>54</v>
      </c>
      <c r="K290" s="9">
        <v>0</v>
      </c>
    </row>
    <row r="291" spans="1:11" x14ac:dyDescent="0.4">
      <c r="A291" s="9" t="s">
        <v>292</v>
      </c>
      <c r="B291" s="9" t="s">
        <v>5211</v>
      </c>
      <c r="C291" s="9">
        <v>4</v>
      </c>
      <c r="D291" s="9" t="s">
        <v>686</v>
      </c>
      <c r="E291" s="9" t="s">
        <v>1798</v>
      </c>
      <c r="F291" s="9" t="s">
        <v>1800</v>
      </c>
      <c r="G291" s="9">
        <v>33438</v>
      </c>
      <c r="H291" s="9" t="s">
        <v>1801</v>
      </c>
      <c r="I291" s="9">
        <v>168</v>
      </c>
      <c r="J291" s="9">
        <v>65</v>
      </c>
      <c r="K291" s="9">
        <v>4</v>
      </c>
    </row>
    <row r="292" spans="1:11" x14ac:dyDescent="0.4">
      <c r="A292" s="9" t="s">
        <v>292</v>
      </c>
      <c r="B292" s="9" t="s">
        <v>5211</v>
      </c>
      <c r="C292" s="9">
        <v>5</v>
      </c>
      <c r="D292" s="9" t="s">
        <v>669</v>
      </c>
      <c r="E292" s="9" t="s">
        <v>1802</v>
      </c>
      <c r="F292" s="9" t="s">
        <v>1804</v>
      </c>
      <c r="G292" s="9">
        <v>36885</v>
      </c>
      <c r="H292" s="9" t="s">
        <v>1664</v>
      </c>
      <c r="I292" s="9">
        <v>182</v>
      </c>
      <c r="J292" s="9">
        <v>34</v>
      </c>
      <c r="K292" s="9">
        <v>1</v>
      </c>
    </row>
    <row r="293" spans="1:11" x14ac:dyDescent="0.4">
      <c r="A293" s="9" t="s">
        <v>292</v>
      </c>
      <c r="B293" s="9" t="s">
        <v>5211</v>
      </c>
      <c r="C293" s="9">
        <v>6</v>
      </c>
      <c r="D293" s="9" t="s">
        <v>686</v>
      </c>
      <c r="E293" s="9" t="s">
        <v>1805</v>
      </c>
      <c r="F293" s="9" t="s">
        <v>1788</v>
      </c>
      <c r="G293" s="9">
        <v>34826</v>
      </c>
      <c r="H293" s="9" t="s">
        <v>1807</v>
      </c>
      <c r="I293" s="9">
        <v>185</v>
      </c>
      <c r="J293" s="9">
        <v>33</v>
      </c>
      <c r="K293" s="9">
        <v>7</v>
      </c>
    </row>
    <row r="294" spans="1:11" x14ac:dyDescent="0.4">
      <c r="A294" s="9" t="s">
        <v>292</v>
      </c>
      <c r="B294" s="9" t="s">
        <v>5211</v>
      </c>
      <c r="C294" s="9">
        <v>7</v>
      </c>
      <c r="D294" s="9" t="s">
        <v>669</v>
      </c>
      <c r="E294" s="9" t="s">
        <v>1808</v>
      </c>
      <c r="F294" s="9" t="s">
        <v>1810</v>
      </c>
      <c r="G294" s="9">
        <v>36895</v>
      </c>
      <c r="H294" s="9" t="s">
        <v>1027</v>
      </c>
      <c r="I294" s="9">
        <v>191</v>
      </c>
      <c r="J294" s="9">
        <v>36</v>
      </c>
      <c r="K294" s="9">
        <v>0</v>
      </c>
    </row>
    <row r="295" spans="1:11" x14ac:dyDescent="0.4">
      <c r="A295" s="9" t="s">
        <v>292</v>
      </c>
      <c r="B295" s="9" t="s">
        <v>5211</v>
      </c>
      <c r="C295" s="9">
        <v>8</v>
      </c>
      <c r="D295" s="9" t="s">
        <v>686</v>
      </c>
      <c r="E295" s="9" t="s">
        <v>1811</v>
      </c>
      <c r="F295" s="9" t="s">
        <v>1813</v>
      </c>
      <c r="G295" s="9">
        <v>35418</v>
      </c>
      <c r="H295" s="9" t="s">
        <v>695</v>
      </c>
      <c r="I295" s="9">
        <v>183</v>
      </c>
      <c r="J295" s="9">
        <v>102</v>
      </c>
      <c r="K295" s="9">
        <v>15</v>
      </c>
    </row>
    <row r="296" spans="1:11" x14ac:dyDescent="0.4">
      <c r="A296" s="9" t="s">
        <v>292</v>
      </c>
      <c r="B296" s="9" t="s">
        <v>5211</v>
      </c>
      <c r="C296" s="9">
        <v>9</v>
      </c>
      <c r="D296" s="9" t="s">
        <v>691</v>
      </c>
      <c r="E296" s="9" t="s">
        <v>1814</v>
      </c>
      <c r="F296" s="9" t="s">
        <v>1816</v>
      </c>
      <c r="G296" s="9">
        <v>37919</v>
      </c>
      <c r="H296" s="9" t="s">
        <v>1547</v>
      </c>
      <c r="I296" s="9">
        <v>189</v>
      </c>
      <c r="J296" s="9">
        <v>1</v>
      </c>
      <c r="K296" s="9">
        <v>0</v>
      </c>
    </row>
    <row r="297" spans="1:11" x14ac:dyDescent="0.4">
      <c r="A297" s="9" t="s">
        <v>292</v>
      </c>
      <c r="B297" s="9" t="s">
        <v>5211</v>
      </c>
      <c r="C297" s="9">
        <v>10</v>
      </c>
      <c r="D297" s="9" t="s">
        <v>691</v>
      </c>
      <c r="E297" s="9" t="s">
        <v>1817</v>
      </c>
      <c r="F297" s="9" t="s">
        <v>1819</v>
      </c>
      <c r="G297" s="9">
        <v>37257</v>
      </c>
      <c r="H297" s="9" t="s">
        <v>1820</v>
      </c>
      <c r="I297" s="9">
        <v>175</v>
      </c>
      <c r="J297" s="9">
        <v>29</v>
      </c>
      <c r="K297" s="9">
        <v>5</v>
      </c>
    </row>
    <row r="298" spans="1:11" x14ac:dyDescent="0.4">
      <c r="A298" s="9" t="s">
        <v>292</v>
      </c>
      <c r="B298" s="9" t="s">
        <v>5211</v>
      </c>
      <c r="C298" s="9">
        <v>11</v>
      </c>
      <c r="D298" s="9" t="s">
        <v>691</v>
      </c>
      <c r="E298" s="9" t="s">
        <v>1821</v>
      </c>
      <c r="F298" s="9" t="s">
        <v>1823</v>
      </c>
      <c r="G298" s="9">
        <v>39035</v>
      </c>
      <c r="H298" s="9" t="s">
        <v>883</v>
      </c>
      <c r="I298" s="9">
        <v>180</v>
      </c>
      <c r="J298" s="9">
        <v>10</v>
      </c>
      <c r="K298" s="9">
        <v>3</v>
      </c>
    </row>
    <row r="299" spans="1:11" x14ac:dyDescent="0.4">
      <c r="A299" s="9" t="s">
        <v>292</v>
      </c>
      <c r="B299" s="9" t="s">
        <v>5211</v>
      </c>
      <c r="C299" s="9">
        <v>12</v>
      </c>
      <c r="D299" s="9" t="s">
        <v>691</v>
      </c>
      <c r="E299" s="9" t="s">
        <v>1824</v>
      </c>
      <c r="F299" s="9" t="s">
        <v>1826</v>
      </c>
      <c r="G299" s="9">
        <v>37623</v>
      </c>
      <c r="H299" s="9" t="s">
        <v>723</v>
      </c>
      <c r="I299" s="9">
        <v>181</v>
      </c>
      <c r="J299" s="9">
        <v>2</v>
      </c>
      <c r="K299" s="9">
        <v>0</v>
      </c>
    </row>
    <row r="300" spans="1:11" x14ac:dyDescent="0.4">
      <c r="A300" s="9" t="s">
        <v>292</v>
      </c>
      <c r="B300" s="9" t="s">
        <v>5211</v>
      </c>
      <c r="C300" s="9">
        <v>13</v>
      </c>
      <c r="D300" s="9" t="s">
        <v>669</v>
      </c>
      <c r="E300" s="9" t="s">
        <v>1827</v>
      </c>
      <c r="F300" s="9" t="s">
        <v>1829</v>
      </c>
      <c r="G300" s="9">
        <v>35549</v>
      </c>
      <c r="H300" s="9" t="s">
        <v>1349</v>
      </c>
      <c r="I300" s="9">
        <v>183</v>
      </c>
      <c r="J300" s="9">
        <v>12</v>
      </c>
      <c r="K300" s="9">
        <v>0</v>
      </c>
    </row>
    <row r="301" spans="1:11" x14ac:dyDescent="0.4">
      <c r="A301" s="9" t="s">
        <v>292</v>
      </c>
      <c r="B301" s="9" t="s">
        <v>5211</v>
      </c>
      <c r="C301" s="9">
        <v>14</v>
      </c>
      <c r="D301" s="9" t="s">
        <v>691</v>
      </c>
      <c r="E301" s="9" t="s">
        <v>1830</v>
      </c>
      <c r="F301" s="9" t="s">
        <v>1832</v>
      </c>
      <c r="G301" s="9">
        <v>37975</v>
      </c>
      <c r="H301" s="9" t="s">
        <v>1833</v>
      </c>
      <c r="I301" s="9">
        <v>182</v>
      </c>
      <c r="J301" s="9">
        <v>30</v>
      </c>
      <c r="K301" s="9">
        <v>6</v>
      </c>
    </row>
    <row r="302" spans="1:11" x14ac:dyDescent="0.4">
      <c r="A302" s="9" t="s">
        <v>292</v>
      </c>
      <c r="B302" s="9" t="s">
        <v>5211</v>
      </c>
      <c r="C302" s="9">
        <v>15</v>
      </c>
      <c r="D302" s="9" t="s">
        <v>691</v>
      </c>
      <c r="E302" s="9" t="s">
        <v>1834</v>
      </c>
      <c r="F302" s="9" t="s">
        <v>1836</v>
      </c>
      <c r="G302" s="9">
        <v>37448</v>
      </c>
      <c r="H302" s="9" t="s">
        <v>1007</v>
      </c>
      <c r="I302" s="9">
        <v>173</v>
      </c>
      <c r="J302" s="9">
        <v>19</v>
      </c>
      <c r="K302" s="9">
        <v>6</v>
      </c>
    </row>
    <row r="303" spans="1:11" x14ac:dyDescent="0.4">
      <c r="A303" s="9" t="s">
        <v>292</v>
      </c>
      <c r="B303" s="9" t="s">
        <v>5211</v>
      </c>
      <c r="C303" s="9">
        <v>16</v>
      </c>
      <c r="D303" s="9" t="s">
        <v>664</v>
      </c>
      <c r="E303" s="9" t="s">
        <v>1838</v>
      </c>
      <c r="F303" s="9" t="s">
        <v>1407</v>
      </c>
      <c r="G303" s="9">
        <v>37322</v>
      </c>
      <c r="H303" s="9" t="s">
        <v>761</v>
      </c>
      <c r="I303" s="9">
        <v>186</v>
      </c>
      <c r="J303" s="9">
        <v>0</v>
      </c>
      <c r="K303" s="9">
        <v>0</v>
      </c>
    </row>
    <row r="304" spans="1:11" x14ac:dyDescent="0.4">
      <c r="A304" s="9" t="s">
        <v>292</v>
      </c>
      <c r="B304" s="9" t="s">
        <v>5211</v>
      </c>
      <c r="C304" s="9">
        <v>17</v>
      </c>
      <c r="D304" s="9" t="s">
        <v>669</v>
      </c>
      <c r="E304" s="9" t="s">
        <v>1840</v>
      </c>
      <c r="F304" s="9" t="s">
        <v>1842</v>
      </c>
      <c r="G304" s="9">
        <v>37546</v>
      </c>
      <c r="H304" s="9" t="s">
        <v>1011</v>
      </c>
      <c r="I304" s="9">
        <v>187</v>
      </c>
      <c r="J304" s="9">
        <v>20</v>
      </c>
      <c r="K304" s="9">
        <v>3</v>
      </c>
    </row>
    <row r="305" spans="1:11" x14ac:dyDescent="0.4">
      <c r="A305" s="9" t="s">
        <v>292</v>
      </c>
      <c r="B305" s="9" t="s">
        <v>5211</v>
      </c>
      <c r="C305" s="9">
        <v>18</v>
      </c>
      <c r="D305" s="9" t="s">
        <v>686</v>
      </c>
      <c r="E305" s="9" t="s">
        <v>1844</v>
      </c>
      <c r="F305" s="9" t="s">
        <v>1845</v>
      </c>
      <c r="G305" s="9">
        <v>35766</v>
      </c>
      <c r="H305" s="9" t="s">
        <v>1846</v>
      </c>
      <c r="I305" s="9">
        <v>191</v>
      </c>
      <c r="J305" s="9">
        <v>57</v>
      </c>
      <c r="K305" s="9">
        <v>12</v>
      </c>
    </row>
    <row r="306" spans="1:11" x14ac:dyDescent="0.4">
      <c r="A306" s="9" t="s">
        <v>292</v>
      </c>
      <c r="B306" s="9" t="s">
        <v>5211</v>
      </c>
      <c r="C306" s="9">
        <v>19</v>
      </c>
      <c r="D306" s="9" t="s">
        <v>691</v>
      </c>
      <c r="E306" s="9" t="s">
        <v>1847</v>
      </c>
      <c r="F306" s="9" t="s">
        <v>1848</v>
      </c>
      <c r="G306" s="9">
        <v>34848</v>
      </c>
      <c r="H306" s="9" t="s">
        <v>1274</v>
      </c>
      <c r="I306" s="9">
        <v>183</v>
      </c>
      <c r="J306" s="9">
        <v>56</v>
      </c>
      <c r="K306" s="9">
        <v>12</v>
      </c>
    </row>
    <row r="307" spans="1:11" x14ac:dyDescent="0.4">
      <c r="A307" s="9" t="s">
        <v>292</v>
      </c>
      <c r="B307" s="9" t="s">
        <v>5211</v>
      </c>
      <c r="C307" s="9">
        <v>20</v>
      </c>
      <c r="D307" s="9" t="s">
        <v>669</v>
      </c>
      <c r="E307" s="9" t="s">
        <v>1849</v>
      </c>
      <c r="F307" s="9" t="s">
        <v>1851</v>
      </c>
      <c r="G307" s="9">
        <v>35598</v>
      </c>
      <c r="H307" s="9" t="s">
        <v>1852</v>
      </c>
      <c r="I307" s="9">
        <v>185</v>
      </c>
      <c r="J307" s="9">
        <v>20</v>
      </c>
      <c r="K307" s="9">
        <v>2</v>
      </c>
    </row>
    <row r="308" spans="1:11" x14ac:dyDescent="0.4">
      <c r="A308" s="9" t="s">
        <v>292</v>
      </c>
      <c r="B308" s="9" t="s">
        <v>5211</v>
      </c>
      <c r="C308" s="9">
        <v>21</v>
      </c>
      <c r="D308" s="9" t="s">
        <v>669</v>
      </c>
      <c r="E308" s="9" t="s">
        <v>1853</v>
      </c>
      <c r="F308" s="9" t="s">
        <v>1855</v>
      </c>
      <c r="G308" s="9">
        <v>36392</v>
      </c>
      <c r="H308" s="9" t="s">
        <v>1856</v>
      </c>
      <c r="I308" s="9">
        <v>192</v>
      </c>
      <c r="J308" s="9">
        <v>28</v>
      </c>
      <c r="K308" s="9">
        <v>0</v>
      </c>
    </row>
    <row r="309" spans="1:11" x14ac:dyDescent="0.4">
      <c r="A309" s="9" t="s">
        <v>292</v>
      </c>
      <c r="B309" s="9" t="s">
        <v>5211</v>
      </c>
      <c r="C309" s="9">
        <v>22</v>
      </c>
      <c r="D309" s="9" t="s">
        <v>691</v>
      </c>
      <c r="E309" s="9" t="s">
        <v>1857</v>
      </c>
      <c r="F309" s="9" t="s">
        <v>1859</v>
      </c>
      <c r="G309" s="9">
        <v>37073</v>
      </c>
      <c r="H309" s="9" t="s">
        <v>1570</v>
      </c>
      <c r="I309" s="9">
        <v>188</v>
      </c>
      <c r="J309" s="9">
        <v>21</v>
      </c>
      <c r="K309" s="9">
        <v>4</v>
      </c>
    </row>
    <row r="310" spans="1:11" x14ac:dyDescent="0.4">
      <c r="A310" s="9" t="s">
        <v>292</v>
      </c>
      <c r="B310" s="9" t="s">
        <v>5211</v>
      </c>
      <c r="C310" s="9">
        <v>23</v>
      </c>
      <c r="D310" s="9" t="s">
        <v>664</v>
      </c>
      <c r="E310" s="9" t="s">
        <v>1860</v>
      </c>
      <c r="F310" s="9" t="s">
        <v>1862</v>
      </c>
      <c r="G310" s="9">
        <v>36183</v>
      </c>
      <c r="H310" s="9" t="s">
        <v>1863</v>
      </c>
      <c r="I310" s="9">
        <v>196</v>
      </c>
      <c r="J310" s="9">
        <v>4</v>
      </c>
      <c r="K310" s="9">
        <v>0</v>
      </c>
    </row>
    <row r="311" spans="1:11" x14ac:dyDescent="0.4">
      <c r="A311" s="9" t="s">
        <v>292</v>
      </c>
      <c r="B311" s="9" t="s">
        <v>5211</v>
      </c>
      <c r="C311" s="9">
        <v>24</v>
      </c>
      <c r="D311" s="9" t="s">
        <v>691</v>
      </c>
      <c r="E311" s="9" t="s">
        <v>1864</v>
      </c>
      <c r="F311" s="9" t="s">
        <v>802</v>
      </c>
      <c r="G311" s="9">
        <v>38778</v>
      </c>
      <c r="H311" s="9" t="s">
        <v>949</v>
      </c>
      <c r="I311" s="9">
        <v>178</v>
      </c>
      <c r="J311" s="9">
        <v>6</v>
      </c>
      <c r="K311" s="9">
        <v>2</v>
      </c>
    </row>
    <row r="312" spans="1:11" x14ac:dyDescent="0.4">
      <c r="A312" s="9" t="s">
        <v>292</v>
      </c>
      <c r="B312" s="9" t="s">
        <v>5211</v>
      </c>
      <c r="C312" s="9">
        <v>25</v>
      </c>
      <c r="D312" s="9" t="s">
        <v>686</v>
      </c>
      <c r="E312" s="9" t="s">
        <v>1866</v>
      </c>
      <c r="F312" s="9" t="s">
        <v>1868</v>
      </c>
      <c r="G312" s="9">
        <v>36944</v>
      </c>
      <c r="H312" s="9" t="s">
        <v>761</v>
      </c>
      <c r="I312" s="9">
        <v>165</v>
      </c>
      <c r="J312" s="9">
        <v>5</v>
      </c>
      <c r="K312" s="9">
        <v>0</v>
      </c>
    </row>
    <row r="313" spans="1:11" x14ac:dyDescent="0.4">
      <c r="A313" s="9" t="s">
        <v>292</v>
      </c>
      <c r="B313" s="9" t="s">
        <v>5211</v>
      </c>
      <c r="C313" s="9">
        <v>26</v>
      </c>
      <c r="D313" s="9" t="s">
        <v>686</v>
      </c>
      <c r="E313" s="9" t="s">
        <v>1869</v>
      </c>
      <c r="F313" s="9" t="s">
        <v>1871</v>
      </c>
      <c r="G313" s="9">
        <v>38813</v>
      </c>
      <c r="H313" s="9" t="s">
        <v>1363</v>
      </c>
      <c r="I313" s="9">
        <v>173</v>
      </c>
      <c r="J313" s="9">
        <v>9</v>
      </c>
      <c r="K313" s="9">
        <v>0</v>
      </c>
    </row>
    <row r="314" spans="1:11" x14ac:dyDescent="0.4">
      <c r="A314" s="9" t="s">
        <v>323</v>
      </c>
      <c r="B314" s="9" t="s">
        <v>50</v>
      </c>
      <c r="C314" s="9">
        <v>1</v>
      </c>
      <c r="D314" s="9" t="s">
        <v>664</v>
      </c>
      <c r="E314" s="9" t="s">
        <v>1873</v>
      </c>
      <c r="F314" s="9" t="s">
        <v>1875</v>
      </c>
      <c r="G314" s="9">
        <v>34708</v>
      </c>
      <c r="H314" s="9" t="s">
        <v>1876</v>
      </c>
      <c r="I314" s="9">
        <v>188</v>
      </c>
      <c r="J314" s="9">
        <v>75</v>
      </c>
      <c r="K314" s="9">
        <v>0</v>
      </c>
    </row>
    <row r="315" spans="1:11" x14ac:dyDescent="0.4">
      <c r="A315" s="9" t="s">
        <v>323</v>
      </c>
      <c r="B315" s="9" t="s">
        <v>50</v>
      </c>
      <c r="C315" s="9">
        <v>2</v>
      </c>
      <c r="D315" s="9" t="s">
        <v>669</v>
      </c>
      <c r="E315" s="9" t="s">
        <v>1877</v>
      </c>
      <c r="F315" s="9" t="s">
        <v>1879</v>
      </c>
      <c r="G315" s="9">
        <v>36618</v>
      </c>
      <c r="H315" s="9" t="s">
        <v>944</v>
      </c>
      <c r="I315" s="9">
        <v>186</v>
      </c>
      <c r="J315" s="9">
        <v>31</v>
      </c>
      <c r="K315" s="9">
        <v>0</v>
      </c>
    </row>
    <row r="316" spans="1:11" x14ac:dyDescent="0.4">
      <c r="A316" s="9" t="s">
        <v>323</v>
      </c>
      <c r="B316" s="9" t="s">
        <v>50</v>
      </c>
      <c r="C316" s="9">
        <v>3</v>
      </c>
      <c r="D316" s="9" t="s">
        <v>669</v>
      </c>
      <c r="E316" s="9" t="s">
        <v>1880</v>
      </c>
      <c r="F316" s="9" t="s">
        <v>1882</v>
      </c>
      <c r="G316" s="9">
        <v>35684</v>
      </c>
      <c r="H316" s="9" t="s">
        <v>1883</v>
      </c>
      <c r="I316" s="9">
        <v>193</v>
      </c>
      <c r="J316" s="9">
        <v>20</v>
      </c>
      <c r="K316" s="9">
        <v>0</v>
      </c>
    </row>
    <row r="317" spans="1:11" x14ac:dyDescent="0.4">
      <c r="A317" s="9" t="s">
        <v>323</v>
      </c>
      <c r="B317" s="9" t="s">
        <v>50</v>
      </c>
      <c r="C317" s="9">
        <v>4</v>
      </c>
      <c r="D317" s="9" t="s">
        <v>669</v>
      </c>
      <c r="E317" s="9" t="s">
        <v>1884</v>
      </c>
      <c r="F317" s="9" t="s">
        <v>1886</v>
      </c>
      <c r="G317" s="9">
        <v>37279</v>
      </c>
      <c r="H317" s="9" t="s">
        <v>727</v>
      </c>
      <c r="I317" s="9">
        <v>185</v>
      </c>
      <c r="J317" s="9">
        <v>48</v>
      </c>
      <c r="K317" s="9">
        <v>4</v>
      </c>
    </row>
    <row r="318" spans="1:11" x14ac:dyDescent="0.4">
      <c r="A318" s="9" t="s">
        <v>323</v>
      </c>
      <c r="B318" s="9" t="s">
        <v>50</v>
      </c>
      <c r="C318" s="9">
        <v>5</v>
      </c>
      <c r="D318" s="9" t="s">
        <v>669</v>
      </c>
      <c r="E318" s="9" t="s">
        <v>1887</v>
      </c>
      <c r="F318" s="9" t="s">
        <v>1889</v>
      </c>
      <c r="G318" s="9">
        <v>35325</v>
      </c>
      <c r="H318" s="9" t="s">
        <v>1890</v>
      </c>
      <c r="I318" s="9">
        <v>193</v>
      </c>
      <c r="J318" s="9">
        <v>38</v>
      </c>
      <c r="K318" s="9">
        <v>1</v>
      </c>
    </row>
    <row r="319" spans="1:11" x14ac:dyDescent="0.4">
      <c r="A319" s="9" t="s">
        <v>323</v>
      </c>
      <c r="B319" s="9" t="s">
        <v>50</v>
      </c>
      <c r="C319" s="9">
        <v>6</v>
      </c>
      <c r="D319" s="9" t="s">
        <v>669</v>
      </c>
      <c r="E319" s="9" t="s">
        <v>1891</v>
      </c>
      <c r="F319" s="9" t="s">
        <v>1892</v>
      </c>
      <c r="G319" s="9">
        <v>36584</v>
      </c>
      <c r="H319" s="9" t="s">
        <v>1893</v>
      </c>
      <c r="I319" s="9">
        <v>185</v>
      </c>
      <c r="J319" s="9">
        <v>33</v>
      </c>
      <c r="K319" s="9">
        <v>0</v>
      </c>
    </row>
    <row r="320" spans="1:11" x14ac:dyDescent="0.4">
      <c r="A320" s="9" t="s">
        <v>323</v>
      </c>
      <c r="B320" s="9" t="s">
        <v>50</v>
      </c>
      <c r="C320" s="9">
        <v>7</v>
      </c>
      <c r="D320" s="9" t="s">
        <v>686</v>
      </c>
      <c r="E320" s="9" t="s">
        <v>1894</v>
      </c>
      <c r="F320" s="9" t="s">
        <v>1895</v>
      </c>
      <c r="G320" s="9">
        <v>35866</v>
      </c>
      <c r="H320" s="9" t="s">
        <v>1575</v>
      </c>
      <c r="I320" s="9">
        <v>183</v>
      </c>
      <c r="J320" s="9">
        <v>10</v>
      </c>
      <c r="K320" s="9">
        <v>0</v>
      </c>
    </row>
    <row r="321" spans="1:11" x14ac:dyDescent="0.4">
      <c r="A321" s="9" t="s">
        <v>323</v>
      </c>
      <c r="B321" s="9" t="s">
        <v>50</v>
      </c>
      <c r="C321" s="9">
        <v>8</v>
      </c>
      <c r="D321" s="9" t="s">
        <v>686</v>
      </c>
      <c r="E321" s="9" t="s">
        <v>1896</v>
      </c>
      <c r="F321" s="9" t="s">
        <v>1898</v>
      </c>
      <c r="G321" s="9">
        <v>34460</v>
      </c>
      <c r="H321" s="9" t="s">
        <v>727</v>
      </c>
      <c r="I321" s="9">
        <v>178</v>
      </c>
      <c r="J321" s="9">
        <v>113</v>
      </c>
      <c r="K321" s="9">
        <v>5</v>
      </c>
    </row>
    <row r="322" spans="1:11" x14ac:dyDescent="0.4">
      <c r="A322" s="9" t="s">
        <v>323</v>
      </c>
      <c r="B322" s="9" t="s">
        <v>50</v>
      </c>
      <c r="C322" s="9">
        <v>9</v>
      </c>
      <c r="D322" s="9" t="s">
        <v>691</v>
      </c>
      <c r="E322" s="9" t="s">
        <v>1899</v>
      </c>
      <c r="F322" s="9" t="s">
        <v>1901</v>
      </c>
      <c r="G322" s="9">
        <v>33408</v>
      </c>
      <c r="H322" s="9" t="s">
        <v>949</v>
      </c>
      <c r="I322" s="9">
        <v>177</v>
      </c>
      <c r="J322" s="9">
        <v>116</v>
      </c>
      <c r="K322" s="9">
        <v>36</v>
      </c>
    </row>
    <row r="323" spans="1:11" x14ac:dyDescent="0.4">
      <c r="A323" s="9" t="s">
        <v>323</v>
      </c>
      <c r="B323" s="9" t="s">
        <v>50</v>
      </c>
      <c r="C323" s="9">
        <v>10</v>
      </c>
      <c r="D323" s="9" t="s">
        <v>686</v>
      </c>
      <c r="E323" s="9" t="s">
        <v>1902</v>
      </c>
      <c r="F323" s="9" t="s">
        <v>1904</v>
      </c>
      <c r="G323" s="9">
        <v>31299</v>
      </c>
      <c r="H323" s="9" t="s">
        <v>1023</v>
      </c>
      <c r="I323" s="9">
        <v>172</v>
      </c>
      <c r="J323" s="9">
        <v>198</v>
      </c>
      <c r="K323" s="9">
        <v>29</v>
      </c>
    </row>
    <row r="324" spans="1:11" x14ac:dyDescent="0.4">
      <c r="A324" s="9" t="s">
        <v>323</v>
      </c>
      <c r="B324" s="9" t="s">
        <v>50</v>
      </c>
      <c r="C324" s="9">
        <v>11</v>
      </c>
      <c r="D324" s="9" t="s">
        <v>691</v>
      </c>
      <c r="E324" s="9" t="s">
        <v>1905</v>
      </c>
      <c r="F324" s="9" t="s">
        <v>1907</v>
      </c>
      <c r="G324" s="9">
        <v>33441</v>
      </c>
      <c r="H324" s="9" t="s">
        <v>1908</v>
      </c>
      <c r="I324" s="9">
        <v>190</v>
      </c>
      <c r="J324" s="9">
        <v>38</v>
      </c>
      <c r="K324" s="9">
        <v>6</v>
      </c>
    </row>
    <row r="325" spans="1:11" x14ac:dyDescent="0.4">
      <c r="A325" s="9" t="s">
        <v>323</v>
      </c>
      <c r="B325" s="9" t="s">
        <v>50</v>
      </c>
      <c r="C325" s="9">
        <v>12</v>
      </c>
      <c r="D325" s="9" t="s">
        <v>664</v>
      </c>
      <c r="E325" s="9" t="s">
        <v>1909</v>
      </c>
      <c r="F325" s="9" t="s">
        <v>1911</v>
      </c>
      <c r="G325" s="9">
        <v>36610</v>
      </c>
      <c r="H325" s="9" t="s">
        <v>1114</v>
      </c>
      <c r="I325" s="9">
        <v>187</v>
      </c>
      <c r="J325" s="9">
        <v>0</v>
      </c>
      <c r="K325" s="9">
        <v>0</v>
      </c>
    </row>
    <row r="326" spans="1:11" x14ac:dyDescent="0.4">
      <c r="A326" s="9" t="s">
        <v>323</v>
      </c>
      <c r="B326" s="9" t="s">
        <v>50</v>
      </c>
      <c r="C326" s="9">
        <v>13</v>
      </c>
      <c r="D326" s="9" t="s">
        <v>686</v>
      </c>
      <c r="E326" s="9" t="s">
        <v>1912</v>
      </c>
      <c r="F326" s="9" t="s">
        <v>1913</v>
      </c>
      <c r="G326" s="9">
        <v>35707</v>
      </c>
      <c r="H326" s="9" t="s">
        <v>1914</v>
      </c>
      <c r="I326" s="9">
        <v>179</v>
      </c>
      <c r="J326" s="9">
        <v>63</v>
      </c>
      <c r="K326" s="9">
        <v>10</v>
      </c>
    </row>
    <row r="327" spans="1:11" x14ac:dyDescent="0.4">
      <c r="A327" s="9" t="s">
        <v>323</v>
      </c>
      <c r="B327" s="9" t="s">
        <v>50</v>
      </c>
      <c r="C327" s="9">
        <v>14</v>
      </c>
      <c r="D327" s="9" t="s">
        <v>691</v>
      </c>
      <c r="E327" s="9" t="s">
        <v>1915</v>
      </c>
      <c r="F327" s="9" t="s">
        <v>1916</v>
      </c>
      <c r="G327" s="9">
        <v>32541</v>
      </c>
      <c r="H327" s="9" t="s">
        <v>956</v>
      </c>
      <c r="I327" s="9">
        <v>186</v>
      </c>
      <c r="J327" s="9">
        <v>154</v>
      </c>
      <c r="K327" s="9">
        <v>38</v>
      </c>
    </row>
    <row r="328" spans="1:11" x14ac:dyDescent="0.4">
      <c r="A328" s="9" t="s">
        <v>323</v>
      </c>
      <c r="B328" s="9" t="s">
        <v>50</v>
      </c>
      <c r="C328" s="9">
        <v>15</v>
      </c>
      <c r="D328" s="9" t="s">
        <v>686</v>
      </c>
      <c r="E328" s="9" t="s">
        <v>1917</v>
      </c>
      <c r="F328" s="9" t="s">
        <v>1919</v>
      </c>
      <c r="G328" s="9">
        <v>34739</v>
      </c>
      <c r="H328" s="9" t="s">
        <v>1027</v>
      </c>
      <c r="I328" s="9">
        <v>188</v>
      </c>
      <c r="J328" s="9">
        <v>85</v>
      </c>
      <c r="K328" s="9">
        <v>12</v>
      </c>
    </row>
    <row r="329" spans="1:11" x14ac:dyDescent="0.4">
      <c r="A329" s="9" t="s">
        <v>323</v>
      </c>
      <c r="B329" s="9" t="s">
        <v>50</v>
      </c>
      <c r="C329" s="9">
        <v>16</v>
      </c>
      <c r="D329" s="9" t="s">
        <v>686</v>
      </c>
      <c r="E329" s="9" t="s">
        <v>1920</v>
      </c>
      <c r="F329" s="9" t="s">
        <v>1921</v>
      </c>
      <c r="G329" s="9">
        <v>37668</v>
      </c>
      <c r="H329" s="9" t="s">
        <v>1532</v>
      </c>
      <c r="I329" s="9">
        <v>172</v>
      </c>
      <c r="J329" s="9">
        <v>19</v>
      </c>
      <c r="K329" s="9">
        <v>1</v>
      </c>
    </row>
    <row r="330" spans="1:11" x14ac:dyDescent="0.4">
      <c r="A330" s="9" t="s">
        <v>323</v>
      </c>
      <c r="B330" s="9" t="s">
        <v>50</v>
      </c>
      <c r="C330" s="9">
        <v>17</v>
      </c>
      <c r="D330" s="9" t="s">
        <v>686</v>
      </c>
      <c r="E330" s="9" t="s">
        <v>1922</v>
      </c>
      <c r="F330" s="9" t="s">
        <v>1924</v>
      </c>
      <c r="G330" s="9">
        <v>37919</v>
      </c>
      <c r="H330" s="9" t="s">
        <v>1547</v>
      </c>
      <c r="I330" s="9">
        <v>183</v>
      </c>
      <c r="J330" s="9">
        <v>17</v>
      </c>
      <c r="K330" s="9">
        <v>1</v>
      </c>
    </row>
    <row r="331" spans="1:11" x14ac:dyDescent="0.4">
      <c r="A331" s="9" t="s">
        <v>323</v>
      </c>
      <c r="B331" s="9" t="s">
        <v>50</v>
      </c>
      <c r="C331" s="9">
        <v>18</v>
      </c>
      <c r="D331" s="9" t="s">
        <v>669</v>
      </c>
      <c r="E331" s="9" t="s">
        <v>1926</v>
      </c>
      <c r="F331" s="9" t="s">
        <v>1928</v>
      </c>
      <c r="G331" s="9">
        <v>35564</v>
      </c>
      <c r="H331" s="9" t="s">
        <v>909</v>
      </c>
      <c r="I331" s="9">
        <v>181</v>
      </c>
      <c r="J331" s="9">
        <v>17</v>
      </c>
      <c r="K331" s="9">
        <v>2</v>
      </c>
    </row>
    <row r="332" spans="1:11" x14ac:dyDescent="0.4">
      <c r="A332" s="9" t="s">
        <v>323</v>
      </c>
      <c r="B332" s="9" t="s">
        <v>50</v>
      </c>
      <c r="C332" s="9">
        <v>19</v>
      </c>
      <c r="D332" s="9" t="s">
        <v>686</v>
      </c>
      <c r="E332" s="9" t="s">
        <v>1929</v>
      </c>
      <c r="F332" s="9" t="s">
        <v>1931</v>
      </c>
      <c r="G332" s="9">
        <v>36959</v>
      </c>
      <c r="H332" s="9" t="s">
        <v>1130</v>
      </c>
      <c r="I332" s="9">
        <v>177</v>
      </c>
      <c r="J332" s="9">
        <v>7</v>
      </c>
      <c r="K332" s="9">
        <v>1</v>
      </c>
    </row>
    <row r="333" spans="1:11" x14ac:dyDescent="0.4">
      <c r="A333" s="9" t="s">
        <v>323</v>
      </c>
      <c r="B333" s="9" t="s">
        <v>50</v>
      </c>
      <c r="C333" s="9">
        <v>20</v>
      </c>
      <c r="D333" s="9" t="s">
        <v>691</v>
      </c>
      <c r="E333" s="9" t="s">
        <v>1932</v>
      </c>
      <c r="F333" s="9" t="s">
        <v>1934</v>
      </c>
      <c r="G333" s="9">
        <v>37711</v>
      </c>
      <c r="H333" s="9" t="s">
        <v>925</v>
      </c>
      <c r="I333" s="9">
        <v>194</v>
      </c>
      <c r="J333" s="9">
        <v>9</v>
      </c>
      <c r="K333" s="9">
        <v>2</v>
      </c>
    </row>
    <row r="334" spans="1:11" x14ac:dyDescent="0.4">
      <c r="A334" s="9" t="s">
        <v>323</v>
      </c>
      <c r="B334" s="9" t="s">
        <v>50</v>
      </c>
      <c r="C334" s="9">
        <v>21</v>
      </c>
      <c r="D334" s="9" t="s">
        <v>686</v>
      </c>
      <c r="E334" s="9" t="s">
        <v>1935</v>
      </c>
      <c r="F334" s="9" t="s">
        <v>1925</v>
      </c>
      <c r="G334" s="9">
        <v>37507</v>
      </c>
      <c r="H334" s="9" t="s">
        <v>1890</v>
      </c>
      <c r="I334" s="9">
        <v>185</v>
      </c>
      <c r="J334" s="9">
        <v>21</v>
      </c>
      <c r="K334" s="9">
        <v>1</v>
      </c>
    </row>
    <row r="335" spans="1:11" x14ac:dyDescent="0.4">
      <c r="A335" s="9" t="s">
        <v>323</v>
      </c>
      <c r="B335" s="9" t="s">
        <v>50</v>
      </c>
      <c r="C335" s="9">
        <v>22</v>
      </c>
      <c r="D335" s="9" t="s">
        <v>669</v>
      </c>
      <c r="E335" s="9" t="s">
        <v>1936</v>
      </c>
      <c r="F335" s="9" t="s">
        <v>1937</v>
      </c>
      <c r="G335" s="9">
        <v>39137</v>
      </c>
      <c r="H335" s="9" t="s">
        <v>1938</v>
      </c>
      <c r="I335" s="9">
        <v>193</v>
      </c>
      <c r="J335" s="9">
        <v>5</v>
      </c>
      <c r="K335" s="9">
        <v>1</v>
      </c>
    </row>
    <row r="336" spans="1:11" x14ac:dyDescent="0.4">
      <c r="A336" s="9" t="s">
        <v>323</v>
      </c>
      <c r="B336" s="9" t="s">
        <v>50</v>
      </c>
      <c r="C336" s="9">
        <v>23</v>
      </c>
      <c r="D336" s="9" t="s">
        <v>664</v>
      </c>
      <c r="E336" s="9" t="s">
        <v>1939</v>
      </c>
      <c r="F336" s="9" t="s">
        <v>1940</v>
      </c>
      <c r="G336" s="9">
        <v>36566</v>
      </c>
      <c r="H336" s="9" t="s">
        <v>1941</v>
      </c>
      <c r="I336" s="9">
        <v>190</v>
      </c>
      <c r="J336" s="9">
        <v>4</v>
      </c>
      <c r="K336" s="9">
        <v>0</v>
      </c>
    </row>
    <row r="337" spans="1:11" x14ac:dyDescent="0.4">
      <c r="A337" s="9" t="s">
        <v>323</v>
      </c>
      <c r="B337" s="9" t="s">
        <v>50</v>
      </c>
      <c r="C337" s="9">
        <v>24</v>
      </c>
      <c r="D337" s="9" t="s">
        <v>691</v>
      </c>
      <c r="E337" s="9" t="s">
        <v>1942</v>
      </c>
      <c r="F337" s="9" t="s">
        <v>1943</v>
      </c>
      <c r="G337" s="9">
        <v>36783</v>
      </c>
      <c r="H337" s="9" t="s">
        <v>1435</v>
      </c>
      <c r="I337" s="9">
        <v>177</v>
      </c>
      <c r="J337" s="9">
        <v>15</v>
      </c>
      <c r="K337" s="9">
        <v>1</v>
      </c>
    </row>
    <row r="338" spans="1:11" x14ac:dyDescent="0.4">
      <c r="A338" s="9" t="s">
        <v>323</v>
      </c>
      <c r="B338" s="9" t="s">
        <v>50</v>
      </c>
      <c r="C338" s="9">
        <v>25</v>
      </c>
      <c r="D338" s="9" t="s">
        <v>669</v>
      </c>
      <c r="E338" s="9" t="s">
        <v>1944</v>
      </c>
      <c r="F338" s="9" t="s">
        <v>1945</v>
      </c>
      <c r="G338" s="9">
        <v>35819</v>
      </c>
      <c r="H338" s="9" t="s">
        <v>1946</v>
      </c>
      <c r="I338" s="9">
        <v>192</v>
      </c>
      <c r="J338" s="9">
        <v>13</v>
      </c>
      <c r="K338" s="9">
        <v>1</v>
      </c>
    </row>
    <row r="339" spans="1:11" x14ac:dyDescent="0.4">
      <c r="A339" s="9" t="s">
        <v>323</v>
      </c>
      <c r="B339" s="9" t="s">
        <v>50</v>
      </c>
      <c r="C339" s="9">
        <v>26</v>
      </c>
      <c r="D339" s="9" t="s">
        <v>691</v>
      </c>
      <c r="E339" s="9" t="s">
        <v>1947</v>
      </c>
      <c r="F339" s="9" t="s">
        <v>1948</v>
      </c>
      <c r="G339" s="9">
        <v>35858</v>
      </c>
      <c r="H339" s="9" t="s">
        <v>1949</v>
      </c>
      <c r="I339" s="9">
        <v>190</v>
      </c>
      <c r="J339" s="9">
        <v>11</v>
      </c>
      <c r="K339" s="9">
        <v>1</v>
      </c>
    </row>
    <row r="340" spans="1:11" x14ac:dyDescent="0.4">
      <c r="A340" s="9" t="s">
        <v>317</v>
      </c>
      <c r="B340" s="9" t="s">
        <v>264</v>
      </c>
      <c r="C340" s="9">
        <v>1</v>
      </c>
      <c r="D340" s="9" t="s">
        <v>664</v>
      </c>
      <c r="E340" s="9" t="s">
        <v>1950</v>
      </c>
      <c r="F340" s="9" t="s">
        <v>1952</v>
      </c>
      <c r="G340" s="9">
        <v>32545</v>
      </c>
      <c r="H340" s="9" t="s">
        <v>1953</v>
      </c>
      <c r="I340" s="9">
        <v>190</v>
      </c>
      <c r="J340" s="9">
        <v>71</v>
      </c>
      <c r="K340" s="9">
        <v>0</v>
      </c>
    </row>
    <row r="341" spans="1:11" x14ac:dyDescent="0.4">
      <c r="A341" s="9" t="s">
        <v>317</v>
      </c>
      <c r="B341" s="9" t="s">
        <v>264</v>
      </c>
      <c r="C341" s="9">
        <v>2</v>
      </c>
      <c r="D341" s="9" t="s">
        <v>669</v>
      </c>
      <c r="E341" s="9" t="s">
        <v>1954</v>
      </c>
      <c r="F341" s="9" t="s">
        <v>1956</v>
      </c>
      <c r="G341" s="9">
        <v>37122</v>
      </c>
      <c r="H341" s="9" t="s">
        <v>1957</v>
      </c>
      <c r="I341" s="9">
        <v>174</v>
      </c>
      <c r="J341" s="9">
        <v>8</v>
      </c>
      <c r="K341" s="9">
        <v>0</v>
      </c>
    </row>
    <row r="342" spans="1:11" x14ac:dyDescent="0.4">
      <c r="A342" s="9" t="s">
        <v>317</v>
      </c>
      <c r="B342" s="9" t="s">
        <v>264</v>
      </c>
      <c r="C342" s="9">
        <v>3</v>
      </c>
      <c r="D342" s="9" t="s">
        <v>669</v>
      </c>
      <c r="E342" s="9" t="s">
        <v>1958</v>
      </c>
      <c r="F342" s="9" t="s">
        <v>1960</v>
      </c>
      <c r="G342" s="9">
        <v>34326</v>
      </c>
      <c r="H342" s="9" t="s">
        <v>1961</v>
      </c>
      <c r="I342" s="9">
        <v>183</v>
      </c>
      <c r="J342" s="9">
        <v>60</v>
      </c>
      <c r="K342" s="9">
        <v>1</v>
      </c>
    </row>
    <row r="343" spans="1:11" x14ac:dyDescent="0.4">
      <c r="A343" s="9" t="s">
        <v>317</v>
      </c>
      <c r="B343" s="9" t="s">
        <v>264</v>
      </c>
      <c r="C343" s="9">
        <v>4</v>
      </c>
      <c r="D343" s="9" t="s">
        <v>669</v>
      </c>
      <c r="E343" s="9" t="s">
        <v>1962</v>
      </c>
      <c r="F343" s="9" t="s">
        <v>1964</v>
      </c>
      <c r="G343" s="9">
        <v>35955</v>
      </c>
      <c r="H343" s="9" t="s">
        <v>1965</v>
      </c>
      <c r="I343" s="9">
        <v>186</v>
      </c>
      <c r="J343" s="9">
        <v>28</v>
      </c>
      <c r="K343" s="9">
        <v>1</v>
      </c>
    </row>
    <row r="344" spans="1:11" x14ac:dyDescent="0.4">
      <c r="A344" s="9" t="s">
        <v>317</v>
      </c>
      <c r="B344" s="9" t="s">
        <v>264</v>
      </c>
      <c r="C344" s="9">
        <v>5</v>
      </c>
      <c r="D344" s="9" t="s">
        <v>669</v>
      </c>
      <c r="E344" s="9" t="s">
        <v>1966</v>
      </c>
      <c r="F344" s="9" t="s">
        <v>1968</v>
      </c>
      <c r="G344" s="9">
        <v>36030</v>
      </c>
      <c r="H344" s="9" t="s">
        <v>1298</v>
      </c>
      <c r="I344" s="9">
        <v>181</v>
      </c>
      <c r="J344" s="9">
        <v>28</v>
      </c>
      <c r="K344" s="9">
        <v>0</v>
      </c>
    </row>
    <row r="345" spans="1:11" x14ac:dyDescent="0.4">
      <c r="A345" s="9" t="s">
        <v>317</v>
      </c>
      <c r="B345" s="9" t="s">
        <v>264</v>
      </c>
      <c r="C345" s="9">
        <v>6</v>
      </c>
      <c r="D345" s="9" t="s">
        <v>686</v>
      </c>
      <c r="E345" s="9" t="s">
        <v>1969</v>
      </c>
      <c r="F345" s="9" t="s">
        <v>1971</v>
      </c>
      <c r="G345" s="9">
        <v>36391</v>
      </c>
      <c r="H345" s="9" t="s">
        <v>1965</v>
      </c>
      <c r="I345" s="9">
        <v>178</v>
      </c>
      <c r="J345" s="9">
        <v>28</v>
      </c>
      <c r="K345" s="9">
        <v>1</v>
      </c>
    </row>
    <row r="346" spans="1:11" x14ac:dyDescent="0.4">
      <c r="A346" s="9" t="s">
        <v>317</v>
      </c>
      <c r="B346" s="9" t="s">
        <v>264</v>
      </c>
      <c r="C346" s="9">
        <v>7</v>
      </c>
      <c r="D346" s="9" t="s">
        <v>686</v>
      </c>
      <c r="E346" s="9" t="s">
        <v>1972</v>
      </c>
      <c r="F346" s="9" t="s">
        <v>1974</v>
      </c>
      <c r="G346" s="9">
        <v>35649</v>
      </c>
      <c r="H346" s="9" t="s">
        <v>1975</v>
      </c>
      <c r="I346" s="9">
        <v>178</v>
      </c>
      <c r="J346" s="9">
        <v>49</v>
      </c>
      <c r="K346" s="9">
        <v>15</v>
      </c>
    </row>
    <row r="347" spans="1:11" x14ac:dyDescent="0.4">
      <c r="A347" s="9" t="s">
        <v>317</v>
      </c>
      <c r="B347" s="9" t="s">
        <v>264</v>
      </c>
      <c r="C347" s="9">
        <v>8</v>
      </c>
      <c r="D347" s="9" t="s">
        <v>686</v>
      </c>
      <c r="E347" s="9" t="s">
        <v>1977</v>
      </c>
      <c r="F347" s="9" t="s">
        <v>1979</v>
      </c>
      <c r="G347" s="9">
        <v>38020</v>
      </c>
      <c r="H347" s="9" t="s">
        <v>1980</v>
      </c>
      <c r="I347" s="9">
        <v>185</v>
      </c>
      <c r="J347" s="9">
        <v>20</v>
      </c>
      <c r="K347" s="9">
        <v>2</v>
      </c>
    </row>
    <row r="348" spans="1:11" x14ac:dyDescent="0.4">
      <c r="A348" s="9" t="s">
        <v>317</v>
      </c>
      <c r="B348" s="9" t="s">
        <v>264</v>
      </c>
      <c r="C348" s="9">
        <v>9</v>
      </c>
      <c r="D348" s="9" t="s">
        <v>691</v>
      </c>
      <c r="E348" s="9" t="s">
        <v>1981</v>
      </c>
      <c r="F348" s="9" t="s">
        <v>1983</v>
      </c>
      <c r="G348" s="9">
        <v>34280</v>
      </c>
      <c r="H348" s="9" t="s">
        <v>1953</v>
      </c>
      <c r="I348" s="9">
        <v>193</v>
      </c>
      <c r="J348" s="9">
        <v>13</v>
      </c>
      <c r="K348" s="9">
        <v>1</v>
      </c>
    </row>
    <row r="349" spans="1:11" x14ac:dyDescent="0.4">
      <c r="A349" s="9" t="s">
        <v>317</v>
      </c>
      <c r="B349" s="9" t="s">
        <v>264</v>
      </c>
      <c r="C349" s="9">
        <v>10</v>
      </c>
      <c r="D349" s="9" t="s">
        <v>686</v>
      </c>
      <c r="E349" s="9" t="s">
        <v>1984</v>
      </c>
      <c r="F349" s="9" t="s">
        <v>1986</v>
      </c>
      <c r="G349" s="9">
        <v>33471</v>
      </c>
      <c r="H349" s="9" t="s">
        <v>1344</v>
      </c>
      <c r="I349" s="9">
        <v>180</v>
      </c>
      <c r="J349" s="9">
        <v>72</v>
      </c>
      <c r="K349" s="9">
        <v>16</v>
      </c>
    </row>
    <row r="350" spans="1:11" x14ac:dyDescent="0.4">
      <c r="A350" s="9" t="s">
        <v>317</v>
      </c>
      <c r="B350" s="9" t="s">
        <v>264</v>
      </c>
      <c r="C350" s="9">
        <v>11</v>
      </c>
      <c r="D350" s="9" t="s">
        <v>691</v>
      </c>
      <c r="E350" s="9" t="s">
        <v>1987</v>
      </c>
      <c r="F350" s="9" t="s">
        <v>1989</v>
      </c>
      <c r="G350" s="9">
        <v>37344</v>
      </c>
      <c r="H350" s="9" t="s">
        <v>1990</v>
      </c>
      <c r="I350" s="9">
        <v>164</v>
      </c>
      <c r="J350" s="9">
        <v>27</v>
      </c>
      <c r="K350" s="9">
        <v>4</v>
      </c>
    </row>
    <row r="351" spans="1:11" x14ac:dyDescent="0.4">
      <c r="A351" s="9" t="s">
        <v>317</v>
      </c>
      <c r="B351" s="9" t="s">
        <v>264</v>
      </c>
      <c r="C351" s="9">
        <v>12</v>
      </c>
      <c r="D351" s="9" t="s">
        <v>691</v>
      </c>
      <c r="E351" s="9" t="s">
        <v>1991</v>
      </c>
      <c r="F351" s="9" t="s">
        <v>1993</v>
      </c>
      <c r="G351" s="9">
        <v>37394</v>
      </c>
      <c r="H351" s="9" t="s">
        <v>1386</v>
      </c>
      <c r="I351" s="9">
        <v>176</v>
      </c>
      <c r="J351" s="9">
        <v>6</v>
      </c>
      <c r="K351" s="9">
        <v>1</v>
      </c>
    </row>
    <row r="352" spans="1:11" x14ac:dyDescent="0.4">
      <c r="A352" s="9" t="s">
        <v>317</v>
      </c>
      <c r="B352" s="9" t="s">
        <v>264</v>
      </c>
      <c r="C352" s="9">
        <v>13</v>
      </c>
      <c r="D352" s="9" t="s">
        <v>691</v>
      </c>
      <c r="E352" s="9" t="s">
        <v>1994</v>
      </c>
      <c r="F352" s="9" t="s">
        <v>1996</v>
      </c>
      <c r="G352" s="9">
        <v>37510</v>
      </c>
      <c r="H352" s="9" t="s">
        <v>1997</v>
      </c>
      <c r="I352" s="9">
        <v>182</v>
      </c>
      <c r="J352" s="9">
        <v>7</v>
      </c>
      <c r="K352" s="9">
        <v>1</v>
      </c>
    </row>
    <row r="353" spans="1:11" x14ac:dyDescent="0.4">
      <c r="A353" s="9" t="s">
        <v>317</v>
      </c>
      <c r="B353" s="9" t="s">
        <v>264</v>
      </c>
      <c r="C353" s="9">
        <v>14</v>
      </c>
      <c r="D353" s="9" t="s">
        <v>691</v>
      </c>
      <c r="E353" s="9" t="s">
        <v>1998</v>
      </c>
      <c r="F353" s="9" t="s">
        <v>2000</v>
      </c>
      <c r="G353" s="9">
        <v>34606</v>
      </c>
      <c r="H353" s="9" t="s">
        <v>2001</v>
      </c>
      <c r="I353" s="9">
        <v>174</v>
      </c>
      <c r="J353" s="9">
        <v>38</v>
      </c>
      <c r="K353" s="9">
        <v>6</v>
      </c>
    </row>
    <row r="354" spans="1:11" x14ac:dyDescent="0.4">
      <c r="A354" s="9" t="s">
        <v>317</v>
      </c>
      <c r="B354" s="9" t="s">
        <v>264</v>
      </c>
      <c r="C354" s="9">
        <v>15</v>
      </c>
      <c r="D354" s="9" t="s">
        <v>686</v>
      </c>
      <c r="E354" s="9" t="s">
        <v>2002</v>
      </c>
      <c r="F354" s="9" t="s">
        <v>2004</v>
      </c>
      <c r="G354" s="9">
        <v>37868</v>
      </c>
      <c r="H354" s="9" t="s">
        <v>2005</v>
      </c>
      <c r="I354" s="9">
        <v>180</v>
      </c>
      <c r="J354" s="9">
        <v>9</v>
      </c>
      <c r="K354" s="9">
        <v>2</v>
      </c>
    </row>
    <row r="355" spans="1:11" x14ac:dyDescent="0.4">
      <c r="A355" s="9" t="s">
        <v>317</v>
      </c>
      <c r="B355" s="9" t="s">
        <v>264</v>
      </c>
      <c r="C355" s="9">
        <v>16</v>
      </c>
      <c r="D355" s="9" t="s">
        <v>691</v>
      </c>
      <c r="E355" s="9" t="s">
        <v>2006</v>
      </c>
      <c r="F355" s="9" t="s">
        <v>2008</v>
      </c>
      <c r="G355" s="9">
        <v>36626</v>
      </c>
      <c r="H355" s="9" t="s">
        <v>2009</v>
      </c>
      <c r="I355" s="9">
        <v>181</v>
      </c>
      <c r="J355" s="9">
        <v>22</v>
      </c>
      <c r="K355" s="9">
        <v>5</v>
      </c>
    </row>
    <row r="356" spans="1:11" x14ac:dyDescent="0.4">
      <c r="A356" s="9" t="s">
        <v>317</v>
      </c>
      <c r="B356" s="9" t="s">
        <v>264</v>
      </c>
      <c r="C356" s="9">
        <v>17</v>
      </c>
      <c r="D356" s="9" t="s">
        <v>691</v>
      </c>
      <c r="E356" s="9" t="s">
        <v>2010</v>
      </c>
      <c r="F356" s="9" t="s">
        <v>2012</v>
      </c>
      <c r="G356" s="9">
        <v>33866</v>
      </c>
      <c r="H356" s="9" t="s">
        <v>1975</v>
      </c>
      <c r="I356" s="9">
        <v>181</v>
      </c>
      <c r="J356" s="9">
        <v>35</v>
      </c>
      <c r="K356" s="9">
        <v>2</v>
      </c>
    </row>
    <row r="357" spans="1:11" x14ac:dyDescent="0.4">
      <c r="A357" s="9" t="s">
        <v>317</v>
      </c>
      <c r="B357" s="9" t="s">
        <v>264</v>
      </c>
      <c r="C357" s="9">
        <v>18</v>
      </c>
      <c r="D357" s="9" t="s">
        <v>669</v>
      </c>
      <c r="E357" s="9" t="s">
        <v>2013</v>
      </c>
      <c r="F357" s="9" t="s">
        <v>2015</v>
      </c>
      <c r="G357" s="9">
        <v>36224</v>
      </c>
      <c r="H357" s="9" t="s">
        <v>956</v>
      </c>
      <c r="I357" s="9">
        <v>185</v>
      </c>
      <c r="J357" s="9">
        <v>6</v>
      </c>
      <c r="K357" s="9">
        <v>0</v>
      </c>
    </row>
    <row r="358" spans="1:11" x14ac:dyDescent="0.4">
      <c r="A358" s="9" t="s">
        <v>317</v>
      </c>
      <c r="B358" s="9" t="s">
        <v>264</v>
      </c>
      <c r="C358" s="9">
        <v>19</v>
      </c>
      <c r="D358" s="9" t="s">
        <v>691</v>
      </c>
      <c r="E358" s="9" t="s">
        <v>2016</v>
      </c>
      <c r="F358" s="9" t="s">
        <v>2018</v>
      </c>
      <c r="G358" s="9">
        <v>35225</v>
      </c>
      <c r="H358" s="9" t="s">
        <v>2019</v>
      </c>
      <c r="I358" s="9">
        <v>189</v>
      </c>
      <c r="J358" s="9">
        <v>29</v>
      </c>
      <c r="K358" s="9">
        <v>9</v>
      </c>
    </row>
    <row r="359" spans="1:11" x14ac:dyDescent="0.4">
      <c r="A359" s="9" t="s">
        <v>317</v>
      </c>
      <c r="B359" s="9" t="s">
        <v>264</v>
      </c>
      <c r="C359" s="9">
        <v>20</v>
      </c>
      <c r="D359" s="9" t="s">
        <v>669</v>
      </c>
      <c r="E359" s="9" t="s">
        <v>2020</v>
      </c>
      <c r="F359" s="9" t="s">
        <v>2022</v>
      </c>
      <c r="G359" s="9">
        <v>34413</v>
      </c>
      <c r="H359" s="9" t="s">
        <v>2023</v>
      </c>
      <c r="I359" s="9">
        <v>181</v>
      </c>
      <c r="J359" s="9">
        <v>18</v>
      </c>
      <c r="K359" s="9">
        <v>2</v>
      </c>
    </row>
    <row r="360" spans="1:11" x14ac:dyDescent="0.4">
      <c r="A360" s="9" t="s">
        <v>317</v>
      </c>
      <c r="B360" s="9" t="s">
        <v>264</v>
      </c>
      <c r="C360" s="9">
        <v>21</v>
      </c>
      <c r="D360" s="9" t="s">
        <v>686</v>
      </c>
      <c r="E360" s="9" t="s">
        <v>2024</v>
      </c>
      <c r="F360" s="9" t="s">
        <v>2026</v>
      </c>
      <c r="G360" s="9">
        <v>36498</v>
      </c>
      <c r="H360" s="9" t="s">
        <v>2027</v>
      </c>
      <c r="I360" s="9">
        <v>185</v>
      </c>
      <c r="J360" s="9">
        <v>6</v>
      </c>
      <c r="K360" s="9">
        <v>3</v>
      </c>
    </row>
    <row r="361" spans="1:11" x14ac:dyDescent="0.4">
      <c r="A361" s="9" t="s">
        <v>317</v>
      </c>
      <c r="B361" s="9" t="s">
        <v>264</v>
      </c>
      <c r="C361" s="9">
        <v>22</v>
      </c>
      <c r="D361" s="9" t="s">
        <v>686</v>
      </c>
      <c r="E361" s="9" t="s">
        <v>2028</v>
      </c>
      <c r="F361" s="9" t="s">
        <v>2030</v>
      </c>
      <c r="G361" s="9">
        <v>36475</v>
      </c>
      <c r="H361" s="9" t="s">
        <v>2031</v>
      </c>
      <c r="I361" s="9">
        <v>174</v>
      </c>
      <c r="J361" s="9">
        <v>19</v>
      </c>
      <c r="K361" s="9">
        <v>1</v>
      </c>
    </row>
    <row r="362" spans="1:11" x14ac:dyDescent="0.4">
      <c r="A362" s="9" t="s">
        <v>317</v>
      </c>
      <c r="B362" s="9" t="s">
        <v>264</v>
      </c>
      <c r="C362" s="9">
        <v>23</v>
      </c>
      <c r="D362" s="9" t="s">
        <v>669</v>
      </c>
      <c r="E362" s="9" t="s">
        <v>2032</v>
      </c>
      <c r="F362" s="9" t="s">
        <v>2034</v>
      </c>
      <c r="G362" s="9">
        <v>35350</v>
      </c>
      <c r="H362" s="9" t="s">
        <v>2035</v>
      </c>
      <c r="I362" s="9">
        <v>184</v>
      </c>
      <c r="J362" s="9">
        <v>5</v>
      </c>
      <c r="K362" s="9">
        <v>0</v>
      </c>
    </row>
    <row r="363" spans="1:11" x14ac:dyDescent="0.4">
      <c r="A363" s="9" t="s">
        <v>317</v>
      </c>
      <c r="B363" s="9" t="s">
        <v>264</v>
      </c>
      <c r="C363" s="9">
        <v>24</v>
      </c>
      <c r="D363" s="9" t="s">
        <v>669</v>
      </c>
      <c r="E363" s="9" t="s">
        <v>2036</v>
      </c>
      <c r="F363" s="9" t="s">
        <v>2038</v>
      </c>
      <c r="G363" s="9">
        <v>37757</v>
      </c>
      <c r="H363" s="9" t="s">
        <v>2039</v>
      </c>
      <c r="I363" s="9">
        <v>188</v>
      </c>
      <c r="J363" s="9">
        <v>2</v>
      </c>
      <c r="K363" s="9">
        <v>0</v>
      </c>
    </row>
    <row r="364" spans="1:11" x14ac:dyDescent="0.4">
      <c r="A364" s="9" t="s">
        <v>317</v>
      </c>
      <c r="B364" s="9" t="s">
        <v>264</v>
      </c>
      <c r="C364" s="9">
        <v>25</v>
      </c>
      <c r="D364" s="9" t="s">
        <v>664</v>
      </c>
      <c r="E364" s="9" t="s">
        <v>2040</v>
      </c>
      <c r="F364" s="9" t="s">
        <v>2042</v>
      </c>
      <c r="G364" s="9">
        <v>37391</v>
      </c>
      <c r="H364" s="9" t="s">
        <v>1997</v>
      </c>
      <c r="I364" s="9">
        <v>190</v>
      </c>
      <c r="J364" s="9">
        <v>4</v>
      </c>
      <c r="K364" s="9">
        <v>0</v>
      </c>
    </row>
    <row r="365" spans="1:11" x14ac:dyDescent="0.4">
      <c r="A365" s="9" t="s">
        <v>317</v>
      </c>
      <c r="B365" s="9" t="s">
        <v>264</v>
      </c>
      <c r="C365" s="9">
        <v>26</v>
      </c>
      <c r="D365" s="9" t="s">
        <v>664</v>
      </c>
      <c r="E365" s="9" t="s">
        <v>2043</v>
      </c>
      <c r="F365" s="9" t="s">
        <v>2045</v>
      </c>
      <c r="G365" s="9">
        <v>36347</v>
      </c>
      <c r="H365" s="9" t="s">
        <v>2046</v>
      </c>
      <c r="I365" s="9">
        <v>188</v>
      </c>
      <c r="J365" s="9">
        <v>8</v>
      </c>
      <c r="K365" s="9">
        <v>0</v>
      </c>
    </row>
    <row r="366" spans="1:11" x14ac:dyDescent="0.4">
      <c r="A366" s="9" t="s">
        <v>304</v>
      </c>
      <c r="B366" s="9" t="s">
        <v>254</v>
      </c>
      <c r="C366" s="9">
        <v>1</v>
      </c>
      <c r="D366" s="9" t="s">
        <v>664</v>
      </c>
      <c r="E366" s="9" t="s">
        <v>2047</v>
      </c>
      <c r="F366" s="9" t="s">
        <v>2049</v>
      </c>
      <c r="G366" s="9">
        <v>36663</v>
      </c>
      <c r="H366" s="9" t="s">
        <v>956</v>
      </c>
      <c r="I366" s="9">
        <v>196</v>
      </c>
      <c r="J366" s="9">
        <v>20</v>
      </c>
      <c r="K366" s="9">
        <v>0</v>
      </c>
    </row>
    <row r="367" spans="1:11" x14ac:dyDescent="0.4">
      <c r="A367" s="9" t="s">
        <v>304</v>
      </c>
      <c r="B367" s="9" t="s">
        <v>254</v>
      </c>
      <c r="C367" s="9">
        <v>2</v>
      </c>
      <c r="D367" s="9" t="s">
        <v>669</v>
      </c>
      <c r="E367" s="9" t="s">
        <v>2050</v>
      </c>
      <c r="F367" s="9" t="s">
        <v>2051</v>
      </c>
      <c r="G367" s="9">
        <v>36838</v>
      </c>
      <c r="H367" s="9" t="s">
        <v>2052</v>
      </c>
      <c r="I367" s="9">
        <v>190</v>
      </c>
      <c r="J367" s="9">
        <v>25</v>
      </c>
      <c r="K367" s="9">
        <v>1</v>
      </c>
    </row>
    <row r="368" spans="1:11" x14ac:dyDescent="0.4">
      <c r="A368" s="9" t="s">
        <v>304</v>
      </c>
      <c r="B368" s="9" t="s">
        <v>254</v>
      </c>
      <c r="C368" s="9">
        <v>3</v>
      </c>
      <c r="D368" s="9" t="s">
        <v>669</v>
      </c>
      <c r="E368" s="9" t="s">
        <v>2053</v>
      </c>
      <c r="F368" s="9" t="s">
        <v>2055</v>
      </c>
      <c r="G368" s="9">
        <v>34059</v>
      </c>
      <c r="H368" s="9" t="s">
        <v>2052</v>
      </c>
      <c r="I368" s="9">
        <v>180</v>
      </c>
      <c r="J368" s="9">
        <v>41</v>
      </c>
      <c r="K368" s="9">
        <v>2</v>
      </c>
    </row>
    <row r="369" spans="1:11" x14ac:dyDescent="0.4">
      <c r="A369" s="9" t="s">
        <v>304</v>
      </c>
      <c r="B369" s="9" t="s">
        <v>254</v>
      </c>
      <c r="C369" s="9">
        <v>4</v>
      </c>
      <c r="D369" s="9" t="s">
        <v>669</v>
      </c>
      <c r="E369" s="9" t="s">
        <v>2056</v>
      </c>
      <c r="F369" s="9" t="s">
        <v>2058</v>
      </c>
      <c r="G369" s="9">
        <v>36554</v>
      </c>
      <c r="H369" s="9" t="s">
        <v>949</v>
      </c>
      <c r="I369" s="9">
        <v>189</v>
      </c>
      <c r="J369" s="9">
        <v>14</v>
      </c>
      <c r="K369" s="9">
        <v>1</v>
      </c>
    </row>
    <row r="370" spans="1:11" x14ac:dyDescent="0.4">
      <c r="A370" s="9" t="s">
        <v>304</v>
      </c>
      <c r="B370" s="9" t="s">
        <v>254</v>
      </c>
      <c r="C370" s="9">
        <v>5</v>
      </c>
      <c r="D370" s="9" t="s">
        <v>669</v>
      </c>
      <c r="E370" s="9" t="s">
        <v>2059</v>
      </c>
      <c r="F370" s="9" t="s">
        <v>2061</v>
      </c>
      <c r="G370" s="9">
        <v>33838</v>
      </c>
      <c r="H370" s="9" t="s">
        <v>949</v>
      </c>
      <c r="I370" s="9">
        <v>175</v>
      </c>
      <c r="J370" s="9">
        <v>62</v>
      </c>
      <c r="K370" s="9">
        <v>2</v>
      </c>
    </row>
    <row r="371" spans="1:11" x14ac:dyDescent="0.4">
      <c r="A371" s="9" t="s">
        <v>304</v>
      </c>
      <c r="B371" s="9" t="s">
        <v>254</v>
      </c>
      <c r="C371" s="9">
        <v>6</v>
      </c>
      <c r="D371" s="9" t="s">
        <v>669</v>
      </c>
      <c r="E371" s="9" t="s">
        <v>2062</v>
      </c>
      <c r="F371" s="9" t="s">
        <v>2064</v>
      </c>
      <c r="G371" s="9">
        <v>37688</v>
      </c>
      <c r="H371" s="9" t="s">
        <v>2052</v>
      </c>
      <c r="I371" s="9">
        <v>188</v>
      </c>
      <c r="J371" s="9">
        <v>5</v>
      </c>
      <c r="K371" s="9">
        <v>0</v>
      </c>
    </row>
    <row r="372" spans="1:11" x14ac:dyDescent="0.4">
      <c r="A372" s="9" t="s">
        <v>304</v>
      </c>
      <c r="B372" s="9" t="s">
        <v>254</v>
      </c>
      <c r="C372" s="9">
        <v>7</v>
      </c>
      <c r="D372" s="9" t="s">
        <v>669</v>
      </c>
      <c r="E372" s="9" t="s">
        <v>2065</v>
      </c>
      <c r="F372" s="9" t="s">
        <v>2067</v>
      </c>
      <c r="G372" s="9">
        <v>36270</v>
      </c>
      <c r="H372" s="9" t="s">
        <v>2068</v>
      </c>
      <c r="I372" s="9">
        <v>191</v>
      </c>
      <c r="J372" s="9">
        <v>27</v>
      </c>
      <c r="K372" s="9">
        <v>5</v>
      </c>
    </row>
    <row r="373" spans="1:11" x14ac:dyDescent="0.4">
      <c r="A373" s="9" t="s">
        <v>304</v>
      </c>
      <c r="B373" s="9" t="s">
        <v>254</v>
      </c>
      <c r="C373" s="9">
        <v>8</v>
      </c>
      <c r="D373" s="9" t="s">
        <v>686</v>
      </c>
      <c r="E373" s="9" t="s">
        <v>2069</v>
      </c>
      <c r="F373" s="9" t="s">
        <v>2070</v>
      </c>
      <c r="G373" s="9">
        <v>33093</v>
      </c>
      <c r="H373" s="9" t="s">
        <v>2071</v>
      </c>
      <c r="I373" s="9">
        <v>172</v>
      </c>
      <c r="J373" s="9">
        <v>79</v>
      </c>
      <c r="K373" s="9">
        <v>8</v>
      </c>
    </row>
    <row r="374" spans="1:11" x14ac:dyDescent="0.4">
      <c r="A374" s="9" t="s">
        <v>304</v>
      </c>
      <c r="B374" s="9" t="s">
        <v>254</v>
      </c>
      <c r="C374" s="9">
        <v>9</v>
      </c>
      <c r="D374" s="9" t="s">
        <v>691</v>
      </c>
      <c r="E374" s="9" t="s">
        <v>2072</v>
      </c>
      <c r="F374" s="9" t="s">
        <v>2074</v>
      </c>
      <c r="G374" s="9">
        <v>37462</v>
      </c>
      <c r="H374" s="9" t="s">
        <v>949</v>
      </c>
      <c r="I374" s="9">
        <v>188</v>
      </c>
      <c r="J374" s="9">
        <v>43</v>
      </c>
      <c r="K374" s="9">
        <v>5</v>
      </c>
    </row>
    <row r="375" spans="1:11" x14ac:dyDescent="0.4">
      <c r="A375" s="9" t="s">
        <v>304</v>
      </c>
      <c r="B375" s="9" t="s">
        <v>254</v>
      </c>
      <c r="C375" s="9">
        <v>10</v>
      </c>
      <c r="D375" s="9" t="s">
        <v>691</v>
      </c>
      <c r="E375" s="9" t="s">
        <v>2075</v>
      </c>
      <c r="F375" s="9" t="s">
        <v>2077</v>
      </c>
      <c r="G375" s="9">
        <v>35088</v>
      </c>
      <c r="H375" s="9" t="s">
        <v>753</v>
      </c>
      <c r="I375" s="9">
        <v>191</v>
      </c>
      <c r="J375" s="9">
        <v>53</v>
      </c>
      <c r="K375" s="9">
        <v>26</v>
      </c>
    </row>
    <row r="376" spans="1:11" x14ac:dyDescent="0.4">
      <c r="A376" s="9" t="s">
        <v>304</v>
      </c>
      <c r="B376" s="9" t="s">
        <v>254</v>
      </c>
      <c r="C376" s="9">
        <v>11</v>
      </c>
      <c r="D376" s="9" t="s">
        <v>691</v>
      </c>
      <c r="E376" s="9" t="s">
        <v>2078</v>
      </c>
      <c r="F376" s="9" t="s">
        <v>2080</v>
      </c>
      <c r="G376" s="9">
        <v>35438</v>
      </c>
      <c r="H376" s="9" t="s">
        <v>2081</v>
      </c>
      <c r="I376" s="9">
        <v>185</v>
      </c>
      <c r="J376" s="9">
        <v>31</v>
      </c>
      <c r="K376" s="9">
        <v>3</v>
      </c>
    </row>
    <row r="377" spans="1:11" x14ac:dyDescent="0.4">
      <c r="A377" s="9" t="s">
        <v>304</v>
      </c>
      <c r="B377" s="9" t="s">
        <v>254</v>
      </c>
      <c r="C377" s="9">
        <v>12</v>
      </c>
      <c r="D377" s="9" t="s">
        <v>686</v>
      </c>
      <c r="E377" s="9" t="s">
        <v>2082</v>
      </c>
      <c r="F377" s="9" t="s">
        <v>2084</v>
      </c>
      <c r="G377" s="9">
        <v>36991</v>
      </c>
      <c r="H377" s="9" t="s">
        <v>912</v>
      </c>
      <c r="I377" s="9">
        <v>182</v>
      </c>
      <c r="J377" s="9">
        <v>17</v>
      </c>
      <c r="K377" s="9">
        <v>2</v>
      </c>
    </row>
    <row r="378" spans="1:11" x14ac:dyDescent="0.4">
      <c r="A378" s="9" t="s">
        <v>304</v>
      </c>
      <c r="B378" s="9" t="s">
        <v>254</v>
      </c>
      <c r="C378" s="9">
        <v>13</v>
      </c>
      <c r="D378" s="9" t="s">
        <v>691</v>
      </c>
      <c r="E378" s="9" t="s">
        <v>2085</v>
      </c>
      <c r="F378" s="9" t="s">
        <v>2087</v>
      </c>
      <c r="G378" s="9">
        <v>36279</v>
      </c>
      <c r="H378" s="9" t="s">
        <v>2052</v>
      </c>
      <c r="I378" s="9">
        <v>187</v>
      </c>
      <c r="J378" s="9">
        <v>22</v>
      </c>
      <c r="K378" s="9">
        <v>6</v>
      </c>
    </row>
    <row r="379" spans="1:11" x14ac:dyDescent="0.4">
      <c r="A379" s="9" t="s">
        <v>304</v>
      </c>
      <c r="B379" s="9" t="s">
        <v>254</v>
      </c>
      <c r="C379" s="9">
        <v>14</v>
      </c>
      <c r="D379" s="9" t="s">
        <v>669</v>
      </c>
      <c r="E379" s="9" t="s">
        <v>2088</v>
      </c>
      <c r="F379" s="9" t="s">
        <v>2089</v>
      </c>
      <c r="G379" s="9">
        <v>36745</v>
      </c>
      <c r="H379" s="9" t="s">
        <v>2052</v>
      </c>
      <c r="I379" s="9">
        <v>183</v>
      </c>
      <c r="J379" s="9">
        <v>18</v>
      </c>
      <c r="K379" s="9">
        <v>1</v>
      </c>
    </row>
    <row r="380" spans="1:11" x14ac:dyDescent="0.4">
      <c r="A380" s="9" t="s">
        <v>304</v>
      </c>
      <c r="B380" s="9" t="s">
        <v>254</v>
      </c>
      <c r="C380" s="9">
        <v>15</v>
      </c>
      <c r="D380" s="9" t="s">
        <v>691</v>
      </c>
      <c r="E380" s="9" t="s">
        <v>2090</v>
      </c>
      <c r="F380" s="9" t="s">
        <v>2092</v>
      </c>
      <c r="G380" s="9">
        <v>36889</v>
      </c>
      <c r="H380" s="9" t="s">
        <v>1225</v>
      </c>
      <c r="I380" s="9">
        <v>177</v>
      </c>
      <c r="J380" s="9">
        <v>21</v>
      </c>
      <c r="K380" s="9">
        <v>5</v>
      </c>
    </row>
    <row r="381" spans="1:11" x14ac:dyDescent="0.4">
      <c r="A381" s="9" t="s">
        <v>304</v>
      </c>
      <c r="B381" s="9" t="s">
        <v>254</v>
      </c>
      <c r="C381" s="9">
        <v>16</v>
      </c>
      <c r="D381" s="9" t="s">
        <v>664</v>
      </c>
      <c r="E381" s="9" t="s">
        <v>2093</v>
      </c>
      <c r="F381" s="9" t="s">
        <v>2095</v>
      </c>
      <c r="G381" s="9">
        <v>35182</v>
      </c>
      <c r="H381" s="9" t="s">
        <v>2052</v>
      </c>
      <c r="I381" s="9">
        <v>192</v>
      </c>
      <c r="J381" s="9">
        <v>14</v>
      </c>
      <c r="K381" s="9">
        <v>0</v>
      </c>
    </row>
    <row r="382" spans="1:11" x14ac:dyDescent="0.4">
      <c r="A382" s="9" t="s">
        <v>304</v>
      </c>
      <c r="B382" s="9" t="s">
        <v>254</v>
      </c>
      <c r="C382" s="9">
        <v>17</v>
      </c>
      <c r="D382" s="9" t="s">
        <v>686</v>
      </c>
      <c r="E382" s="9" t="s">
        <v>2096</v>
      </c>
      <c r="F382" s="9" t="s">
        <v>2097</v>
      </c>
      <c r="G382" s="9">
        <v>35361</v>
      </c>
      <c r="H382" s="9" t="s">
        <v>2052</v>
      </c>
      <c r="I382" s="9">
        <v>191</v>
      </c>
      <c r="J382" s="9">
        <v>38</v>
      </c>
      <c r="K382" s="9">
        <v>3</v>
      </c>
    </row>
    <row r="383" spans="1:11" x14ac:dyDescent="0.4">
      <c r="A383" s="9" t="s">
        <v>304</v>
      </c>
      <c r="B383" s="9" t="s">
        <v>254</v>
      </c>
      <c r="C383" s="9">
        <v>18</v>
      </c>
      <c r="D383" s="9" t="s">
        <v>686</v>
      </c>
      <c r="E383" s="9" t="s">
        <v>2098</v>
      </c>
      <c r="F383" s="9" t="s">
        <v>2100</v>
      </c>
      <c r="G383" s="9">
        <v>36311</v>
      </c>
      <c r="H383" s="9" t="s">
        <v>2052</v>
      </c>
      <c r="I383" s="9">
        <v>169</v>
      </c>
      <c r="J383" s="9">
        <v>35</v>
      </c>
      <c r="K383" s="9">
        <v>1</v>
      </c>
    </row>
    <row r="384" spans="1:11" x14ac:dyDescent="0.4">
      <c r="A384" s="9" t="s">
        <v>304</v>
      </c>
      <c r="B384" s="9" t="s">
        <v>254</v>
      </c>
      <c r="C384" s="9">
        <v>19</v>
      </c>
      <c r="D384" s="9" t="s">
        <v>691</v>
      </c>
      <c r="E384" s="9" t="s">
        <v>2101</v>
      </c>
      <c r="F384" s="9" t="s">
        <v>2102</v>
      </c>
      <c r="G384" s="9">
        <v>34725</v>
      </c>
      <c r="H384" s="9" t="s">
        <v>2052</v>
      </c>
      <c r="I384" s="9">
        <v>199</v>
      </c>
      <c r="J384" s="9">
        <v>22</v>
      </c>
      <c r="K384" s="9">
        <v>7</v>
      </c>
    </row>
    <row r="385" spans="1:11" x14ac:dyDescent="0.4">
      <c r="A385" s="9" t="s">
        <v>304</v>
      </c>
      <c r="B385" s="9" t="s">
        <v>254</v>
      </c>
      <c r="C385" s="9">
        <v>20</v>
      </c>
      <c r="D385" s="9" t="s">
        <v>669</v>
      </c>
      <c r="E385" s="9" t="s">
        <v>2103</v>
      </c>
      <c r="F385" s="9" t="s">
        <v>2105</v>
      </c>
      <c r="G385" s="9">
        <v>33836</v>
      </c>
      <c r="H385" s="9" t="s">
        <v>2081</v>
      </c>
      <c r="I385" s="9">
        <v>190</v>
      </c>
      <c r="J385" s="9">
        <v>23</v>
      </c>
      <c r="K385" s="9">
        <v>0</v>
      </c>
    </row>
    <row r="386" spans="1:11" x14ac:dyDescent="0.4">
      <c r="A386" s="9" t="s">
        <v>304</v>
      </c>
      <c r="B386" s="9" t="s">
        <v>254</v>
      </c>
      <c r="C386" s="9">
        <v>21</v>
      </c>
      <c r="D386" s="9" t="s">
        <v>669</v>
      </c>
      <c r="E386" s="9" t="s">
        <v>2106</v>
      </c>
      <c r="F386" s="9" t="s">
        <v>2107</v>
      </c>
      <c r="G386" s="9">
        <v>35946</v>
      </c>
      <c r="H386" s="9" t="s">
        <v>2052</v>
      </c>
      <c r="I386" s="9">
        <v>175</v>
      </c>
      <c r="J386" s="9">
        <v>17</v>
      </c>
      <c r="K386" s="9">
        <v>2</v>
      </c>
    </row>
    <row r="387" spans="1:11" x14ac:dyDescent="0.4">
      <c r="A387" s="9" t="s">
        <v>304</v>
      </c>
      <c r="B387" s="9" t="s">
        <v>254</v>
      </c>
      <c r="C387" s="9">
        <v>22</v>
      </c>
      <c r="D387" s="9" t="s">
        <v>686</v>
      </c>
      <c r="E387" s="9" t="s">
        <v>2108</v>
      </c>
      <c r="F387" s="9" t="s">
        <v>2109</v>
      </c>
      <c r="G387" s="9">
        <v>34757</v>
      </c>
      <c r="H387" s="9" t="s">
        <v>1687</v>
      </c>
      <c r="I387" s="9">
        <v>192</v>
      </c>
      <c r="J387" s="9">
        <v>90</v>
      </c>
      <c r="K387" s="9">
        <v>17</v>
      </c>
    </row>
    <row r="388" spans="1:11" x14ac:dyDescent="0.4">
      <c r="A388" s="9" t="s">
        <v>304</v>
      </c>
      <c r="B388" s="9" t="s">
        <v>254</v>
      </c>
      <c r="C388" s="9">
        <v>23</v>
      </c>
      <c r="D388" s="9" t="s">
        <v>664</v>
      </c>
      <c r="E388" s="9" t="s">
        <v>2110</v>
      </c>
      <c r="F388" s="9" t="s">
        <v>2111</v>
      </c>
      <c r="G388" s="9">
        <v>37450</v>
      </c>
      <c r="H388" s="9" t="s">
        <v>905</v>
      </c>
      <c r="I388" s="9">
        <v>198</v>
      </c>
      <c r="J388" s="9">
        <v>1</v>
      </c>
      <c r="K388" s="9">
        <v>0</v>
      </c>
    </row>
    <row r="389" spans="1:11" x14ac:dyDescent="0.4">
      <c r="A389" s="9" t="s">
        <v>304</v>
      </c>
      <c r="B389" s="9" t="s">
        <v>254</v>
      </c>
      <c r="C389" s="9">
        <v>24</v>
      </c>
      <c r="D389" s="9" t="s">
        <v>686</v>
      </c>
      <c r="E389" s="9" t="s">
        <v>2112</v>
      </c>
      <c r="F389" s="9" t="s">
        <v>2114</v>
      </c>
      <c r="G389" s="9">
        <v>37713</v>
      </c>
      <c r="H389" s="9" t="s">
        <v>912</v>
      </c>
      <c r="I389" s="9">
        <v>188</v>
      </c>
      <c r="J389" s="9">
        <v>2</v>
      </c>
      <c r="K389" s="9">
        <v>0</v>
      </c>
    </row>
    <row r="390" spans="1:11" x14ac:dyDescent="0.4">
      <c r="A390" s="9" t="s">
        <v>304</v>
      </c>
      <c r="B390" s="9" t="s">
        <v>254</v>
      </c>
      <c r="C390" s="9">
        <v>25</v>
      </c>
      <c r="D390" s="9" t="s">
        <v>686</v>
      </c>
      <c r="E390" s="9" t="s">
        <v>2115</v>
      </c>
      <c r="F390" s="9" t="s">
        <v>2117</v>
      </c>
      <c r="G390" s="9">
        <v>39606</v>
      </c>
      <c r="H390" s="9" t="s">
        <v>2081</v>
      </c>
      <c r="I390" s="9">
        <v>183</v>
      </c>
      <c r="J390" s="9">
        <v>1</v>
      </c>
      <c r="K390" s="9">
        <v>0</v>
      </c>
    </row>
    <row r="391" spans="1:11" x14ac:dyDescent="0.4">
      <c r="A391" s="9" t="s">
        <v>304</v>
      </c>
      <c r="B391" s="9" t="s">
        <v>254</v>
      </c>
      <c r="C391" s="9">
        <v>26</v>
      </c>
      <c r="D391" s="9" t="s">
        <v>691</v>
      </c>
      <c r="E391" s="9" t="s">
        <v>2118</v>
      </c>
      <c r="F391" s="9" t="s">
        <v>2120</v>
      </c>
      <c r="G391" s="9">
        <v>37701</v>
      </c>
      <c r="H391" s="9" t="s">
        <v>912</v>
      </c>
      <c r="I391" s="9">
        <v>178</v>
      </c>
      <c r="J391" s="9">
        <v>2</v>
      </c>
      <c r="K391" s="9">
        <v>1</v>
      </c>
    </row>
    <row r="392" spans="1:11" x14ac:dyDescent="0.4">
      <c r="A392" s="9" t="s">
        <v>309</v>
      </c>
      <c r="B392" s="9" t="s">
        <v>35</v>
      </c>
      <c r="C392" s="9">
        <v>1</v>
      </c>
      <c r="D392" s="9" t="s">
        <v>664</v>
      </c>
      <c r="E392" s="9" t="s">
        <v>2121</v>
      </c>
      <c r="F392" s="9" t="s">
        <v>2123</v>
      </c>
      <c r="G392" s="9">
        <v>31866</v>
      </c>
      <c r="H392" s="9" t="s">
        <v>2124</v>
      </c>
      <c r="I392" s="9">
        <v>189</v>
      </c>
      <c r="J392" s="9">
        <v>35</v>
      </c>
      <c r="K392" s="9">
        <v>0</v>
      </c>
    </row>
    <row r="393" spans="1:11" x14ac:dyDescent="0.4">
      <c r="A393" s="9" t="s">
        <v>309</v>
      </c>
      <c r="B393" s="9" t="s">
        <v>35</v>
      </c>
      <c r="C393" s="9">
        <v>2</v>
      </c>
      <c r="D393" s="9" t="s">
        <v>669</v>
      </c>
      <c r="E393" s="9" t="s">
        <v>2126</v>
      </c>
      <c r="F393" s="9" t="s">
        <v>2128</v>
      </c>
      <c r="G393" s="9">
        <v>35441</v>
      </c>
      <c r="H393" s="9" t="s">
        <v>2129</v>
      </c>
      <c r="I393" s="9">
        <v>187</v>
      </c>
      <c r="J393" s="9">
        <v>49</v>
      </c>
      <c r="K393" s="9">
        <v>5</v>
      </c>
    </row>
    <row r="394" spans="1:11" x14ac:dyDescent="0.4">
      <c r="A394" s="9" t="s">
        <v>309</v>
      </c>
      <c r="B394" s="9" t="s">
        <v>35</v>
      </c>
      <c r="C394" s="9">
        <v>3</v>
      </c>
      <c r="D394" s="9" t="s">
        <v>669</v>
      </c>
      <c r="E394" s="9" t="s">
        <v>2131</v>
      </c>
      <c r="F394" s="9" t="s">
        <v>2133</v>
      </c>
      <c r="G394" s="9">
        <v>37265</v>
      </c>
      <c r="H394" s="9" t="s">
        <v>1000</v>
      </c>
      <c r="I394" s="9">
        <v>183</v>
      </c>
      <c r="J394" s="9">
        <v>52</v>
      </c>
      <c r="K394" s="9">
        <v>3</v>
      </c>
    </row>
    <row r="395" spans="1:11" x14ac:dyDescent="0.4">
      <c r="A395" s="9" t="s">
        <v>309</v>
      </c>
      <c r="B395" s="9" t="s">
        <v>35</v>
      </c>
      <c r="C395" s="9">
        <v>4</v>
      </c>
      <c r="D395" s="9" t="s">
        <v>669</v>
      </c>
      <c r="E395" s="9" t="s">
        <v>2135</v>
      </c>
      <c r="F395" s="9" t="s">
        <v>2137</v>
      </c>
      <c r="G395" s="9">
        <v>38098</v>
      </c>
      <c r="H395" s="9" t="s">
        <v>977</v>
      </c>
      <c r="I395" s="9">
        <v>188</v>
      </c>
      <c r="J395" s="9">
        <v>17</v>
      </c>
      <c r="K395" s="9">
        <v>0</v>
      </c>
    </row>
    <row r="396" spans="1:11" x14ac:dyDescent="0.4">
      <c r="A396" s="9" t="s">
        <v>309</v>
      </c>
      <c r="B396" s="9" t="s">
        <v>35</v>
      </c>
      <c r="C396" s="9">
        <v>5</v>
      </c>
      <c r="D396" s="9" t="s">
        <v>686</v>
      </c>
      <c r="E396" s="9" t="s">
        <v>2139</v>
      </c>
      <c r="F396" s="9" t="s">
        <v>2141</v>
      </c>
      <c r="G396" s="9">
        <v>36377</v>
      </c>
      <c r="H396" s="9" t="s">
        <v>2142</v>
      </c>
      <c r="I396" s="9">
        <v>168</v>
      </c>
      <c r="J396" s="9">
        <v>11</v>
      </c>
      <c r="K396" s="9">
        <v>1</v>
      </c>
    </row>
    <row r="397" spans="1:11" x14ac:dyDescent="0.4">
      <c r="A397" s="9" t="s">
        <v>309</v>
      </c>
      <c r="B397" s="9" t="s">
        <v>35</v>
      </c>
      <c r="C397" s="9">
        <v>6</v>
      </c>
      <c r="D397" s="9" t="s">
        <v>669</v>
      </c>
      <c r="E397" s="9" t="s">
        <v>2144</v>
      </c>
      <c r="F397" s="9" t="s">
        <v>2146</v>
      </c>
      <c r="G397" s="9">
        <v>37180</v>
      </c>
      <c r="H397" s="9" t="s">
        <v>1165</v>
      </c>
      <c r="I397" s="9">
        <v>188</v>
      </c>
      <c r="J397" s="9">
        <v>34</v>
      </c>
      <c r="K397" s="9">
        <v>2</v>
      </c>
    </row>
    <row r="398" spans="1:11" x14ac:dyDescent="0.4">
      <c r="A398" s="9" t="s">
        <v>309</v>
      </c>
      <c r="B398" s="9" t="s">
        <v>35</v>
      </c>
      <c r="C398" s="9">
        <v>7</v>
      </c>
      <c r="D398" s="9" t="s">
        <v>669</v>
      </c>
      <c r="E398" s="9" t="s">
        <v>2148</v>
      </c>
      <c r="F398" s="9" t="s">
        <v>2150</v>
      </c>
      <c r="G398" s="9">
        <v>35816</v>
      </c>
      <c r="H398" s="9" t="s">
        <v>1023</v>
      </c>
      <c r="I398" s="9">
        <v>175</v>
      </c>
      <c r="J398" s="9">
        <v>54</v>
      </c>
      <c r="K398" s="9">
        <v>5</v>
      </c>
    </row>
    <row r="399" spans="1:11" x14ac:dyDescent="0.4">
      <c r="A399" s="9" t="s">
        <v>309</v>
      </c>
      <c r="B399" s="9" t="s">
        <v>35</v>
      </c>
      <c r="C399" s="9">
        <v>8</v>
      </c>
      <c r="D399" s="9" t="s">
        <v>686</v>
      </c>
      <c r="E399" s="9" t="s">
        <v>2152</v>
      </c>
      <c r="F399" s="9" t="s">
        <v>2154</v>
      </c>
      <c r="G399" s="9">
        <v>37823</v>
      </c>
      <c r="H399" s="9" t="s">
        <v>2155</v>
      </c>
      <c r="I399" s="9">
        <v>173</v>
      </c>
      <c r="J399" s="9">
        <v>3</v>
      </c>
      <c r="K399" s="9">
        <v>1</v>
      </c>
    </row>
    <row r="400" spans="1:11" x14ac:dyDescent="0.4">
      <c r="A400" s="9" t="s">
        <v>309</v>
      </c>
      <c r="B400" s="9" t="s">
        <v>35</v>
      </c>
      <c r="C400" s="9">
        <v>9</v>
      </c>
      <c r="D400" s="9" t="s">
        <v>691</v>
      </c>
      <c r="E400" s="9" t="s">
        <v>2157</v>
      </c>
      <c r="F400" s="9" t="s">
        <v>2159</v>
      </c>
      <c r="G400" s="9">
        <v>36700</v>
      </c>
      <c r="H400" s="9" t="s">
        <v>959</v>
      </c>
      <c r="I400" s="9">
        <v>170</v>
      </c>
      <c r="J400" s="9">
        <v>23</v>
      </c>
      <c r="K400" s="9">
        <v>3</v>
      </c>
    </row>
    <row r="401" spans="1:11" x14ac:dyDescent="0.4">
      <c r="A401" s="9" t="s">
        <v>309</v>
      </c>
      <c r="B401" s="9" t="s">
        <v>35</v>
      </c>
      <c r="C401" s="9">
        <v>10</v>
      </c>
      <c r="D401" s="9" t="s">
        <v>686</v>
      </c>
      <c r="E401" s="9" t="s">
        <v>2160</v>
      </c>
      <c r="F401" s="9" t="s">
        <v>2162</v>
      </c>
      <c r="G401" s="9">
        <v>39206</v>
      </c>
      <c r="H401" s="9" t="s">
        <v>1486</v>
      </c>
      <c r="I401" s="9">
        <v>178</v>
      </c>
      <c r="J401" s="9">
        <v>26</v>
      </c>
      <c r="K401" s="9">
        <v>2</v>
      </c>
    </row>
    <row r="402" spans="1:11" x14ac:dyDescent="0.4">
      <c r="A402" s="9" t="s">
        <v>309</v>
      </c>
      <c r="B402" s="9" t="s">
        <v>35</v>
      </c>
      <c r="C402" s="9">
        <v>11</v>
      </c>
      <c r="D402" s="9" t="s">
        <v>691</v>
      </c>
      <c r="E402" s="9" t="s">
        <v>2164</v>
      </c>
      <c r="F402" s="9" t="s">
        <v>2166</v>
      </c>
      <c r="G402" s="9">
        <v>36589</v>
      </c>
      <c r="H402" s="9" t="s">
        <v>1463</v>
      </c>
      <c r="I402" s="9">
        <v>190</v>
      </c>
      <c r="J402" s="9">
        <v>31</v>
      </c>
      <c r="K402" s="9">
        <v>2</v>
      </c>
    </row>
    <row r="403" spans="1:11" x14ac:dyDescent="0.4">
      <c r="A403" s="9" t="s">
        <v>309</v>
      </c>
      <c r="B403" s="9" t="s">
        <v>35</v>
      </c>
      <c r="C403" s="9">
        <v>12</v>
      </c>
      <c r="D403" s="9" t="s">
        <v>664</v>
      </c>
      <c r="E403" s="9" t="s">
        <v>2168</v>
      </c>
      <c r="F403" s="9" t="s">
        <v>2170</v>
      </c>
      <c r="G403" s="9">
        <v>36778</v>
      </c>
      <c r="H403" s="9" t="s">
        <v>1990</v>
      </c>
      <c r="I403" s="9">
        <v>185</v>
      </c>
      <c r="J403" s="9">
        <v>7</v>
      </c>
      <c r="K403" s="9">
        <v>0</v>
      </c>
    </row>
    <row r="404" spans="1:11" x14ac:dyDescent="0.4">
      <c r="A404" s="9" t="s">
        <v>309</v>
      </c>
      <c r="B404" s="9" t="s">
        <v>35</v>
      </c>
      <c r="C404" s="9">
        <v>13</v>
      </c>
      <c r="D404" s="9" t="s">
        <v>691</v>
      </c>
      <c r="E404" s="9" t="s">
        <v>2172</v>
      </c>
      <c r="F404" s="9" t="s">
        <v>2174</v>
      </c>
      <c r="G404" s="9">
        <v>32816</v>
      </c>
      <c r="H404" s="9" t="s">
        <v>2175</v>
      </c>
      <c r="I404" s="9">
        <v>177</v>
      </c>
      <c r="J404" s="9">
        <v>105</v>
      </c>
      <c r="K404" s="9">
        <v>49</v>
      </c>
    </row>
    <row r="405" spans="1:11" x14ac:dyDescent="0.4">
      <c r="A405" s="9" t="s">
        <v>309</v>
      </c>
      <c r="B405" s="9" t="s">
        <v>35</v>
      </c>
      <c r="C405" s="9">
        <v>14</v>
      </c>
      <c r="D405" s="9" t="s">
        <v>686</v>
      </c>
      <c r="E405" s="9" t="s">
        <v>2177</v>
      </c>
      <c r="F405" s="9" t="s">
        <v>2179</v>
      </c>
      <c r="G405" s="9">
        <v>37755</v>
      </c>
      <c r="H405" s="9" t="s">
        <v>2180</v>
      </c>
      <c r="I405" s="9">
        <v>174</v>
      </c>
      <c r="J405" s="9">
        <v>20</v>
      </c>
      <c r="K405" s="9">
        <v>2</v>
      </c>
    </row>
    <row r="406" spans="1:11" x14ac:dyDescent="0.4">
      <c r="A406" s="9" t="s">
        <v>309</v>
      </c>
      <c r="B406" s="9" t="s">
        <v>35</v>
      </c>
      <c r="C406" s="9">
        <v>15</v>
      </c>
      <c r="D406" s="9" t="s">
        <v>686</v>
      </c>
      <c r="E406" s="9" t="s">
        <v>2182</v>
      </c>
      <c r="F406" s="9" t="s">
        <v>2184</v>
      </c>
      <c r="G406" s="9">
        <v>37324</v>
      </c>
      <c r="H406" s="9" t="s">
        <v>2185</v>
      </c>
      <c r="I406" s="9">
        <v>172</v>
      </c>
      <c r="J406" s="9">
        <v>17</v>
      </c>
      <c r="K406" s="9">
        <v>1</v>
      </c>
    </row>
    <row r="407" spans="1:11" x14ac:dyDescent="0.4">
      <c r="A407" s="9" t="s">
        <v>309</v>
      </c>
      <c r="B407" s="9" t="s">
        <v>35</v>
      </c>
      <c r="C407" s="9">
        <v>16</v>
      </c>
      <c r="D407" s="9" t="s">
        <v>691</v>
      </c>
      <c r="E407" s="9" t="s">
        <v>2187</v>
      </c>
      <c r="F407" s="9" t="s">
        <v>2189</v>
      </c>
      <c r="G407" s="9">
        <v>35752</v>
      </c>
      <c r="H407" s="9" t="s">
        <v>2124</v>
      </c>
      <c r="I407" s="9">
        <v>186</v>
      </c>
      <c r="J407" s="9">
        <v>20</v>
      </c>
      <c r="K407" s="9">
        <v>4</v>
      </c>
    </row>
    <row r="408" spans="1:11" x14ac:dyDescent="0.4">
      <c r="A408" s="9" t="s">
        <v>309</v>
      </c>
      <c r="B408" s="9" t="s">
        <v>35</v>
      </c>
      <c r="C408" s="9">
        <v>17</v>
      </c>
      <c r="D408" s="9" t="s">
        <v>669</v>
      </c>
      <c r="E408" s="9" t="s">
        <v>2191</v>
      </c>
      <c r="F408" s="9" t="s">
        <v>2193</v>
      </c>
      <c r="G408" s="9">
        <v>35844</v>
      </c>
      <c r="H408" s="9" t="s">
        <v>2180</v>
      </c>
      <c r="I408" s="9">
        <v>174</v>
      </c>
      <c r="J408" s="9">
        <v>55</v>
      </c>
      <c r="K408" s="9">
        <v>0</v>
      </c>
    </row>
    <row r="409" spans="1:11" x14ac:dyDescent="0.4">
      <c r="A409" s="9" t="s">
        <v>309</v>
      </c>
      <c r="B409" s="9" t="s">
        <v>35</v>
      </c>
      <c r="C409" s="9">
        <v>18</v>
      </c>
      <c r="D409" s="9" t="s">
        <v>686</v>
      </c>
      <c r="E409" s="9" t="s">
        <v>2195</v>
      </c>
      <c r="F409" s="9" t="s">
        <v>2197</v>
      </c>
      <c r="G409" s="9">
        <v>38070</v>
      </c>
      <c r="H409" s="9" t="s">
        <v>1946</v>
      </c>
      <c r="I409" s="9">
        <v>189</v>
      </c>
      <c r="J409" s="9">
        <v>5</v>
      </c>
      <c r="K409" s="9">
        <v>0</v>
      </c>
    </row>
    <row r="410" spans="1:11" x14ac:dyDescent="0.4">
      <c r="A410" s="9" t="s">
        <v>309</v>
      </c>
      <c r="B410" s="9" t="s">
        <v>35</v>
      </c>
      <c r="C410" s="9">
        <v>19</v>
      </c>
      <c r="D410" s="9" t="s">
        <v>691</v>
      </c>
      <c r="E410" s="9" t="s">
        <v>2199</v>
      </c>
      <c r="F410" s="9" t="s">
        <v>2201</v>
      </c>
      <c r="G410" s="9">
        <v>36831</v>
      </c>
      <c r="H410" s="9" t="s">
        <v>1172</v>
      </c>
      <c r="I410" s="9">
        <v>178</v>
      </c>
      <c r="J410" s="9">
        <v>50</v>
      </c>
      <c r="K410" s="9">
        <v>8</v>
      </c>
    </row>
    <row r="411" spans="1:11" x14ac:dyDescent="0.4">
      <c r="A411" s="9" t="s">
        <v>309</v>
      </c>
      <c r="B411" s="9" t="s">
        <v>35</v>
      </c>
      <c r="C411" s="9">
        <v>20</v>
      </c>
      <c r="D411" s="9" t="s">
        <v>691</v>
      </c>
      <c r="E411" s="9" t="s">
        <v>2203</v>
      </c>
      <c r="F411" s="9" t="s">
        <v>2205</v>
      </c>
      <c r="G411" s="9">
        <v>37791</v>
      </c>
      <c r="H411" s="9" t="s">
        <v>1735</v>
      </c>
      <c r="I411" s="9">
        <v>184</v>
      </c>
      <c r="J411" s="9">
        <v>14</v>
      </c>
      <c r="K411" s="9">
        <v>2</v>
      </c>
    </row>
    <row r="412" spans="1:11" x14ac:dyDescent="0.4">
      <c r="A412" s="9" t="s">
        <v>309</v>
      </c>
      <c r="B412" s="9" t="s">
        <v>35</v>
      </c>
      <c r="C412" s="9">
        <v>21</v>
      </c>
      <c r="D412" s="9" t="s">
        <v>686</v>
      </c>
      <c r="E412" s="9" t="s">
        <v>2207</v>
      </c>
      <c r="F412" s="9" t="s">
        <v>2209</v>
      </c>
      <c r="G412" s="9">
        <v>36028</v>
      </c>
      <c r="H412" s="9" t="s">
        <v>2180</v>
      </c>
      <c r="I412" s="9">
        <v>175</v>
      </c>
      <c r="J412" s="9">
        <v>58</v>
      </c>
      <c r="K412" s="9">
        <v>1</v>
      </c>
    </row>
    <row r="413" spans="1:11" x14ac:dyDescent="0.4">
      <c r="A413" s="9" t="s">
        <v>309</v>
      </c>
      <c r="B413" s="9" t="s">
        <v>35</v>
      </c>
      <c r="C413" s="9">
        <v>22</v>
      </c>
      <c r="D413" s="9" t="s">
        <v>664</v>
      </c>
      <c r="E413" s="9" t="s">
        <v>2211</v>
      </c>
      <c r="F413" s="9" t="s">
        <v>2213</v>
      </c>
      <c r="G413" s="9">
        <v>35123</v>
      </c>
      <c r="H413" s="9" t="s">
        <v>2214</v>
      </c>
      <c r="I413" s="9">
        <v>186</v>
      </c>
      <c r="J413" s="9">
        <v>4</v>
      </c>
      <c r="K413" s="9">
        <v>0</v>
      </c>
    </row>
    <row r="414" spans="1:11" x14ac:dyDescent="0.4">
      <c r="A414" s="9" t="s">
        <v>309</v>
      </c>
      <c r="B414" s="9" t="s">
        <v>35</v>
      </c>
      <c r="C414" s="9">
        <v>23</v>
      </c>
      <c r="D414" s="9" t="s">
        <v>686</v>
      </c>
      <c r="E414" s="9" t="s">
        <v>2216</v>
      </c>
      <c r="F414" s="9" t="s">
        <v>2218</v>
      </c>
      <c r="G414" s="9">
        <v>37197</v>
      </c>
      <c r="H414" s="9" t="s">
        <v>1554</v>
      </c>
      <c r="I414" s="9">
        <v>178</v>
      </c>
      <c r="J414" s="9">
        <v>61</v>
      </c>
      <c r="K414" s="9">
        <v>3</v>
      </c>
    </row>
    <row r="415" spans="1:11" x14ac:dyDescent="0.4">
      <c r="A415" s="9" t="s">
        <v>309</v>
      </c>
      <c r="B415" s="9" t="s">
        <v>35</v>
      </c>
      <c r="C415" s="9">
        <v>24</v>
      </c>
      <c r="D415" s="9" t="s">
        <v>691</v>
      </c>
      <c r="E415" s="9" t="s">
        <v>2220</v>
      </c>
      <c r="F415" s="9" t="s">
        <v>2222</v>
      </c>
      <c r="G415" s="9">
        <v>38430</v>
      </c>
      <c r="H415" s="9" t="s">
        <v>1094</v>
      </c>
      <c r="I415" s="9">
        <v>182</v>
      </c>
      <c r="J415" s="9">
        <v>4</v>
      </c>
      <c r="K415" s="9">
        <v>0</v>
      </c>
    </row>
    <row r="416" spans="1:11" x14ac:dyDescent="0.4">
      <c r="A416" s="9" t="s">
        <v>309</v>
      </c>
      <c r="B416" s="9" t="s">
        <v>35</v>
      </c>
      <c r="C416" s="9">
        <v>25</v>
      </c>
      <c r="D416" s="9" t="s">
        <v>669</v>
      </c>
      <c r="E416" s="9" t="s">
        <v>2224</v>
      </c>
      <c r="F416" s="9" t="s">
        <v>2226</v>
      </c>
      <c r="G416" s="9">
        <v>36742</v>
      </c>
      <c r="H416" s="9" t="s">
        <v>2227</v>
      </c>
      <c r="I416" s="9">
        <v>192</v>
      </c>
      <c r="J416" s="9">
        <v>10</v>
      </c>
      <c r="K416" s="9">
        <v>1</v>
      </c>
    </row>
    <row r="417" spans="1:11" x14ac:dyDescent="0.4">
      <c r="A417" s="9" t="s">
        <v>309</v>
      </c>
      <c r="B417" s="9" t="s">
        <v>35</v>
      </c>
      <c r="C417" s="9">
        <v>26</v>
      </c>
      <c r="D417" s="9" t="s">
        <v>669</v>
      </c>
      <c r="E417" s="9" t="s">
        <v>2229</v>
      </c>
      <c r="F417" s="9" t="s">
        <v>1558</v>
      </c>
      <c r="G417" s="9">
        <v>38296</v>
      </c>
      <c r="H417" s="9" t="s">
        <v>1725</v>
      </c>
      <c r="I417" s="9">
        <v>173</v>
      </c>
      <c r="J417" s="9">
        <v>6</v>
      </c>
      <c r="K417" s="9">
        <v>0</v>
      </c>
    </row>
    <row r="418" spans="1:11" x14ac:dyDescent="0.4">
      <c r="A418" s="9" t="s">
        <v>322</v>
      </c>
      <c r="B418" s="9" t="s">
        <v>49</v>
      </c>
      <c r="C418" s="9">
        <v>1</v>
      </c>
      <c r="D418" s="9" t="s">
        <v>664</v>
      </c>
      <c r="E418" s="9" t="s">
        <v>2232</v>
      </c>
      <c r="F418" s="9" t="s">
        <v>2234</v>
      </c>
      <c r="G418" s="9">
        <v>32495</v>
      </c>
      <c r="H418" s="9" t="s">
        <v>2235</v>
      </c>
      <c r="I418" s="9">
        <v>191</v>
      </c>
      <c r="J418" s="9">
        <v>76</v>
      </c>
      <c r="K418" s="9">
        <v>0</v>
      </c>
    </row>
    <row r="419" spans="1:11" x14ac:dyDescent="0.4">
      <c r="A419" s="9" t="s">
        <v>322</v>
      </c>
      <c r="B419" s="9" t="s">
        <v>49</v>
      </c>
      <c r="C419" s="9">
        <v>2</v>
      </c>
      <c r="D419" s="9" t="s">
        <v>669</v>
      </c>
      <c r="E419" s="9" t="s">
        <v>2237</v>
      </c>
      <c r="F419" s="9" t="s">
        <v>2239</v>
      </c>
      <c r="G419" s="9">
        <v>34010</v>
      </c>
      <c r="H419" s="9" t="s">
        <v>2235</v>
      </c>
      <c r="I419" s="9">
        <v>185</v>
      </c>
      <c r="J419" s="9">
        <v>17</v>
      </c>
      <c r="K419" s="9">
        <v>1</v>
      </c>
    </row>
    <row r="420" spans="1:11" x14ac:dyDescent="0.4">
      <c r="A420" s="9" t="s">
        <v>322</v>
      </c>
      <c r="B420" s="9" t="s">
        <v>49</v>
      </c>
      <c r="C420" s="9">
        <v>3</v>
      </c>
      <c r="D420" s="9" t="s">
        <v>669</v>
      </c>
      <c r="E420" s="9" t="s">
        <v>2241</v>
      </c>
      <c r="F420" s="9" t="s">
        <v>2243</v>
      </c>
      <c r="G420" s="9">
        <v>35097</v>
      </c>
      <c r="H420" s="9" t="s">
        <v>2235</v>
      </c>
      <c r="I420" s="9">
        <v>175</v>
      </c>
      <c r="J420" s="9">
        <v>42</v>
      </c>
      <c r="K420" s="9">
        <v>0</v>
      </c>
    </row>
    <row r="421" spans="1:11" x14ac:dyDescent="0.4">
      <c r="A421" s="9" t="s">
        <v>322</v>
      </c>
      <c r="B421" s="9" t="s">
        <v>49</v>
      </c>
      <c r="C421" s="9">
        <v>4</v>
      </c>
      <c r="D421" s="9" t="s">
        <v>669</v>
      </c>
      <c r="E421" s="9" t="s">
        <v>2245</v>
      </c>
      <c r="F421" s="9" t="s">
        <v>2247</v>
      </c>
      <c r="G421" s="9">
        <v>37011</v>
      </c>
      <c r="H421" s="9" t="s">
        <v>2248</v>
      </c>
      <c r="I421" s="9">
        <v>193</v>
      </c>
      <c r="J421" s="9">
        <v>13</v>
      </c>
      <c r="K421" s="9">
        <v>0</v>
      </c>
    </row>
    <row r="422" spans="1:11" x14ac:dyDescent="0.4">
      <c r="A422" s="9" t="s">
        <v>322</v>
      </c>
      <c r="B422" s="9" t="s">
        <v>49</v>
      </c>
      <c r="C422" s="9">
        <v>5</v>
      </c>
      <c r="D422" s="9" t="s">
        <v>669</v>
      </c>
      <c r="E422" s="9" t="s">
        <v>2250</v>
      </c>
      <c r="F422" s="9" t="s">
        <v>2252</v>
      </c>
      <c r="G422" s="9">
        <v>34109</v>
      </c>
      <c r="H422" s="9" t="s">
        <v>2253</v>
      </c>
      <c r="I422" s="9">
        <v>183</v>
      </c>
      <c r="J422" s="9">
        <v>44</v>
      </c>
      <c r="K422" s="9">
        <v>5</v>
      </c>
    </row>
    <row r="423" spans="1:11" x14ac:dyDescent="0.4">
      <c r="A423" s="9" t="s">
        <v>322</v>
      </c>
      <c r="B423" s="9" t="s">
        <v>49</v>
      </c>
      <c r="C423" s="9">
        <v>6</v>
      </c>
      <c r="D423" s="9" t="s">
        <v>669</v>
      </c>
      <c r="E423" s="9" t="s">
        <v>2255</v>
      </c>
      <c r="F423" s="9" t="s">
        <v>2257</v>
      </c>
      <c r="G423" s="9">
        <v>36192</v>
      </c>
      <c r="H423" s="9" t="s">
        <v>723</v>
      </c>
      <c r="I423" s="9">
        <v>184</v>
      </c>
      <c r="J423" s="9">
        <v>36</v>
      </c>
      <c r="K423" s="9">
        <v>3</v>
      </c>
    </row>
    <row r="424" spans="1:11" x14ac:dyDescent="0.4">
      <c r="A424" s="9" t="s">
        <v>322</v>
      </c>
      <c r="B424" s="9" t="s">
        <v>49</v>
      </c>
      <c r="C424" s="9">
        <v>7</v>
      </c>
      <c r="D424" s="9" t="s">
        <v>691</v>
      </c>
      <c r="E424" s="9" t="s">
        <v>2258</v>
      </c>
      <c r="F424" s="9" t="s">
        <v>2260</v>
      </c>
      <c r="G424" s="9">
        <v>34608</v>
      </c>
      <c r="H424" s="9" t="s">
        <v>2235</v>
      </c>
      <c r="I424" s="9">
        <v>181</v>
      </c>
      <c r="J424" s="9">
        <v>96</v>
      </c>
      <c r="K424" s="9">
        <v>23</v>
      </c>
    </row>
    <row r="425" spans="1:11" x14ac:dyDescent="0.4">
      <c r="A425" s="9" t="s">
        <v>322</v>
      </c>
      <c r="B425" s="9" t="s">
        <v>49</v>
      </c>
      <c r="C425" s="9">
        <v>8</v>
      </c>
      <c r="D425" s="9" t="s">
        <v>686</v>
      </c>
      <c r="E425" s="9" t="s">
        <v>2262</v>
      </c>
      <c r="F425" s="9" t="s">
        <v>2264</v>
      </c>
      <c r="G425" s="9">
        <v>35846</v>
      </c>
      <c r="H425" s="9" t="s">
        <v>2235</v>
      </c>
      <c r="I425" s="9">
        <v>180</v>
      </c>
      <c r="J425" s="9">
        <v>29</v>
      </c>
      <c r="K425" s="9">
        <v>0</v>
      </c>
    </row>
    <row r="426" spans="1:11" x14ac:dyDescent="0.4">
      <c r="A426" s="9" t="s">
        <v>322</v>
      </c>
      <c r="B426" s="9" t="s">
        <v>49</v>
      </c>
      <c r="C426" s="9">
        <v>9</v>
      </c>
      <c r="D426" s="9" t="s">
        <v>691</v>
      </c>
      <c r="E426" s="9" t="s">
        <v>2266</v>
      </c>
      <c r="F426" s="9" t="s">
        <v>2268</v>
      </c>
      <c r="G426" s="9">
        <v>39448</v>
      </c>
      <c r="H426" s="9" t="s">
        <v>1193</v>
      </c>
      <c r="I426" s="9">
        <v>182</v>
      </c>
      <c r="J426" s="9">
        <v>2</v>
      </c>
      <c r="K426" s="9">
        <v>0</v>
      </c>
    </row>
    <row r="427" spans="1:11" x14ac:dyDescent="0.4">
      <c r="A427" s="9" t="s">
        <v>322</v>
      </c>
      <c r="B427" s="9" t="s">
        <v>49</v>
      </c>
      <c r="C427" s="9">
        <v>10</v>
      </c>
      <c r="D427" s="9" t="s">
        <v>691</v>
      </c>
      <c r="E427" s="9" t="s">
        <v>2270</v>
      </c>
      <c r="F427" s="9" t="s">
        <v>2272</v>
      </c>
      <c r="G427" s="9">
        <v>33770</v>
      </c>
      <c r="H427" s="9" t="s">
        <v>1153</v>
      </c>
      <c r="I427" s="9">
        <v>175</v>
      </c>
      <c r="J427" s="9">
        <v>116</v>
      </c>
      <c r="K427" s="9">
        <v>67</v>
      </c>
    </row>
    <row r="428" spans="1:11" x14ac:dyDescent="0.4">
      <c r="A428" s="9" t="s">
        <v>322</v>
      </c>
      <c r="B428" s="9" t="s">
        <v>49</v>
      </c>
      <c r="C428" s="9">
        <v>11</v>
      </c>
      <c r="D428" s="9" t="s">
        <v>686</v>
      </c>
      <c r="E428" s="9" t="s">
        <v>2274</v>
      </c>
      <c r="F428" s="9" t="s">
        <v>2276</v>
      </c>
      <c r="G428" s="9">
        <v>35547</v>
      </c>
      <c r="H428" s="9" t="s">
        <v>1755</v>
      </c>
      <c r="I428" s="9">
        <v>179</v>
      </c>
      <c r="J428" s="9">
        <v>2</v>
      </c>
      <c r="K428" s="9">
        <v>2</v>
      </c>
    </row>
    <row r="429" spans="1:11" x14ac:dyDescent="0.4">
      <c r="A429" s="9" t="s">
        <v>322</v>
      </c>
      <c r="B429" s="9" t="s">
        <v>49</v>
      </c>
      <c r="C429" s="9">
        <v>12</v>
      </c>
      <c r="D429" s="9" t="s">
        <v>691</v>
      </c>
      <c r="E429" s="9" t="s">
        <v>2278</v>
      </c>
      <c r="F429" s="9" t="s">
        <v>2280</v>
      </c>
      <c r="G429" s="9">
        <v>37295</v>
      </c>
      <c r="H429" s="9" t="s">
        <v>2281</v>
      </c>
      <c r="I429" s="9">
        <v>175</v>
      </c>
      <c r="J429" s="9">
        <v>4</v>
      </c>
      <c r="K429" s="9">
        <v>0</v>
      </c>
    </row>
    <row r="430" spans="1:11" x14ac:dyDescent="0.4">
      <c r="A430" s="9" t="s">
        <v>322</v>
      </c>
      <c r="B430" s="9" t="s">
        <v>49</v>
      </c>
      <c r="C430" s="9">
        <v>13</v>
      </c>
      <c r="D430" s="9" t="s">
        <v>669</v>
      </c>
      <c r="E430" s="9" t="s">
        <v>2282</v>
      </c>
      <c r="F430" s="9" t="s">
        <v>2284</v>
      </c>
      <c r="G430" s="9">
        <v>35876</v>
      </c>
      <c r="H430" s="9" t="s">
        <v>2248</v>
      </c>
      <c r="I430" s="9">
        <v>177</v>
      </c>
      <c r="J430" s="9">
        <v>39</v>
      </c>
      <c r="K430" s="9">
        <v>1</v>
      </c>
    </row>
    <row r="431" spans="1:11" x14ac:dyDescent="0.4">
      <c r="A431" s="9" t="s">
        <v>322</v>
      </c>
      <c r="B431" s="9" t="s">
        <v>49</v>
      </c>
      <c r="C431" s="9">
        <v>14</v>
      </c>
      <c r="D431" s="9" t="s">
        <v>686</v>
      </c>
      <c r="E431" s="9" t="s">
        <v>2286</v>
      </c>
      <c r="F431" s="9" t="s">
        <v>2288</v>
      </c>
      <c r="G431" s="9">
        <v>34606</v>
      </c>
      <c r="H431" s="9" t="s">
        <v>2289</v>
      </c>
      <c r="I431" s="9">
        <v>183</v>
      </c>
      <c r="J431" s="9">
        <v>63</v>
      </c>
      <c r="K431" s="9">
        <v>3</v>
      </c>
    </row>
    <row r="432" spans="1:11" x14ac:dyDescent="0.4">
      <c r="A432" s="9" t="s">
        <v>322</v>
      </c>
      <c r="B432" s="9" t="s">
        <v>49</v>
      </c>
      <c r="C432" s="9">
        <v>15</v>
      </c>
      <c r="D432" s="9" t="s">
        <v>669</v>
      </c>
      <c r="E432" s="9" t="s">
        <v>2291</v>
      </c>
      <c r="F432" s="9" t="s">
        <v>2293</v>
      </c>
      <c r="G432" s="9">
        <v>35136</v>
      </c>
      <c r="H432" s="9" t="s">
        <v>1755</v>
      </c>
      <c r="I432" s="9">
        <v>174</v>
      </c>
      <c r="J432" s="9">
        <v>9</v>
      </c>
      <c r="K432" s="9">
        <v>0</v>
      </c>
    </row>
    <row r="433" spans="1:11" x14ac:dyDescent="0.4">
      <c r="A433" s="9" t="s">
        <v>322</v>
      </c>
      <c r="B433" s="9" t="s">
        <v>49</v>
      </c>
      <c r="C433" s="9">
        <v>16</v>
      </c>
      <c r="D433" s="9" t="s">
        <v>664</v>
      </c>
      <c r="E433" s="9" t="s">
        <v>2295</v>
      </c>
      <c r="F433" s="9" t="s">
        <v>2297</v>
      </c>
      <c r="G433" s="9">
        <v>31936</v>
      </c>
      <c r="H433" s="9" t="s">
        <v>2248</v>
      </c>
      <c r="I433" s="9">
        <v>189</v>
      </c>
      <c r="J433" s="9">
        <v>0</v>
      </c>
      <c r="K433" s="9">
        <v>0</v>
      </c>
    </row>
    <row r="434" spans="1:11" x14ac:dyDescent="0.4">
      <c r="A434" s="9" t="s">
        <v>322</v>
      </c>
      <c r="B434" s="9" t="s">
        <v>49</v>
      </c>
      <c r="C434" s="9">
        <v>17</v>
      </c>
      <c r="D434" s="9" t="s">
        <v>686</v>
      </c>
      <c r="E434" s="9" t="s">
        <v>2299</v>
      </c>
      <c r="F434" s="9" t="s">
        <v>2301</v>
      </c>
      <c r="G434" s="9">
        <v>35214</v>
      </c>
      <c r="H434" s="9" t="s">
        <v>1755</v>
      </c>
      <c r="I434" s="9">
        <v>186</v>
      </c>
      <c r="J434" s="9">
        <v>23</v>
      </c>
      <c r="K434" s="9">
        <v>0</v>
      </c>
    </row>
    <row r="435" spans="1:11" x14ac:dyDescent="0.4">
      <c r="A435" s="9" t="s">
        <v>322</v>
      </c>
      <c r="B435" s="9" t="s">
        <v>49</v>
      </c>
      <c r="C435" s="9">
        <v>18</v>
      </c>
      <c r="D435" s="9" t="s">
        <v>686</v>
      </c>
      <c r="E435" s="9" t="s">
        <v>2303</v>
      </c>
      <c r="F435" s="9" t="s">
        <v>2305</v>
      </c>
      <c r="G435" s="9">
        <v>35161</v>
      </c>
      <c r="H435" s="9" t="s">
        <v>2306</v>
      </c>
      <c r="I435" s="9">
        <v>179</v>
      </c>
      <c r="J435" s="9">
        <v>12</v>
      </c>
      <c r="K435" s="9">
        <v>0</v>
      </c>
    </row>
    <row r="436" spans="1:11" x14ac:dyDescent="0.4">
      <c r="A436" s="9" t="s">
        <v>322</v>
      </c>
      <c r="B436" s="9" t="s">
        <v>49</v>
      </c>
      <c r="C436" s="9">
        <v>19</v>
      </c>
      <c r="D436" s="9" t="s">
        <v>686</v>
      </c>
      <c r="E436" s="9" t="s">
        <v>2308</v>
      </c>
      <c r="F436" s="9" t="s">
        <v>2310</v>
      </c>
      <c r="G436" s="9">
        <v>36008</v>
      </c>
      <c r="H436" s="9" t="s">
        <v>2235</v>
      </c>
      <c r="I436" s="9">
        <v>176</v>
      </c>
      <c r="J436" s="9">
        <v>34</v>
      </c>
      <c r="K436" s="9">
        <v>1</v>
      </c>
    </row>
    <row r="437" spans="1:11" x14ac:dyDescent="0.4">
      <c r="A437" s="9" t="s">
        <v>322</v>
      </c>
      <c r="B437" s="9" t="s">
        <v>49</v>
      </c>
      <c r="C437" s="9">
        <v>20</v>
      </c>
      <c r="D437" s="9" t="s">
        <v>691</v>
      </c>
      <c r="E437" s="9" t="s">
        <v>2312</v>
      </c>
      <c r="F437" s="9" t="s">
        <v>2314</v>
      </c>
      <c r="G437" s="9">
        <v>37004</v>
      </c>
      <c r="H437" s="9" t="s">
        <v>2315</v>
      </c>
      <c r="I437" s="9">
        <v>178</v>
      </c>
      <c r="J437" s="9">
        <v>24</v>
      </c>
      <c r="K437" s="9">
        <v>3</v>
      </c>
    </row>
    <row r="438" spans="1:11" x14ac:dyDescent="0.4">
      <c r="A438" s="9" t="s">
        <v>322</v>
      </c>
      <c r="B438" s="9" t="s">
        <v>49</v>
      </c>
      <c r="C438" s="9">
        <v>21</v>
      </c>
      <c r="D438" s="9" t="s">
        <v>686</v>
      </c>
      <c r="E438" s="9" t="s">
        <v>2316</v>
      </c>
      <c r="F438" s="9" t="s">
        <v>2318</v>
      </c>
      <c r="G438" s="9">
        <v>37102</v>
      </c>
      <c r="H438" s="9" t="s">
        <v>2319</v>
      </c>
      <c r="I438" s="9">
        <v>170</v>
      </c>
      <c r="J438" s="9">
        <v>15</v>
      </c>
      <c r="K438" s="9">
        <v>1</v>
      </c>
    </row>
    <row r="439" spans="1:11" x14ac:dyDescent="0.4">
      <c r="A439" s="9" t="s">
        <v>322</v>
      </c>
      <c r="B439" s="9" t="s">
        <v>49</v>
      </c>
      <c r="C439" s="9">
        <v>22</v>
      </c>
      <c r="D439" s="9" t="s">
        <v>691</v>
      </c>
      <c r="E439" s="9" t="s">
        <v>2321</v>
      </c>
      <c r="F439" s="9" t="s">
        <v>2323</v>
      </c>
      <c r="G439" s="9">
        <v>36198</v>
      </c>
      <c r="H439" s="9" t="s">
        <v>727</v>
      </c>
      <c r="I439" s="9">
        <v>180</v>
      </c>
      <c r="J439" s="9">
        <v>50</v>
      </c>
      <c r="K439" s="9">
        <v>11</v>
      </c>
    </row>
    <row r="440" spans="1:11" x14ac:dyDescent="0.4">
      <c r="A440" s="9" t="s">
        <v>322</v>
      </c>
      <c r="B440" s="9" t="s">
        <v>49</v>
      </c>
      <c r="C440" s="9">
        <v>23</v>
      </c>
      <c r="D440" s="9" t="s">
        <v>664</v>
      </c>
      <c r="E440" s="9" t="s">
        <v>2324</v>
      </c>
      <c r="F440" s="9" t="s">
        <v>2326</v>
      </c>
      <c r="G440" s="9">
        <v>36661</v>
      </c>
      <c r="H440" s="9" t="s">
        <v>2235</v>
      </c>
      <c r="I440" s="9">
        <v>195</v>
      </c>
      <c r="J440" s="9">
        <v>9</v>
      </c>
      <c r="K440" s="9">
        <v>0</v>
      </c>
    </row>
    <row r="441" spans="1:11" x14ac:dyDescent="0.4">
      <c r="A441" s="9" t="s">
        <v>322</v>
      </c>
      <c r="B441" s="9" t="s">
        <v>49</v>
      </c>
      <c r="C441" s="9">
        <v>24</v>
      </c>
      <c r="D441" s="9" t="s">
        <v>669</v>
      </c>
      <c r="E441" s="9" t="s">
        <v>2327</v>
      </c>
      <c r="F441" s="9" t="s">
        <v>2329</v>
      </c>
      <c r="G441" s="9">
        <v>37261</v>
      </c>
      <c r="H441" s="9" t="s">
        <v>2319</v>
      </c>
      <c r="I441" s="9">
        <v>178</v>
      </c>
      <c r="J441" s="9">
        <v>3</v>
      </c>
      <c r="K441" s="9">
        <v>0</v>
      </c>
    </row>
    <row r="442" spans="1:11" x14ac:dyDescent="0.4">
      <c r="A442" s="9" t="s">
        <v>322</v>
      </c>
      <c r="B442" s="9" t="s">
        <v>49</v>
      </c>
      <c r="C442" s="9">
        <v>25</v>
      </c>
      <c r="D442" s="9" t="s">
        <v>691</v>
      </c>
      <c r="E442" s="9" t="s">
        <v>2331</v>
      </c>
      <c r="F442" s="9" t="s">
        <v>2331</v>
      </c>
      <c r="G442" s="9">
        <v>35074</v>
      </c>
      <c r="H442" s="9" t="s">
        <v>2235</v>
      </c>
      <c r="I442" s="9">
        <v>175</v>
      </c>
      <c r="J442" s="9">
        <v>63</v>
      </c>
      <c r="K442" s="9">
        <v>5</v>
      </c>
    </row>
    <row r="443" spans="1:11" x14ac:dyDescent="0.4">
      <c r="A443" s="9" t="s">
        <v>322</v>
      </c>
      <c r="B443" s="9" t="s">
        <v>49</v>
      </c>
      <c r="C443" s="9">
        <v>26</v>
      </c>
      <c r="D443" s="9" t="s">
        <v>664</v>
      </c>
      <c r="E443" s="9" t="s">
        <v>2334</v>
      </c>
      <c r="F443" s="9" t="s">
        <v>2336</v>
      </c>
      <c r="G443" s="9">
        <v>36161</v>
      </c>
      <c r="H443" s="9" t="s">
        <v>2337</v>
      </c>
      <c r="I443" s="9">
        <v>188</v>
      </c>
      <c r="J443" s="9">
        <v>0</v>
      </c>
      <c r="K443" s="9">
        <v>0</v>
      </c>
    </row>
    <row r="444" spans="1:11" x14ac:dyDescent="0.4">
      <c r="A444" s="9" t="s">
        <v>300</v>
      </c>
      <c r="B444" s="9" t="s">
        <v>26</v>
      </c>
      <c r="C444" s="9">
        <v>1</v>
      </c>
      <c r="D444" s="9" t="s">
        <v>664</v>
      </c>
      <c r="E444" s="9" t="s">
        <v>2338</v>
      </c>
      <c r="F444" s="9" t="s">
        <v>2340</v>
      </c>
      <c r="G444" s="9">
        <v>34400</v>
      </c>
      <c r="H444" s="9" t="s">
        <v>2341</v>
      </c>
      <c r="I444" s="9">
        <v>185</v>
      </c>
      <c r="J444" s="9">
        <v>84</v>
      </c>
      <c r="K444" s="9">
        <v>0</v>
      </c>
    </row>
    <row r="445" spans="1:11" x14ac:dyDescent="0.4">
      <c r="A445" s="9" t="s">
        <v>300</v>
      </c>
      <c r="B445" s="9" t="s">
        <v>26</v>
      </c>
      <c r="C445" s="9">
        <v>2</v>
      </c>
      <c r="D445" s="9" t="s">
        <v>669</v>
      </c>
      <c r="E445" s="9" t="s">
        <v>2342</v>
      </c>
      <c r="F445" s="9" t="s">
        <v>2344</v>
      </c>
      <c r="G445" s="9">
        <v>35726</v>
      </c>
      <c r="H445" s="9" t="s">
        <v>992</v>
      </c>
      <c r="I445" s="9">
        <v>180</v>
      </c>
      <c r="J445" s="9">
        <v>20</v>
      </c>
      <c r="K445" s="9">
        <v>1</v>
      </c>
    </row>
    <row r="446" spans="1:11" x14ac:dyDescent="0.4">
      <c r="A446" s="9" t="s">
        <v>300</v>
      </c>
      <c r="B446" s="9" t="s">
        <v>26</v>
      </c>
      <c r="C446" s="9">
        <v>3</v>
      </c>
      <c r="D446" s="9" t="s">
        <v>669</v>
      </c>
      <c r="E446" s="9" t="s">
        <v>2345</v>
      </c>
      <c r="F446" s="9" t="s">
        <v>2347</v>
      </c>
      <c r="G446" s="9">
        <v>38432</v>
      </c>
      <c r="H446" s="9" t="s">
        <v>727</v>
      </c>
      <c r="I446" s="9">
        <v>177</v>
      </c>
      <c r="J446" s="9">
        <v>5</v>
      </c>
      <c r="K446" s="9">
        <v>0</v>
      </c>
    </row>
    <row r="447" spans="1:11" x14ac:dyDescent="0.4">
      <c r="A447" s="9" t="s">
        <v>300</v>
      </c>
      <c r="B447" s="9" t="s">
        <v>26</v>
      </c>
      <c r="C447" s="9">
        <v>4</v>
      </c>
      <c r="D447" s="9" t="s">
        <v>686</v>
      </c>
      <c r="E447" s="9" t="s">
        <v>2348</v>
      </c>
      <c r="F447" s="9" t="s">
        <v>2350</v>
      </c>
      <c r="G447" s="9">
        <v>36174</v>
      </c>
      <c r="H447" s="9" t="s">
        <v>1000</v>
      </c>
      <c r="I447" s="9">
        <v>185</v>
      </c>
      <c r="J447" s="9">
        <v>73</v>
      </c>
      <c r="K447" s="9">
        <v>7</v>
      </c>
    </row>
    <row r="448" spans="1:11" x14ac:dyDescent="0.4">
      <c r="A448" s="9" t="s">
        <v>300</v>
      </c>
      <c r="B448" s="9" t="s">
        <v>26</v>
      </c>
      <c r="C448" s="9">
        <v>5</v>
      </c>
      <c r="D448" s="9" t="s">
        <v>669</v>
      </c>
      <c r="E448" s="9" t="s">
        <v>2351</v>
      </c>
      <c r="F448" s="9" t="s">
        <v>2352</v>
      </c>
      <c r="G448" s="9">
        <v>34482</v>
      </c>
      <c r="H448" s="9" t="s">
        <v>727</v>
      </c>
      <c r="I448" s="9">
        <v>188</v>
      </c>
      <c r="J448" s="9">
        <v>89</v>
      </c>
      <c r="K448" s="9">
        <v>3</v>
      </c>
    </row>
    <row r="449" spans="1:11" x14ac:dyDescent="0.4">
      <c r="A449" s="9" t="s">
        <v>300</v>
      </c>
      <c r="B449" s="9" t="s">
        <v>26</v>
      </c>
      <c r="C449" s="9">
        <v>6</v>
      </c>
      <c r="D449" s="9" t="s">
        <v>669</v>
      </c>
      <c r="E449" s="9" t="s">
        <v>2353</v>
      </c>
      <c r="F449" s="9" t="s">
        <v>2355</v>
      </c>
      <c r="G449" s="9">
        <v>36720</v>
      </c>
      <c r="H449" s="9" t="s">
        <v>727</v>
      </c>
      <c r="I449" s="9">
        <v>183</v>
      </c>
      <c r="J449" s="9">
        <v>29</v>
      </c>
      <c r="K449" s="9">
        <v>1</v>
      </c>
    </row>
    <row r="450" spans="1:11" x14ac:dyDescent="0.4">
      <c r="A450" s="9" t="s">
        <v>300</v>
      </c>
      <c r="B450" s="9" t="s">
        <v>26</v>
      </c>
      <c r="C450" s="9">
        <v>7</v>
      </c>
      <c r="D450" s="9" t="s">
        <v>691</v>
      </c>
      <c r="E450" s="9" t="s">
        <v>2357</v>
      </c>
      <c r="F450" s="9" t="s">
        <v>2359</v>
      </c>
      <c r="G450" s="9">
        <v>37139</v>
      </c>
      <c r="H450" s="9" t="s">
        <v>1000</v>
      </c>
      <c r="I450" s="9">
        <v>178</v>
      </c>
      <c r="J450" s="9">
        <v>49</v>
      </c>
      <c r="K450" s="9">
        <v>14</v>
      </c>
    </row>
    <row r="451" spans="1:11" x14ac:dyDescent="0.4">
      <c r="A451" s="9" t="s">
        <v>300</v>
      </c>
      <c r="B451" s="9" t="s">
        <v>26</v>
      </c>
      <c r="C451" s="9">
        <v>8</v>
      </c>
      <c r="D451" s="9" t="s">
        <v>686</v>
      </c>
      <c r="E451" s="9" t="s">
        <v>2360</v>
      </c>
      <c r="F451" s="9" t="s">
        <v>2362</v>
      </c>
      <c r="G451" s="9">
        <v>37566</v>
      </c>
      <c r="H451" s="9" t="s">
        <v>1846</v>
      </c>
      <c r="I451" s="9">
        <v>179</v>
      </c>
      <c r="J451" s="9">
        <v>9</v>
      </c>
      <c r="K451" s="9">
        <v>0</v>
      </c>
    </row>
    <row r="452" spans="1:11" x14ac:dyDescent="0.4">
      <c r="A452" s="9" t="s">
        <v>300</v>
      </c>
      <c r="B452" s="9" t="s">
        <v>26</v>
      </c>
      <c r="C452" s="9">
        <v>9</v>
      </c>
      <c r="D452" s="9" t="s">
        <v>691</v>
      </c>
      <c r="E452" s="9" t="s">
        <v>2363</v>
      </c>
      <c r="F452" s="9" t="s">
        <v>2365</v>
      </c>
      <c r="G452" s="9">
        <v>34178</v>
      </c>
      <c r="H452" s="9" t="s">
        <v>944</v>
      </c>
      <c r="I452" s="9">
        <v>190</v>
      </c>
      <c r="J452" s="9">
        <v>114</v>
      </c>
      <c r="K452" s="9">
        <v>79</v>
      </c>
    </row>
    <row r="453" spans="1:11" x14ac:dyDescent="0.4">
      <c r="A453" s="9" t="s">
        <v>300</v>
      </c>
      <c r="B453" s="9" t="s">
        <v>26</v>
      </c>
      <c r="C453" s="9">
        <v>10</v>
      </c>
      <c r="D453" s="9" t="s">
        <v>686</v>
      </c>
      <c r="E453" s="9" t="s">
        <v>2366</v>
      </c>
      <c r="F453" s="9" t="s">
        <v>2368</v>
      </c>
      <c r="G453" s="9">
        <v>37801</v>
      </c>
      <c r="H453" s="9" t="s">
        <v>898</v>
      </c>
      <c r="I453" s="9">
        <v>183</v>
      </c>
      <c r="J453" s="9">
        <v>48</v>
      </c>
      <c r="K453" s="9">
        <v>6</v>
      </c>
    </row>
    <row r="454" spans="1:11" x14ac:dyDescent="0.4">
      <c r="A454" s="9" t="s">
        <v>300</v>
      </c>
      <c r="B454" s="9" t="s">
        <v>26</v>
      </c>
      <c r="C454" s="9">
        <v>11</v>
      </c>
      <c r="D454" s="9" t="s">
        <v>691</v>
      </c>
      <c r="E454" s="9" t="s">
        <v>2369</v>
      </c>
      <c r="F454" s="9" t="s">
        <v>2371</v>
      </c>
      <c r="G454" s="9">
        <v>35734</v>
      </c>
      <c r="H454" s="9" t="s">
        <v>1193</v>
      </c>
      <c r="I454" s="9">
        <v>180</v>
      </c>
      <c r="J454" s="9">
        <v>72</v>
      </c>
      <c r="K454" s="9">
        <v>18</v>
      </c>
    </row>
    <row r="455" spans="1:11" x14ac:dyDescent="0.4">
      <c r="A455" s="9" t="s">
        <v>300</v>
      </c>
      <c r="B455" s="9" t="s">
        <v>26</v>
      </c>
      <c r="C455" s="9">
        <v>12</v>
      </c>
      <c r="D455" s="9" t="s">
        <v>669</v>
      </c>
      <c r="E455" s="9" t="s">
        <v>2372</v>
      </c>
      <c r="F455" s="9" t="s">
        <v>2374</v>
      </c>
      <c r="G455" s="9">
        <v>36346</v>
      </c>
      <c r="H455" s="9" t="s">
        <v>1554</v>
      </c>
      <c r="I455" s="9">
        <v>192</v>
      </c>
      <c r="J455" s="9">
        <v>1</v>
      </c>
      <c r="K455" s="9">
        <v>0</v>
      </c>
    </row>
    <row r="456" spans="1:11" x14ac:dyDescent="0.4">
      <c r="A456" s="9" t="s">
        <v>300</v>
      </c>
      <c r="B456" s="9" t="s">
        <v>26</v>
      </c>
      <c r="C456" s="9">
        <v>13</v>
      </c>
      <c r="D456" s="9" t="s">
        <v>664</v>
      </c>
      <c r="E456" s="9" t="s">
        <v>2375</v>
      </c>
      <c r="F456" s="9" t="s">
        <v>2377</v>
      </c>
      <c r="G456" s="9">
        <v>35501</v>
      </c>
      <c r="H456" s="9" t="s">
        <v>1570</v>
      </c>
      <c r="I456" s="9">
        <v>188</v>
      </c>
      <c r="J456" s="9">
        <v>5</v>
      </c>
      <c r="K456" s="9">
        <v>0</v>
      </c>
    </row>
    <row r="457" spans="1:11" x14ac:dyDescent="0.4">
      <c r="A457" s="9" t="s">
        <v>300</v>
      </c>
      <c r="B457" s="9" t="s">
        <v>26</v>
      </c>
      <c r="C457" s="9">
        <v>14</v>
      </c>
      <c r="D457" s="9" t="s">
        <v>686</v>
      </c>
      <c r="E457" s="9" t="s">
        <v>2379</v>
      </c>
      <c r="F457" s="9" t="s">
        <v>2378</v>
      </c>
      <c r="G457" s="9">
        <v>33041</v>
      </c>
      <c r="H457" s="9" t="s">
        <v>1248</v>
      </c>
      <c r="I457" s="9">
        <v>183</v>
      </c>
      <c r="J457" s="9">
        <v>90</v>
      </c>
      <c r="K457" s="9">
        <v>3</v>
      </c>
    </row>
    <row r="458" spans="1:11" x14ac:dyDescent="0.4">
      <c r="A458" s="9" t="s">
        <v>300</v>
      </c>
      <c r="B458" s="9" t="s">
        <v>26</v>
      </c>
      <c r="C458" s="9">
        <v>15</v>
      </c>
      <c r="D458" s="9" t="s">
        <v>669</v>
      </c>
      <c r="E458" s="9" t="s">
        <v>2381</v>
      </c>
      <c r="F458" s="9" t="s">
        <v>2383</v>
      </c>
      <c r="G458" s="9">
        <v>33733</v>
      </c>
      <c r="H458" s="9" t="s">
        <v>1181</v>
      </c>
      <c r="I458" s="9">
        <v>201</v>
      </c>
      <c r="J458" s="9">
        <v>8</v>
      </c>
      <c r="K458" s="9">
        <v>0</v>
      </c>
    </row>
    <row r="459" spans="1:11" x14ac:dyDescent="0.4">
      <c r="A459" s="9" t="s">
        <v>300</v>
      </c>
      <c r="B459" s="9" t="s">
        <v>26</v>
      </c>
      <c r="C459" s="9">
        <v>16</v>
      </c>
      <c r="D459" s="9" t="s">
        <v>686</v>
      </c>
      <c r="E459" s="9" t="s">
        <v>2384</v>
      </c>
      <c r="F459" s="9" t="s">
        <v>2386</v>
      </c>
      <c r="G459" s="9">
        <v>38461</v>
      </c>
      <c r="H459" s="9" t="s">
        <v>1007</v>
      </c>
      <c r="I459" s="9">
        <v>183</v>
      </c>
      <c r="J459" s="9">
        <v>14</v>
      </c>
      <c r="K459" s="9">
        <v>0</v>
      </c>
    </row>
    <row r="460" spans="1:11" x14ac:dyDescent="0.4">
      <c r="A460" s="9" t="s">
        <v>300</v>
      </c>
      <c r="B460" s="9" t="s">
        <v>26</v>
      </c>
      <c r="C460" s="9">
        <v>17</v>
      </c>
      <c r="D460" s="9" t="s">
        <v>686</v>
      </c>
      <c r="E460" s="9" t="s">
        <v>2387</v>
      </c>
      <c r="F460" s="9" t="s">
        <v>2389</v>
      </c>
      <c r="G460" s="9">
        <v>37463</v>
      </c>
      <c r="H460" s="9" t="s">
        <v>992</v>
      </c>
      <c r="I460" s="9">
        <v>187</v>
      </c>
      <c r="J460" s="9">
        <v>15</v>
      </c>
      <c r="K460" s="9">
        <v>1</v>
      </c>
    </row>
    <row r="461" spans="1:11" x14ac:dyDescent="0.4">
      <c r="A461" s="9" t="s">
        <v>300</v>
      </c>
      <c r="B461" s="9" t="s">
        <v>26</v>
      </c>
      <c r="C461" s="9">
        <v>18</v>
      </c>
      <c r="D461" s="9" t="s">
        <v>691</v>
      </c>
      <c r="E461" s="9" t="s">
        <v>2390</v>
      </c>
      <c r="F461" s="9" t="s">
        <v>2392</v>
      </c>
      <c r="G461" s="9">
        <v>36946</v>
      </c>
      <c r="H461" s="9" t="s">
        <v>1181</v>
      </c>
      <c r="I461" s="9">
        <v>182</v>
      </c>
      <c r="J461" s="9">
        <v>19</v>
      </c>
      <c r="K461" s="9">
        <v>3</v>
      </c>
    </row>
    <row r="462" spans="1:11" x14ac:dyDescent="0.4">
      <c r="A462" s="9" t="s">
        <v>300</v>
      </c>
      <c r="B462" s="9" t="s">
        <v>26</v>
      </c>
      <c r="C462" s="9">
        <v>19</v>
      </c>
      <c r="D462" s="9" t="s">
        <v>691</v>
      </c>
      <c r="E462" s="9" t="s">
        <v>2393</v>
      </c>
      <c r="F462" s="9" t="s">
        <v>2395</v>
      </c>
      <c r="G462" s="9">
        <v>35063</v>
      </c>
      <c r="H462" s="9" t="s">
        <v>992</v>
      </c>
      <c r="I462" s="9">
        <v>180</v>
      </c>
      <c r="J462" s="9">
        <v>22</v>
      </c>
      <c r="K462" s="9">
        <v>7</v>
      </c>
    </row>
    <row r="463" spans="1:11" x14ac:dyDescent="0.4">
      <c r="A463" s="9" t="s">
        <v>300</v>
      </c>
      <c r="B463" s="9" t="s">
        <v>26</v>
      </c>
      <c r="C463" s="9">
        <v>20</v>
      </c>
      <c r="D463" s="9" t="s">
        <v>691</v>
      </c>
      <c r="E463" s="9" t="s">
        <v>2396</v>
      </c>
      <c r="F463" s="9" t="s">
        <v>2398</v>
      </c>
      <c r="G463" s="9">
        <v>37325</v>
      </c>
      <c r="H463" s="9" t="s">
        <v>1000</v>
      </c>
      <c r="I463" s="9">
        <v>182</v>
      </c>
      <c r="J463" s="9">
        <v>11</v>
      </c>
      <c r="K463" s="9">
        <v>1</v>
      </c>
    </row>
    <row r="464" spans="1:11" x14ac:dyDescent="0.4">
      <c r="A464" s="9" t="s">
        <v>300</v>
      </c>
      <c r="B464" s="9" t="s">
        <v>26</v>
      </c>
      <c r="C464" s="9">
        <v>21</v>
      </c>
      <c r="D464" s="9" t="s">
        <v>686</v>
      </c>
      <c r="E464" s="9" t="s">
        <v>2399</v>
      </c>
      <c r="F464" s="9" t="s">
        <v>2401</v>
      </c>
      <c r="G464" s="9">
        <v>35975</v>
      </c>
      <c r="H464" s="9" t="s">
        <v>1000</v>
      </c>
      <c r="I464" s="9">
        <v>178</v>
      </c>
      <c r="J464" s="9">
        <v>17</v>
      </c>
      <c r="K464" s="9">
        <v>3</v>
      </c>
    </row>
    <row r="465" spans="1:11" x14ac:dyDescent="0.4">
      <c r="A465" s="9" t="s">
        <v>300</v>
      </c>
      <c r="B465" s="9" t="s">
        <v>26</v>
      </c>
      <c r="C465" s="9">
        <v>22</v>
      </c>
      <c r="D465" s="9" t="s">
        <v>691</v>
      </c>
      <c r="E465" s="9" t="s">
        <v>2402</v>
      </c>
      <c r="F465" s="9" t="s">
        <v>2404</v>
      </c>
      <c r="G465" s="9">
        <v>35140</v>
      </c>
      <c r="H465" s="9" t="s">
        <v>695</v>
      </c>
      <c r="I465" s="9">
        <v>185</v>
      </c>
      <c r="J465" s="9">
        <v>8</v>
      </c>
      <c r="K465" s="9">
        <v>1</v>
      </c>
    </row>
    <row r="466" spans="1:11" x14ac:dyDescent="0.4">
      <c r="A466" s="9" t="s">
        <v>300</v>
      </c>
      <c r="B466" s="9" t="s">
        <v>26</v>
      </c>
      <c r="C466" s="9">
        <v>23</v>
      </c>
      <c r="D466" s="9" t="s">
        <v>664</v>
      </c>
      <c r="E466" s="9" t="s">
        <v>2405</v>
      </c>
      <c r="F466" s="9" t="s">
        <v>2407</v>
      </c>
      <c r="G466" s="9">
        <v>37539</v>
      </c>
      <c r="H466" s="9" t="s">
        <v>727</v>
      </c>
      <c r="I466" s="9">
        <v>197</v>
      </c>
      <c r="J466" s="9">
        <v>2</v>
      </c>
      <c r="K466" s="9">
        <v>0</v>
      </c>
    </row>
    <row r="467" spans="1:11" x14ac:dyDescent="0.4">
      <c r="A467" s="9" t="s">
        <v>300</v>
      </c>
      <c r="B467" s="9" t="s">
        <v>26</v>
      </c>
      <c r="C467" s="9">
        <v>24</v>
      </c>
      <c r="D467" s="9" t="s">
        <v>669</v>
      </c>
      <c r="E467" s="9" t="s">
        <v>2408</v>
      </c>
      <c r="F467" s="9" t="s">
        <v>1604</v>
      </c>
      <c r="G467" s="9">
        <v>36502</v>
      </c>
      <c r="H467" s="9" t="s">
        <v>1554</v>
      </c>
      <c r="I467" s="9">
        <v>180</v>
      </c>
      <c r="J467" s="9">
        <v>24</v>
      </c>
      <c r="K467" s="9">
        <v>1</v>
      </c>
    </row>
    <row r="468" spans="1:11" x14ac:dyDescent="0.4">
      <c r="A468" s="9" t="s">
        <v>300</v>
      </c>
      <c r="B468" s="9" t="s">
        <v>26</v>
      </c>
      <c r="C468" s="9">
        <v>25</v>
      </c>
      <c r="D468" s="9" t="s">
        <v>669</v>
      </c>
      <c r="E468" s="9" t="s">
        <v>2410</v>
      </c>
      <c r="F468" s="9" t="s">
        <v>2412</v>
      </c>
      <c r="G468" s="9">
        <v>36747</v>
      </c>
      <c r="H468" s="9" t="s">
        <v>879</v>
      </c>
      <c r="I468" s="9">
        <v>184</v>
      </c>
      <c r="J468" s="9">
        <v>6</v>
      </c>
      <c r="K468" s="9">
        <v>0</v>
      </c>
    </row>
    <row r="469" spans="1:11" x14ac:dyDescent="0.4">
      <c r="A469" s="9" t="s">
        <v>300</v>
      </c>
      <c r="B469" s="9" t="s">
        <v>26</v>
      </c>
      <c r="C469" s="9">
        <v>26</v>
      </c>
      <c r="D469" s="9" t="s">
        <v>669</v>
      </c>
      <c r="E469" s="9" t="s">
        <v>2413</v>
      </c>
      <c r="F469" s="9" t="s">
        <v>2415</v>
      </c>
      <c r="G469" s="9">
        <v>37650</v>
      </c>
      <c r="H469" s="9" t="s">
        <v>753</v>
      </c>
      <c r="I469" s="9">
        <v>190</v>
      </c>
      <c r="J469" s="9">
        <v>3</v>
      </c>
      <c r="K469" s="9">
        <v>0</v>
      </c>
    </row>
    <row r="470" spans="1:11" x14ac:dyDescent="0.4">
      <c r="A470" s="9" t="s">
        <v>295</v>
      </c>
      <c r="B470" s="9" t="s">
        <v>21</v>
      </c>
      <c r="C470" s="9">
        <v>1</v>
      </c>
      <c r="D470" s="9" t="s">
        <v>664</v>
      </c>
      <c r="E470" s="9" t="s">
        <v>2416</v>
      </c>
      <c r="F470" s="9" t="s">
        <v>2418</v>
      </c>
      <c r="G470" s="9">
        <v>34449</v>
      </c>
      <c r="H470" s="9" t="s">
        <v>2419</v>
      </c>
      <c r="I470" s="9">
        <v>187</v>
      </c>
      <c r="J470" s="9">
        <v>4</v>
      </c>
      <c r="K470" s="9">
        <v>0</v>
      </c>
    </row>
    <row r="471" spans="1:11" x14ac:dyDescent="0.4">
      <c r="A471" s="9" t="s">
        <v>295</v>
      </c>
      <c r="B471" s="9" t="s">
        <v>21</v>
      </c>
      <c r="C471" s="9">
        <v>2</v>
      </c>
      <c r="D471" s="9" t="s">
        <v>669</v>
      </c>
      <c r="E471" s="9" t="s">
        <v>2420</v>
      </c>
      <c r="F471" s="9" t="s">
        <v>2422</v>
      </c>
      <c r="G471" s="9">
        <v>37760</v>
      </c>
      <c r="H471" s="9" t="s">
        <v>1554</v>
      </c>
      <c r="I471" s="9">
        <v>179</v>
      </c>
      <c r="J471" s="9">
        <v>11</v>
      </c>
      <c r="K471" s="9">
        <v>0</v>
      </c>
    </row>
    <row r="472" spans="1:11" x14ac:dyDescent="0.4">
      <c r="A472" s="9" t="s">
        <v>295</v>
      </c>
      <c r="B472" s="9" t="s">
        <v>21</v>
      </c>
      <c r="C472" s="9">
        <v>3</v>
      </c>
      <c r="D472" s="9" t="s">
        <v>669</v>
      </c>
      <c r="E472" s="9" t="s">
        <v>2423</v>
      </c>
      <c r="F472" s="9" t="s">
        <v>2424</v>
      </c>
      <c r="G472" s="9">
        <v>34170</v>
      </c>
      <c r="H472" s="9" t="s">
        <v>992</v>
      </c>
      <c r="I472" s="9">
        <v>178</v>
      </c>
      <c r="J472" s="9">
        <v>58</v>
      </c>
      <c r="K472" s="9">
        <v>0</v>
      </c>
    </row>
    <row r="473" spans="1:11" x14ac:dyDescent="0.4">
      <c r="A473" s="9" t="s">
        <v>295</v>
      </c>
      <c r="B473" s="9" t="s">
        <v>21</v>
      </c>
      <c r="C473" s="9">
        <v>4</v>
      </c>
      <c r="D473" s="9" t="s">
        <v>669</v>
      </c>
      <c r="E473" s="9" t="s">
        <v>2425</v>
      </c>
      <c r="F473" s="9" t="s">
        <v>2427</v>
      </c>
      <c r="G473" s="9">
        <v>36095</v>
      </c>
      <c r="H473" s="9" t="s">
        <v>944</v>
      </c>
      <c r="I473" s="9">
        <v>186</v>
      </c>
      <c r="J473" s="9">
        <v>38</v>
      </c>
      <c r="K473" s="9">
        <v>2</v>
      </c>
    </row>
    <row r="474" spans="1:11" x14ac:dyDescent="0.4">
      <c r="A474" s="9" t="s">
        <v>295</v>
      </c>
      <c r="B474" s="9" t="s">
        <v>21</v>
      </c>
      <c r="C474" s="9">
        <v>5</v>
      </c>
      <c r="D474" s="9" t="s">
        <v>669</v>
      </c>
      <c r="E474" s="9" t="s">
        <v>2428</v>
      </c>
      <c r="F474" s="9" t="s">
        <v>2430</v>
      </c>
      <c r="G474" s="9">
        <v>36111</v>
      </c>
      <c r="H474" s="9" t="s">
        <v>1193</v>
      </c>
      <c r="I474" s="9">
        <v>178</v>
      </c>
      <c r="J474" s="9">
        <v>48</v>
      </c>
      <c r="K474" s="9">
        <v>0</v>
      </c>
    </row>
    <row r="475" spans="1:11" x14ac:dyDescent="0.4">
      <c r="A475" s="9" t="s">
        <v>295</v>
      </c>
      <c r="B475" s="9" t="s">
        <v>21</v>
      </c>
      <c r="C475" s="9">
        <v>6</v>
      </c>
      <c r="D475" s="9" t="s">
        <v>686</v>
      </c>
      <c r="E475" s="9" t="s">
        <v>2431</v>
      </c>
      <c r="F475" s="9" t="s">
        <v>1407</v>
      </c>
      <c r="G475" s="9">
        <v>37028</v>
      </c>
      <c r="H475" s="9" t="s">
        <v>1856</v>
      </c>
      <c r="I475" s="9">
        <v>185</v>
      </c>
      <c r="J475" s="9">
        <v>14</v>
      </c>
      <c r="K475" s="9">
        <v>0</v>
      </c>
    </row>
    <row r="476" spans="1:11" x14ac:dyDescent="0.4">
      <c r="A476" s="9" t="s">
        <v>295</v>
      </c>
      <c r="B476" s="9" t="s">
        <v>21</v>
      </c>
      <c r="C476" s="9">
        <v>7</v>
      </c>
      <c r="D476" s="9" t="s">
        <v>691</v>
      </c>
      <c r="E476" s="9" t="s">
        <v>2433</v>
      </c>
      <c r="F476" s="9" t="s">
        <v>2435</v>
      </c>
      <c r="G476" s="9">
        <v>35565</v>
      </c>
      <c r="H476" s="9" t="s">
        <v>1165</v>
      </c>
      <c r="I476" s="9">
        <v>179</v>
      </c>
      <c r="J476" s="9">
        <v>59</v>
      </c>
      <c r="K476" s="9">
        <v>7</v>
      </c>
    </row>
    <row r="477" spans="1:11" x14ac:dyDescent="0.4">
      <c r="A477" s="9" t="s">
        <v>295</v>
      </c>
      <c r="B477" s="9" t="s">
        <v>21</v>
      </c>
      <c r="C477" s="9">
        <v>8</v>
      </c>
      <c r="D477" s="9" t="s">
        <v>686</v>
      </c>
      <c r="E477" s="9" t="s">
        <v>2436</v>
      </c>
      <c r="F477" s="9" t="s">
        <v>2438</v>
      </c>
      <c r="G477" s="9">
        <v>36552</v>
      </c>
      <c r="H477" s="9" t="s">
        <v>898</v>
      </c>
      <c r="I477" s="9">
        <v>188</v>
      </c>
      <c r="J477" s="9">
        <v>46</v>
      </c>
      <c r="K477" s="9">
        <v>3</v>
      </c>
    </row>
    <row r="478" spans="1:11" x14ac:dyDescent="0.4">
      <c r="A478" s="9" t="s">
        <v>295</v>
      </c>
      <c r="B478" s="9" t="s">
        <v>21</v>
      </c>
      <c r="C478" s="9">
        <v>9</v>
      </c>
      <c r="D478" s="9" t="s">
        <v>691</v>
      </c>
      <c r="E478" s="9" t="s">
        <v>2439</v>
      </c>
      <c r="F478" s="9" t="s">
        <v>2441</v>
      </c>
      <c r="G478" s="9">
        <v>35648</v>
      </c>
      <c r="H478" s="9" t="s">
        <v>1547</v>
      </c>
      <c r="I478" s="9">
        <v>192</v>
      </c>
      <c r="J478" s="9">
        <v>34</v>
      </c>
      <c r="K478" s="9">
        <v>3</v>
      </c>
    </row>
    <row r="479" spans="1:11" x14ac:dyDescent="0.4">
      <c r="A479" s="9" t="s">
        <v>295</v>
      </c>
      <c r="B479" s="9" t="s">
        <v>21</v>
      </c>
      <c r="C479" s="9">
        <v>10</v>
      </c>
      <c r="D479" s="9" t="s">
        <v>691</v>
      </c>
      <c r="E479" s="9" t="s">
        <v>2443</v>
      </c>
      <c r="F479" s="9" t="s">
        <v>2445</v>
      </c>
      <c r="G479" s="9">
        <v>36149</v>
      </c>
      <c r="H479" s="9" t="s">
        <v>898</v>
      </c>
      <c r="I479" s="9">
        <v>180</v>
      </c>
      <c r="J479" s="9">
        <v>98</v>
      </c>
      <c r="K479" s="9">
        <v>56</v>
      </c>
    </row>
    <row r="480" spans="1:11" x14ac:dyDescent="0.4">
      <c r="A480" s="9" t="s">
        <v>295</v>
      </c>
      <c r="B480" s="9" t="s">
        <v>21</v>
      </c>
      <c r="C480" s="9">
        <v>11</v>
      </c>
      <c r="D480" s="9" t="s">
        <v>691</v>
      </c>
      <c r="E480" s="9" t="s">
        <v>2447</v>
      </c>
      <c r="F480" s="9" t="s">
        <v>2449</v>
      </c>
      <c r="G480" s="9">
        <v>37237</v>
      </c>
      <c r="H480" s="9" t="s">
        <v>944</v>
      </c>
      <c r="I480" s="9">
        <v>184</v>
      </c>
      <c r="J480" s="9">
        <v>17</v>
      </c>
      <c r="K480" s="9">
        <v>7</v>
      </c>
    </row>
    <row r="481" spans="1:11" x14ac:dyDescent="0.4">
      <c r="A481" s="9" t="s">
        <v>295</v>
      </c>
      <c r="B481" s="9" t="s">
        <v>21</v>
      </c>
      <c r="C481" s="9">
        <v>12</v>
      </c>
      <c r="D481" s="9" t="s">
        <v>691</v>
      </c>
      <c r="E481" s="9" t="s">
        <v>2450</v>
      </c>
      <c r="F481" s="9" t="s">
        <v>2452</v>
      </c>
      <c r="G481" s="9">
        <v>37501</v>
      </c>
      <c r="H481" s="9" t="s">
        <v>1165</v>
      </c>
      <c r="I481" s="9">
        <v>187</v>
      </c>
      <c r="J481" s="9">
        <v>20</v>
      </c>
      <c r="K481" s="9">
        <v>3</v>
      </c>
    </row>
    <row r="482" spans="1:11" x14ac:dyDescent="0.4">
      <c r="A482" s="9" t="s">
        <v>295</v>
      </c>
      <c r="B482" s="9" t="s">
        <v>21</v>
      </c>
      <c r="C482" s="9">
        <v>13</v>
      </c>
      <c r="D482" s="9" t="s">
        <v>686</v>
      </c>
      <c r="E482" s="9" t="s">
        <v>2453</v>
      </c>
      <c r="F482" s="9" t="s">
        <v>2455</v>
      </c>
      <c r="G482" s="9">
        <v>33326</v>
      </c>
      <c r="H482" s="9" t="s">
        <v>1239</v>
      </c>
      <c r="I482" s="9">
        <v>171</v>
      </c>
      <c r="J482" s="9">
        <v>69</v>
      </c>
      <c r="K482" s="9">
        <v>2</v>
      </c>
    </row>
    <row r="483" spans="1:11" x14ac:dyDescent="0.4">
      <c r="A483" s="9" t="s">
        <v>295</v>
      </c>
      <c r="B483" s="9" t="s">
        <v>21</v>
      </c>
      <c r="C483" s="9">
        <v>14</v>
      </c>
      <c r="D483" s="9" t="s">
        <v>686</v>
      </c>
      <c r="E483" s="9" t="s">
        <v>2456</v>
      </c>
      <c r="F483" s="9" t="s">
        <v>2458</v>
      </c>
      <c r="G483" s="9">
        <v>34792</v>
      </c>
      <c r="H483" s="9" t="s">
        <v>1023</v>
      </c>
      <c r="I483" s="9">
        <v>191</v>
      </c>
      <c r="J483" s="9">
        <v>59</v>
      </c>
      <c r="K483" s="9">
        <v>7</v>
      </c>
    </row>
    <row r="484" spans="1:11" x14ac:dyDescent="0.4">
      <c r="A484" s="9" t="s">
        <v>295</v>
      </c>
      <c r="B484" s="9" t="s">
        <v>21</v>
      </c>
      <c r="C484" s="9">
        <v>15</v>
      </c>
      <c r="D484" s="9" t="s">
        <v>669</v>
      </c>
      <c r="E484" s="9" t="s">
        <v>2459</v>
      </c>
      <c r="F484" s="9" t="s">
        <v>2461</v>
      </c>
      <c r="G484" s="9">
        <v>36305</v>
      </c>
      <c r="H484" s="9" t="s">
        <v>1153</v>
      </c>
      <c r="I484" s="9">
        <v>194</v>
      </c>
      <c r="J484" s="9">
        <v>28</v>
      </c>
      <c r="K484" s="9">
        <v>0</v>
      </c>
    </row>
    <row r="485" spans="1:11" x14ac:dyDescent="0.4">
      <c r="A485" s="9" t="s">
        <v>295</v>
      </c>
      <c r="B485" s="9" t="s">
        <v>21</v>
      </c>
      <c r="C485" s="9">
        <v>16</v>
      </c>
      <c r="D485" s="9" t="s">
        <v>664</v>
      </c>
      <c r="E485" s="9" t="s">
        <v>2463</v>
      </c>
      <c r="F485" s="9" t="s">
        <v>2465</v>
      </c>
      <c r="G485" s="9">
        <v>34883</v>
      </c>
      <c r="H485" s="9" t="s">
        <v>1023</v>
      </c>
      <c r="I485" s="9">
        <v>191</v>
      </c>
      <c r="J485" s="9">
        <v>40</v>
      </c>
      <c r="K485" s="9">
        <v>0</v>
      </c>
    </row>
    <row r="486" spans="1:11" x14ac:dyDescent="0.4">
      <c r="A486" s="9" t="s">
        <v>295</v>
      </c>
      <c r="B486" s="9" t="s">
        <v>21</v>
      </c>
      <c r="C486" s="9">
        <v>17</v>
      </c>
      <c r="D486" s="9" t="s">
        <v>669</v>
      </c>
      <c r="E486" s="9" t="s">
        <v>2466</v>
      </c>
      <c r="F486" s="9" t="s">
        <v>1466</v>
      </c>
      <c r="G486" s="9">
        <v>36974</v>
      </c>
      <c r="H486" s="9" t="s">
        <v>1000</v>
      </c>
      <c r="I486" s="9">
        <v>192</v>
      </c>
      <c r="J486" s="9">
        <v>32</v>
      </c>
      <c r="K486" s="9">
        <v>0</v>
      </c>
    </row>
    <row r="487" spans="1:11" x14ac:dyDescent="0.4">
      <c r="A487" s="9" t="s">
        <v>295</v>
      </c>
      <c r="B487" s="9" t="s">
        <v>21</v>
      </c>
      <c r="C487" s="9">
        <v>18</v>
      </c>
      <c r="D487" s="9" t="s">
        <v>686</v>
      </c>
      <c r="E487" s="9" t="s">
        <v>2468</v>
      </c>
      <c r="F487" s="9" t="s">
        <v>2470</v>
      </c>
      <c r="G487" s="9">
        <v>38784</v>
      </c>
      <c r="H487" s="9" t="s">
        <v>1165</v>
      </c>
      <c r="I487" s="9">
        <v>176</v>
      </c>
      <c r="J487" s="9">
        <v>11</v>
      </c>
      <c r="K487" s="9">
        <v>1</v>
      </c>
    </row>
    <row r="488" spans="1:11" x14ac:dyDescent="0.4">
      <c r="A488" s="9" t="s">
        <v>295</v>
      </c>
      <c r="B488" s="9" t="s">
        <v>21</v>
      </c>
      <c r="C488" s="9">
        <v>19</v>
      </c>
      <c r="D488" s="9" t="s">
        <v>669</v>
      </c>
      <c r="E488" s="9" t="s">
        <v>2472</v>
      </c>
      <c r="F488" s="9" t="s">
        <v>2474</v>
      </c>
      <c r="G488" s="9">
        <v>35709</v>
      </c>
      <c r="H488" s="9" t="s">
        <v>2475</v>
      </c>
      <c r="I488" s="9">
        <v>184</v>
      </c>
      <c r="J488" s="9">
        <v>44</v>
      </c>
      <c r="K488" s="9">
        <v>2</v>
      </c>
    </row>
    <row r="489" spans="1:11" x14ac:dyDescent="0.4">
      <c r="A489" s="9" t="s">
        <v>295</v>
      </c>
      <c r="B489" s="9" t="s">
        <v>21</v>
      </c>
      <c r="C489" s="9">
        <v>20</v>
      </c>
      <c r="D489" s="9" t="s">
        <v>691</v>
      </c>
      <c r="E489" s="9" t="s">
        <v>2477</v>
      </c>
      <c r="F489" s="9" t="s">
        <v>1843</v>
      </c>
      <c r="G489" s="9">
        <v>38506</v>
      </c>
      <c r="H489" s="9" t="s">
        <v>1165</v>
      </c>
      <c r="I489" s="9">
        <v>182</v>
      </c>
      <c r="J489" s="9">
        <v>7</v>
      </c>
      <c r="K489" s="9">
        <v>2</v>
      </c>
    </row>
    <row r="490" spans="1:11" x14ac:dyDescent="0.4">
      <c r="A490" s="9" t="s">
        <v>295</v>
      </c>
      <c r="B490" s="9" t="s">
        <v>21</v>
      </c>
      <c r="C490" s="9">
        <v>21</v>
      </c>
      <c r="D490" s="9" t="s">
        <v>669</v>
      </c>
      <c r="E490" s="9" t="s">
        <v>2479</v>
      </c>
      <c r="F490" s="9" t="s">
        <v>2481</v>
      </c>
      <c r="G490" s="9">
        <v>35109</v>
      </c>
      <c r="H490" s="9" t="s">
        <v>1165</v>
      </c>
      <c r="I490" s="9">
        <v>184</v>
      </c>
      <c r="J490" s="9">
        <v>42</v>
      </c>
      <c r="K490" s="9">
        <v>0</v>
      </c>
    </row>
    <row r="491" spans="1:11" x14ac:dyDescent="0.4">
      <c r="A491" s="9" t="s">
        <v>295</v>
      </c>
      <c r="B491" s="9" t="s">
        <v>21</v>
      </c>
      <c r="C491" s="9">
        <v>22</v>
      </c>
      <c r="D491" s="9" t="s">
        <v>691</v>
      </c>
      <c r="E491" s="9" t="s">
        <v>2482</v>
      </c>
      <c r="F491" s="9" t="s">
        <v>2484</v>
      </c>
      <c r="G491" s="9">
        <v>35609</v>
      </c>
      <c r="H491" s="9" t="s">
        <v>1570</v>
      </c>
      <c r="I491" s="9">
        <v>192</v>
      </c>
      <c r="J491" s="9">
        <v>4</v>
      </c>
      <c r="K491" s="9">
        <v>2</v>
      </c>
    </row>
    <row r="492" spans="1:11" x14ac:dyDescent="0.4">
      <c r="A492" s="9" t="s">
        <v>295</v>
      </c>
      <c r="B492" s="9" t="s">
        <v>21</v>
      </c>
      <c r="C492" s="9">
        <v>23</v>
      </c>
      <c r="D492" s="9" t="s">
        <v>664</v>
      </c>
      <c r="E492" s="9" t="s">
        <v>2485</v>
      </c>
      <c r="F492" s="9" t="s">
        <v>2487</v>
      </c>
      <c r="G492" s="9">
        <v>38323</v>
      </c>
      <c r="H492" s="9" t="s">
        <v>1782</v>
      </c>
      <c r="I492" s="9">
        <v>193</v>
      </c>
      <c r="J492" s="9">
        <v>0</v>
      </c>
      <c r="K492" s="9">
        <v>0</v>
      </c>
    </row>
    <row r="493" spans="1:11" x14ac:dyDescent="0.4">
      <c r="A493" s="9" t="s">
        <v>295</v>
      </c>
      <c r="B493" s="9" t="s">
        <v>21</v>
      </c>
      <c r="C493" s="9">
        <v>24</v>
      </c>
      <c r="D493" s="9" t="s">
        <v>686</v>
      </c>
      <c r="E493" s="9" t="s">
        <v>2488</v>
      </c>
      <c r="F493" s="9" t="s">
        <v>2490</v>
      </c>
      <c r="G493" s="9">
        <v>37850</v>
      </c>
      <c r="H493" s="9" t="s">
        <v>727</v>
      </c>
      <c r="I493" s="9">
        <v>180</v>
      </c>
      <c r="J493" s="9">
        <v>7</v>
      </c>
      <c r="K493" s="9">
        <v>2</v>
      </c>
    </row>
    <row r="494" spans="1:11" x14ac:dyDescent="0.4">
      <c r="A494" s="9" t="s">
        <v>295</v>
      </c>
      <c r="B494" s="9" t="s">
        <v>21</v>
      </c>
      <c r="C494" s="9">
        <v>25</v>
      </c>
      <c r="D494" s="9" t="s">
        <v>686</v>
      </c>
      <c r="E494" s="9" t="s">
        <v>2491</v>
      </c>
      <c r="F494" s="9" t="s">
        <v>2493</v>
      </c>
      <c r="G494" s="9">
        <v>37312</v>
      </c>
      <c r="H494" s="9" t="s">
        <v>1820</v>
      </c>
      <c r="I494" s="9">
        <v>183</v>
      </c>
      <c r="J494" s="9">
        <v>9</v>
      </c>
      <c r="K494" s="9">
        <v>1</v>
      </c>
    </row>
    <row r="495" spans="1:11" x14ac:dyDescent="0.4">
      <c r="A495" s="9" t="s">
        <v>295</v>
      </c>
      <c r="B495" s="9" t="s">
        <v>21</v>
      </c>
      <c r="C495" s="9">
        <v>26</v>
      </c>
      <c r="D495" s="9" t="s">
        <v>669</v>
      </c>
      <c r="E495" s="9" t="s">
        <v>2494</v>
      </c>
      <c r="F495" s="9" t="s">
        <v>2496</v>
      </c>
      <c r="G495" s="9">
        <v>36622</v>
      </c>
      <c r="H495" s="9" t="s">
        <v>1570</v>
      </c>
      <c r="I495" s="9">
        <v>192</v>
      </c>
      <c r="J495" s="9">
        <v>4</v>
      </c>
      <c r="K495" s="9">
        <v>0</v>
      </c>
    </row>
    <row r="496" spans="1:11" x14ac:dyDescent="0.4">
      <c r="A496" s="9" t="s">
        <v>287</v>
      </c>
      <c r="B496" s="9" t="s">
        <v>13</v>
      </c>
      <c r="C496" s="9">
        <v>1</v>
      </c>
      <c r="D496" s="9" t="s">
        <v>664</v>
      </c>
      <c r="E496" s="9" t="s">
        <v>2497</v>
      </c>
      <c r="F496" s="9" t="s">
        <v>2499</v>
      </c>
      <c r="G496" s="9">
        <v>31498</v>
      </c>
      <c r="H496" s="9" t="s">
        <v>944</v>
      </c>
      <c r="I496" s="9">
        <v>193</v>
      </c>
      <c r="J496" s="9">
        <v>124</v>
      </c>
      <c r="K496" s="9">
        <v>0</v>
      </c>
    </row>
    <row r="497" spans="1:11" x14ac:dyDescent="0.4">
      <c r="A497" s="9" t="s">
        <v>287</v>
      </c>
      <c r="B497" s="9" t="s">
        <v>13</v>
      </c>
      <c r="C497" s="9">
        <v>2</v>
      </c>
      <c r="D497" s="9" t="s">
        <v>669</v>
      </c>
      <c r="E497" s="9" t="s">
        <v>2500</v>
      </c>
      <c r="F497" s="9" t="s">
        <v>2502</v>
      </c>
      <c r="G497" s="9">
        <v>34031</v>
      </c>
      <c r="H497" s="9" t="s">
        <v>898</v>
      </c>
      <c r="I497" s="9">
        <v>190</v>
      </c>
      <c r="J497" s="9">
        <v>82</v>
      </c>
      <c r="K497" s="9">
        <v>3</v>
      </c>
    </row>
    <row r="498" spans="1:11" x14ac:dyDescent="0.4">
      <c r="A498" s="9" t="s">
        <v>287</v>
      </c>
      <c r="B498" s="9" t="s">
        <v>13</v>
      </c>
      <c r="C498" s="9">
        <v>3</v>
      </c>
      <c r="D498" s="9" t="s">
        <v>669</v>
      </c>
      <c r="E498" s="9" t="s">
        <v>2503</v>
      </c>
      <c r="F498" s="9" t="s">
        <v>2505</v>
      </c>
      <c r="G498" s="9">
        <v>35266</v>
      </c>
      <c r="H498" s="9" t="s">
        <v>749</v>
      </c>
      <c r="I498" s="9">
        <v>189</v>
      </c>
      <c r="J498" s="9">
        <v>13</v>
      </c>
      <c r="K498" s="9">
        <v>0</v>
      </c>
    </row>
    <row r="499" spans="1:11" x14ac:dyDescent="0.4">
      <c r="A499" s="9" t="s">
        <v>287</v>
      </c>
      <c r="B499" s="9" t="s">
        <v>13</v>
      </c>
      <c r="C499" s="9">
        <v>4</v>
      </c>
      <c r="D499" s="9" t="s">
        <v>669</v>
      </c>
      <c r="E499" s="9" t="s">
        <v>2506</v>
      </c>
      <c r="F499" s="9" t="s">
        <v>2508</v>
      </c>
      <c r="G499" s="9">
        <v>35106</v>
      </c>
      <c r="H499" s="9" t="s">
        <v>944</v>
      </c>
      <c r="I499" s="9">
        <v>195</v>
      </c>
      <c r="J499" s="9">
        <v>47</v>
      </c>
      <c r="K499" s="9">
        <v>1</v>
      </c>
    </row>
    <row r="500" spans="1:11" x14ac:dyDescent="0.4">
      <c r="A500" s="9" t="s">
        <v>287</v>
      </c>
      <c r="B500" s="9" t="s">
        <v>13</v>
      </c>
      <c r="C500" s="9">
        <v>5</v>
      </c>
      <c r="D500" s="9" t="s">
        <v>686</v>
      </c>
      <c r="E500" s="9" t="s">
        <v>2509</v>
      </c>
      <c r="F500" s="9" t="s">
        <v>2511</v>
      </c>
      <c r="G500" s="9">
        <v>38110</v>
      </c>
      <c r="H500" s="9" t="s">
        <v>944</v>
      </c>
      <c r="I500" s="9">
        <v>188</v>
      </c>
      <c r="J500" s="9">
        <v>11</v>
      </c>
      <c r="K500" s="9">
        <v>1</v>
      </c>
    </row>
    <row r="501" spans="1:11" x14ac:dyDescent="0.4">
      <c r="A501" s="9" t="s">
        <v>287</v>
      </c>
      <c r="B501" s="9" t="s">
        <v>13</v>
      </c>
      <c r="C501" s="9">
        <v>6</v>
      </c>
      <c r="D501" s="9" t="s">
        <v>669</v>
      </c>
      <c r="E501" s="9" t="s">
        <v>2512</v>
      </c>
      <c r="F501" s="9" t="s">
        <v>2514</v>
      </c>
      <c r="G501" s="9">
        <v>34738</v>
      </c>
      <c r="H501" s="9" t="s">
        <v>944</v>
      </c>
      <c r="I501" s="9">
        <v>177</v>
      </c>
      <c r="J501" s="9">
        <v>110</v>
      </c>
      <c r="K501" s="9">
        <v>10</v>
      </c>
    </row>
    <row r="502" spans="1:11" x14ac:dyDescent="0.4">
      <c r="A502" s="9" t="s">
        <v>287</v>
      </c>
      <c r="B502" s="9" t="s">
        <v>13</v>
      </c>
      <c r="C502" s="9">
        <v>7</v>
      </c>
      <c r="D502" s="9" t="s">
        <v>691</v>
      </c>
      <c r="E502" s="9" t="s">
        <v>2515</v>
      </c>
      <c r="F502" s="9" t="s">
        <v>2517</v>
      </c>
      <c r="G502" s="9">
        <v>36322</v>
      </c>
      <c r="H502" s="9" t="s">
        <v>1000</v>
      </c>
      <c r="I502" s="9">
        <v>190</v>
      </c>
      <c r="J502" s="9">
        <v>58</v>
      </c>
      <c r="K502" s="9">
        <v>22</v>
      </c>
    </row>
    <row r="503" spans="1:11" x14ac:dyDescent="0.4">
      <c r="A503" s="9" t="s">
        <v>287</v>
      </c>
      <c r="B503" s="9" t="s">
        <v>13</v>
      </c>
      <c r="C503" s="9">
        <v>8</v>
      </c>
      <c r="D503" s="9" t="s">
        <v>686</v>
      </c>
      <c r="E503" s="9" t="s">
        <v>2518</v>
      </c>
      <c r="F503" s="9" t="s">
        <v>2520</v>
      </c>
      <c r="G503" s="9">
        <v>34736</v>
      </c>
      <c r="H503" s="9" t="s">
        <v>944</v>
      </c>
      <c r="I503" s="9">
        <v>189</v>
      </c>
      <c r="J503" s="9">
        <v>70</v>
      </c>
      <c r="K503" s="9">
        <v>15</v>
      </c>
    </row>
    <row r="504" spans="1:11" x14ac:dyDescent="0.4">
      <c r="A504" s="9" t="s">
        <v>287</v>
      </c>
      <c r="B504" s="9" t="s">
        <v>13</v>
      </c>
      <c r="C504" s="9">
        <v>9</v>
      </c>
      <c r="D504" s="9" t="s">
        <v>686</v>
      </c>
      <c r="E504" s="9" t="s">
        <v>2521</v>
      </c>
      <c r="F504" s="9" t="s">
        <v>2523</v>
      </c>
      <c r="G504" s="9">
        <v>36948</v>
      </c>
      <c r="H504" s="9" t="s">
        <v>1094</v>
      </c>
      <c r="I504" s="9">
        <v>185</v>
      </c>
      <c r="J504" s="9">
        <v>5</v>
      </c>
      <c r="K504" s="9">
        <v>1</v>
      </c>
    </row>
    <row r="505" spans="1:11" x14ac:dyDescent="0.4">
      <c r="A505" s="9" t="s">
        <v>287</v>
      </c>
      <c r="B505" s="9" t="s">
        <v>13</v>
      </c>
      <c r="C505" s="9">
        <v>10</v>
      </c>
      <c r="D505" s="9" t="s">
        <v>686</v>
      </c>
      <c r="E505" s="9" t="s">
        <v>2524</v>
      </c>
      <c r="F505" s="9" t="s">
        <v>2526</v>
      </c>
      <c r="G505" s="9">
        <v>37678</v>
      </c>
      <c r="H505" s="9" t="s">
        <v>944</v>
      </c>
      <c r="I505" s="9">
        <v>180</v>
      </c>
      <c r="J505" s="9">
        <v>42</v>
      </c>
      <c r="K505" s="9">
        <v>9</v>
      </c>
    </row>
    <row r="506" spans="1:11" x14ac:dyDescent="0.4">
      <c r="A506" s="9" t="s">
        <v>287</v>
      </c>
      <c r="B506" s="9" t="s">
        <v>13</v>
      </c>
      <c r="C506" s="9">
        <v>11</v>
      </c>
      <c r="D506" s="9" t="s">
        <v>691</v>
      </c>
      <c r="E506" s="9" t="s">
        <v>2527</v>
      </c>
      <c r="F506" s="9" t="s">
        <v>2529</v>
      </c>
      <c r="G506" s="9">
        <v>37301</v>
      </c>
      <c r="H506" s="9" t="s">
        <v>1181</v>
      </c>
      <c r="I506" s="9">
        <v>198</v>
      </c>
      <c r="J506" s="9">
        <v>11</v>
      </c>
      <c r="K506" s="9">
        <v>4</v>
      </c>
    </row>
    <row r="507" spans="1:11" x14ac:dyDescent="0.4">
      <c r="A507" s="9" t="s">
        <v>287</v>
      </c>
      <c r="B507" s="9" t="s">
        <v>13</v>
      </c>
      <c r="C507" s="9">
        <v>12</v>
      </c>
      <c r="D507" s="9" t="s">
        <v>664</v>
      </c>
      <c r="E507" s="9" t="s">
        <v>2530</v>
      </c>
      <c r="F507" s="9" t="s">
        <v>2532</v>
      </c>
      <c r="G507" s="9">
        <v>33026</v>
      </c>
      <c r="H507" s="9" t="s">
        <v>949</v>
      </c>
      <c r="I507" s="9">
        <v>187</v>
      </c>
      <c r="J507" s="9">
        <v>13</v>
      </c>
      <c r="K507" s="9">
        <v>0</v>
      </c>
    </row>
    <row r="508" spans="1:11" x14ac:dyDescent="0.4">
      <c r="A508" s="9" t="s">
        <v>287</v>
      </c>
      <c r="B508" s="9" t="s">
        <v>13</v>
      </c>
      <c r="C508" s="9">
        <v>13</v>
      </c>
      <c r="D508" s="9" t="s">
        <v>686</v>
      </c>
      <c r="E508" s="9" t="s">
        <v>2533</v>
      </c>
      <c r="F508" s="9" t="s">
        <v>2535</v>
      </c>
      <c r="G508" s="9">
        <v>33404</v>
      </c>
      <c r="H508" s="9" t="s">
        <v>981</v>
      </c>
      <c r="I508" s="9">
        <v>181</v>
      </c>
      <c r="J508" s="9">
        <v>18</v>
      </c>
      <c r="K508" s="9">
        <v>1</v>
      </c>
    </row>
    <row r="509" spans="1:11" x14ac:dyDescent="0.4">
      <c r="A509" s="9" t="s">
        <v>287</v>
      </c>
      <c r="B509" s="9" t="s">
        <v>13</v>
      </c>
      <c r="C509" s="9">
        <v>14</v>
      </c>
      <c r="D509" s="9" t="s">
        <v>691</v>
      </c>
      <c r="E509" s="9" t="s">
        <v>2536</v>
      </c>
      <c r="F509" s="9" t="s">
        <v>2538</v>
      </c>
      <c r="G509" s="9">
        <v>37546</v>
      </c>
      <c r="H509" s="9" t="s">
        <v>749</v>
      </c>
      <c r="I509" s="9">
        <v>185</v>
      </c>
      <c r="J509" s="9">
        <v>9</v>
      </c>
      <c r="K509" s="9">
        <v>0</v>
      </c>
    </row>
    <row r="510" spans="1:11" x14ac:dyDescent="0.4">
      <c r="A510" s="9" t="s">
        <v>287</v>
      </c>
      <c r="B510" s="9" t="s">
        <v>13</v>
      </c>
      <c r="C510" s="9">
        <v>15</v>
      </c>
      <c r="D510" s="9" t="s">
        <v>669</v>
      </c>
      <c r="E510" s="9" t="s">
        <v>2539</v>
      </c>
      <c r="F510" s="9" t="s">
        <v>2541</v>
      </c>
      <c r="G510" s="9">
        <v>36495</v>
      </c>
      <c r="H510" s="9" t="s">
        <v>749</v>
      </c>
      <c r="I510" s="9">
        <v>191</v>
      </c>
      <c r="J510" s="9">
        <v>27</v>
      </c>
      <c r="K510" s="9">
        <v>0</v>
      </c>
    </row>
    <row r="511" spans="1:11" x14ac:dyDescent="0.4">
      <c r="A511" s="9" t="s">
        <v>287</v>
      </c>
      <c r="B511" s="9" t="s">
        <v>13</v>
      </c>
      <c r="C511" s="9">
        <v>16</v>
      </c>
      <c r="D511" s="9" t="s">
        <v>686</v>
      </c>
      <c r="E511" s="9" t="s">
        <v>2542</v>
      </c>
      <c r="F511" s="9" t="s">
        <v>2544</v>
      </c>
      <c r="G511" s="9">
        <v>36985</v>
      </c>
      <c r="H511" s="9" t="s">
        <v>1094</v>
      </c>
      <c r="I511" s="9">
        <v>183</v>
      </c>
      <c r="J511" s="9">
        <v>8</v>
      </c>
      <c r="K511" s="9">
        <v>0</v>
      </c>
    </row>
    <row r="512" spans="1:11" x14ac:dyDescent="0.4">
      <c r="A512" s="9" t="s">
        <v>287</v>
      </c>
      <c r="B512" s="9" t="s">
        <v>13</v>
      </c>
      <c r="C512" s="9">
        <v>17</v>
      </c>
      <c r="D512" s="9" t="s">
        <v>686</v>
      </c>
      <c r="E512" s="9" t="s">
        <v>2545</v>
      </c>
      <c r="F512" s="9" t="s">
        <v>2547</v>
      </c>
      <c r="G512" s="9">
        <v>37744</v>
      </c>
      <c r="H512" s="9" t="s">
        <v>1153</v>
      </c>
      <c r="I512" s="9">
        <v>176</v>
      </c>
      <c r="J512" s="9">
        <v>41</v>
      </c>
      <c r="K512" s="9">
        <v>11</v>
      </c>
    </row>
    <row r="513" spans="1:11" x14ac:dyDescent="0.4">
      <c r="A513" s="9" t="s">
        <v>287</v>
      </c>
      <c r="B513" s="9" t="s">
        <v>13</v>
      </c>
      <c r="C513" s="9">
        <v>18</v>
      </c>
      <c r="D513" s="9" t="s">
        <v>669</v>
      </c>
      <c r="E513" s="9" t="s">
        <v>2548</v>
      </c>
      <c r="F513" s="9" t="s">
        <v>2550</v>
      </c>
      <c r="G513" s="9">
        <v>37788</v>
      </c>
      <c r="H513" s="9" t="s">
        <v>707</v>
      </c>
      <c r="I513" s="9">
        <v>176</v>
      </c>
      <c r="J513" s="9">
        <v>5</v>
      </c>
      <c r="K513" s="9">
        <v>0</v>
      </c>
    </row>
    <row r="514" spans="1:11" x14ac:dyDescent="0.4">
      <c r="A514" s="9" t="s">
        <v>287</v>
      </c>
      <c r="B514" s="9" t="s">
        <v>13</v>
      </c>
      <c r="C514" s="9">
        <v>19</v>
      </c>
      <c r="D514" s="9" t="s">
        <v>686</v>
      </c>
      <c r="E514" s="9" t="s">
        <v>2551</v>
      </c>
      <c r="F514" s="9" t="s">
        <v>2553</v>
      </c>
      <c r="G514" s="9">
        <v>35075</v>
      </c>
      <c r="H514" s="9" t="s">
        <v>1664</v>
      </c>
      <c r="I514" s="9">
        <v>183</v>
      </c>
      <c r="J514" s="9">
        <v>76</v>
      </c>
      <c r="K514" s="9">
        <v>17</v>
      </c>
    </row>
    <row r="515" spans="1:11" x14ac:dyDescent="0.4">
      <c r="A515" s="9" t="s">
        <v>287</v>
      </c>
      <c r="B515" s="9" t="s">
        <v>13</v>
      </c>
      <c r="C515" s="9">
        <v>20</v>
      </c>
      <c r="D515" s="9" t="s">
        <v>686</v>
      </c>
      <c r="E515" s="9" t="s">
        <v>2554</v>
      </c>
      <c r="F515" s="9" t="s">
        <v>2556</v>
      </c>
      <c r="G515" s="9">
        <v>35365</v>
      </c>
      <c r="H515" s="9" t="s">
        <v>887</v>
      </c>
      <c r="I515" s="9">
        <v>178</v>
      </c>
      <c r="J515" s="9">
        <v>11</v>
      </c>
      <c r="K515" s="9">
        <v>1</v>
      </c>
    </row>
    <row r="516" spans="1:11" x14ac:dyDescent="0.4">
      <c r="A516" s="9" t="s">
        <v>287</v>
      </c>
      <c r="B516" s="9" t="s">
        <v>13</v>
      </c>
      <c r="C516" s="9">
        <v>21</v>
      </c>
      <c r="D516" s="9" t="s">
        <v>664</v>
      </c>
      <c r="E516" s="9" t="s">
        <v>2557</v>
      </c>
      <c r="F516" s="9" t="s">
        <v>2558</v>
      </c>
      <c r="G516" s="9">
        <v>35338</v>
      </c>
      <c r="H516" s="9" t="s">
        <v>1094</v>
      </c>
      <c r="I516" s="9">
        <v>193</v>
      </c>
      <c r="J516" s="9">
        <v>3</v>
      </c>
      <c r="K516" s="9">
        <v>0</v>
      </c>
    </row>
    <row r="517" spans="1:11" x14ac:dyDescent="0.4">
      <c r="A517" s="9" t="s">
        <v>287</v>
      </c>
      <c r="B517" s="9" t="s">
        <v>13</v>
      </c>
      <c r="C517" s="9">
        <v>22</v>
      </c>
      <c r="D517" s="9" t="s">
        <v>669</v>
      </c>
      <c r="E517" s="9" t="s">
        <v>2559</v>
      </c>
      <c r="F517" s="9" t="s">
        <v>2560</v>
      </c>
      <c r="G517" s="9">
        <v>35907</v>
      </c>
      <c r="H517" s="9" t="s">
        <v>883</v>
      </c>
      <c r="I517" s="9">
        <v>180</v>
      </c>
      <c r="J517" s="9">
        <v>37</v>
      </c>
      <c r="K517" s="9">
        <v>1</v>
      </c>
    </row>
    <row r="518" spans="1:11" x14ac:dyDescent="0.4">
      <c r="A518" s="9" t="s">
        <v>287</v>
      </c>
      <c r="B518" s="9" t="s">
        <v>13</v>
      </c>
      <c r="C518" s="9">
        <v>23</v>
      </c>
      <c r="D518" s="9" t="s">
        <v>686</v>
      </c>
      <c r="E518" s="9" t="s">
        <v>2561</v>
      </c>
      <c r="F518" s="9" t="s">
        <v>2563</v>
      </c>
      <c r="G518" s="9">
        <v>36809</v>
      </c>
      <c r="H518" s="9" t="s">
        <v>749</v>
      </c>
      <c r="I518" s="9">
        <v>190</v>
      </c>
      <c r="J518" s="9">
        <v>8</v>
      </c>
      <c r="K518" s="9">
        <v>1</v>
      </c>
    </row>
    <row r="519" spans="1:11" x14ac:dyDescent="0.4">
      <c r="A519" s="9" t="s">
        <v>287</v>
      </c>
      <c r="B519" s="9" t="s">
        <v>13</v>
      </c>
      <c r="C519" s="9">
        <v>24</v>
      </c>
      <c r="D519" s="9" t="s">
        <v>669</v>
      </c>
      <c r="E519" s="9" t="s">
        <v>2564</v>
      </c>
      <c r="F519" s="9" t="s">
        <v>2566</v>
      </c>
      <c r="G519" s="9">
        <v>37111</v>
      </c>
      <c r="H519" s="9" t="s">
        <v>1181</v>
      </c>
      <c r="I519" s="9">
        <v>194</v>
      </c>
      <c r="J519" s="9">
        <v>5</v>
      </c>
      <c r="K519" s="9">
        <v>0</v>
      </c>
    </row>
    <row r="520" spans="1:11" x14ac:dyDescent="0.4">
      <c r="A520" s="9" t="s">
        <v>287</v>
      </c>
      <c r="B520" s="9" t="s">
        <v>13</v>
      </c>
      <c r="C520" s="9">
        <v>25</v>
      </c>
      <c r="D520" s="9" t="s">
        <v>686</v>
      </c>
      <c r="E520" s="9" t="s">
        <v>2567</v>
      </c>
      <c r="F520" s="9" t="s">
        <v>2569</v>
      </c>
      <c r="G520" s="9">
        <v>38846</v>
      </c>
      <c r="H520" s="9" t="s">
        <v>883</v>
      </c>
      <c r="I520" s="9">
        <v>191</v>
      </c>
      <c r="J520" s="9">
        <v>1</v>
      </c>
      <c r="K520" s="9">
        <v>1</v>
      </c>
    </row>
    <row r="521" spans="1:11" x14ac:dyDescent="0.4">
      <c r="A521" s="9" t="s">
        <v>287</v>
      </c>
      <c r="B521" s="9" t="s">
        <v>13</v>
      </c>
      <c r="C521" s="9">
        <v>26</v>
      </c>
      <c r="D521" s="9" t="s">
        <v>691</v>
      </c>
      <c r="E521" s="9" t="s">
        <v>2570</v>
      </c>
      <c r="F521" s="9" t="s">
        <v>2572</v>
      </c>
      <c r="G521" s="9">
        <v>35265</v>
      </c>
      <c r="H521" s="9" t="s">
        <v>1094</v>
      </c>
      <c r="I521" s="9">
        <v>179</v>
      </c>
      <c r="J521" s="9">
        <v>9</v>
      </c>
      <c r="K521" s="9">
        <v>6</v>
      </c>
    </row>
    <row r="522" spans="1:11" x14ac:dyDescent="0.4">
      <c r="A522" s="9" t="s">
        <v>303</v>
      </c>
      <c r="B522" s="9" t="s">
        <v>29</v>
      </c>
      <c r="C522" s="9">
        <v>1</v>
      </c>
      <c r="D522" s="9" t="s">
        <v>664</v>
      </c>
      <c r="E522" s="9" t="s">
        <v>2573</v>
      </c>
      <c r="F522" s="9" t="s">
        <v>2575</v>
      </c>
      <c r="G522" s="9">
        <v>35398</v>
      </c>
      <c r="H522" s="9" t="s">
        <v>2576</v>
      </c>
      <c r="I522" s="9">
        <v>188</v>
      </c>
      <c r="J522" s="9">
        <v>29</v>
      </c>
      <c r="K522" s="9">
        <v>0</v>
      </c>
    </row>
    <row r="523" spans="1:11" x14ac:dyDescent="0.4">
      <c r="A523" s="9" t="s">
        <v>303</v>
      </c>
      <c r="B523" s="9" t="s">
        <v>29</v>
      </c>
      <c r="C523" s="9">
        <v>2</v>
      </c>
      <c r="D523" s="9" t="s">
        <v>669</v>
      </c>
      <c r="E523" s="9" t="s">
        <v>2577</v>
      </c>
      <c r="F523" s="9" t="s">
        <v>2579</v>
      </c>
      <c r="G523" s="9">
        <v>36681</v>
      </c>
      <c r="H523" s="9" t="s">
        <v>2419</v>
      </c>
      <c r="I523" s="9">
        <v>173</v>
      </c>
      <c r="J523" s="9">
        <v>24</v>
      </c>
      <c r="K523" s="9">
        <v>1</v>
      </c>
    </row>
    <row r="524" spans="1:11" x14ac:dyDescent="0.4">
      <c r="A524" s="9" t="s">
        <v>303</v>
      </c>
      <c r="B524" s="9" t="s">
        <v>29</v>
      </c>
      <c r="C524" s="9">
        <v>3</v>
      </c>
      <c r="D524" s="9" t="s">
        <v>686</v>
      </c>
      <c r="E524" s="9" t="s">
        <v>2581</v>
      </c>
      <c r="F524" s="9" t="s">
        <v>2583</v>
      </c>
      <c r="G524" s="9">
        <v>38732</v>
      </c>
      <c r="H524" s="9" t="s">
        <v>2315</v>
      </c>
      <c r="I524" s="9">
        <v>182</v>
      </c>
      <c r="J524" s="9">
        <v>11</v>
      </c>
      <c r="K524" s="9">
        <v>1</v>
      </c>
    </row>
    <row r="525" spans="1:11" x14ac:dyDescent="0.4">
      <c r="A525" s="9" t="s">
        <v>303</v>
      </c>
      <c r="B525" s="9" t="s">
        <v>29</v>
      </c>
      <c r="C525" s="9">
        <v>4</v>
      </c>
      <c r="D525" s="9" t="s">
        <v>669</v>
      </c>
      <c r="E525" s="9" t="s">
        <v>2584</v>
      </c>
      <c r="F525" s="9" t="s">
        <v>2586</v>
      </c>
      <c r="G525" s="9">
        <v>37968</v>
      </c>
      <c r="H525" s="9" t="s">
        <v>738</v>
      </c>
      <c r="I525" s="9">
        <v>188</v>
      </c>
      <c r="J525" s="9">
        <v>10</v>
      </c>
      <c r="K525" s="9">
        <v>0</v>
      </c>
    </row>
    <row r="526" spans="1:11" x14ac:dyDescent="0.4">
      <c r="A526" s="9" t="s">
        <v>303</v>
      </c>
      <c r="B526" s="9" t="s">
        <v>29</v>
      </c>
      <c r="C526" s="9">
        <v>5</v>
      </c>
      <c r="D526" s="9" t="s">
        <v>686</v>
      </c>
      <c r="E526" s="9" t="s">
        <v>2587</v>
      </c>
      <c r="F526" s="9" t="s">
        <v>2589</v>
      </c>
      <c r="G526" s="9">
        <v>34133</v>
      </c>
      <c r="H526" s="9" t="s">
        <v>1274</v>
      </c>
      <c r="I526" s="9">
        <v>185</v>
      </c>
      <c r="J526" s="9">
        <v>57</v>
      </c>
      <c r="K526" s="9">
        <v>15</v>
      </c>
    </row>
    <row r="527" spans="1:11" x14ac:dyDescent="0.4">
      <c r="A527" s="9" t="s">
        <v>303</v>
      </c>
      <c r="B527" s="9" t="s">
        <v>29</v>
      </c>
      <c r="C527" s="9">
        <v>6</v>
      </c>
      <c r="D527" s="9" t="s">
        <v>669</v>
      </c>
      <c r="E527" s="9" t="s">
        <v>2590</v>
      </c>
      <c r="F527" s="9" t="s">
        <v>2592</v>
      </c>
      <c r="G527" s="9">
        <v>35952</v>
      </c>
      <c r="H527" s="9" t="s">
        <v>2593</v>
      </c>
      <c r="I527" s="9">
        <v>188</v>
      </c>
      <c r="J527" s="9">
        <v>5</v>
      </c>
      <c r="K527" s="9">
        <v>0</v>
      </c>
    </row>
    <row r="528" spans="1:11" x14ac:dyDescent="0.4">
      <c r="A528" s="9" t="s">
        <v>303</v>
      </c>
      <c r="B528" s="9" t="s">
        <v>29</v>
      </c>
      <c r="C528" s="9">
        <v>7</v>
      </c>
      <c r="D528" s="9" t="s">
        <v>691</v>
      </c>
      <c r="E528" s="9" t="s">
        <v>2595</v>
      </c>
      <c r="F528" s="9" t="s">
        <v>2597</v>
      </c>
      <c r="G528" s="9">
        <v>38054</v>
      </c>
      <c r="H528" s="9" t="s">
        <v>840</v>
      </c>
      <c r="I528" s="9">
        <v>177</v>
      </c>
      <c r="J528" s="9">
        <v>28</v>
      </c>
      <c r="K528" s="9">
        <v>3</v>
      </c>
    </row>
    <row r="529" spans="1:11" x14ac:dyDescent="0.4">
      <c r="A529" s="9" t="s">
        <v>303</v>
      </c>
      <c r="B529" s="9" t="s">
        <v>29</v>
      </c>
      <c r="C529" s="9">
        <v>8</v>
      </c>
      <c r="D529" s="9" t="s">
        <v>686</v>
      </c>
      <c r="E529" s="9" t="s">
        <v>2599</v>
      </c>
      <c r="F529" s="9" t="s">
        <v>2601</v>
      </c>
      <c r="G529" s="9">
        <v>35970</v>
      </c>
      <c r="H529" s="9" t="s">
        <v>2281</v>
      </c>
      <c r="I529" s="9">
        <v>183</v>
      </c>
      <c r="J529" s="9">
        <v>8</v>
      </c>
      <c r="K529" s="9">
        <v>0</v>
      </c>
    </row>
    <row r="530" spans="1:11" x14ac:dyDescent="0.4">
      <c r="A530" s="9" t="s">
        <v>303</v>
      </c>
      <c r="B530" s="9" t="s">
        <v>29</v>
      </c>
      <c r="C530" s="9">
        <v>9</v>
      </c>
      <c r="D530" s="9" t="s">
        <v>691</v>
      </c>
      <c r="E530" s="9" t="s">
        <v>2602</v>
      </c>
      <c r="F530" s="9" t="s">
        <v>2604</v>
      </c>
      <c r="G530" s="9">
        <v>33492</v>
      </c>
      <c r="H530" s="9" t="s">
        <v>840</v>
      </c>
      <c r="I530" s="9">
        <v>182</v>
      </c>
      <c r="J530" s="9">
        <v>120</v>
      </c>
      <c r="K530" s="9">
        <v>34</v>
      </c>
    </row>
    <row r="531" spans="1:11" x14ac:dyDescent="0.4">
      <c r="A531" s="9" t="s">
        <v>303</v>
      </c>
      <c r="B531" s="9" t="s">
        <v>29</v>
      </c>
      <c r="C531" s="9">
        <v>10</v>
      </c>
      <c r="D531" s="9" t="s">
        <v>691</v>
      </c>
      <c r="E531" s="9" t="s">
        <v>2606</v>
      </c>
      <c r="F531" s="9" t="s">
        <v>2608</v>
      </c>
      <c r="G531" s="9">
        <v>36158</v>
      </c>
      <c r="H531" s="9" t="s">
        <v>2609</v>
      </c>
      <c r="I531" s="9">
        <v>182</v>
      </c>
      <c r="J531" s="9">
        <v>8</v>
      </c>
      <c r="K531" s="9">
        <v>1</v>
      </c>
    </row>
    <row r="532" spans="1:11" x14ac:dyDescent="0.4">
      <c r="A532" s="9" t="s">
        <v>303</v>
      </c>
      <c r="B532" s="9" t="s">
        <v>29</v>
      </c>
      <c r="C532" s="9">
        <v>11</v>
      </c>
      <c r="D532" s="9" t="s">
        <v>686</v>
      </c>
      <c r="E532" s="9" t="s">
        <v>2611</v>
      </c>
      <c r="F532" s="9" t="s">
        <v>2613</v>
      </c>
      <c r="G532" s="9">
        <v>36532</v>
      </c>
      <c r="H532" s="9" t="s">
        <v>727</v>
      </c>
      <c r="I532" s="9">
        <v>185</v>
      </c>
      <c r="J532" s="9">
        <v>34</v>
      </c>
      <c r="K532" s="9">
        <v>3</v>
      </c>
    </row>
    <row r="533" spans="1:11" x14ac:dyDescent="0.4">
      <c r="A533" s="9" t="s">
        <v>303</v>
      </c>
      <c r="B533" s="9" t="s">
        <v>29</v>
      </c>
      <c r="C533" s="9">
        <v>12</v>
      </c>
      <c r="D533" s="9" t="s">
        <v>664</v>
      </c>
      <c r="E533" s="9" t="s">
        <v>2614</v>
      </c>
      <c r="F533" s="9" t="s">
        <v>2616</v>
      </c>
      <c r="G533" s="9">
        <v>36685</v>
      </c>
      <c r="H533" s="9" t="s">
        <v>2617</v>
      </c>
      <c r="I533" s="9">
        <v>190</v>
      </c>
      <c r="J533" s="9">
        <v>1</v>
      </c>
      <c r="K533" s="9">
        <v>0</v>
      </c>
    </row>
    <row r="534" spans="1:11" x14ac:dyDescent="0.4">
      <c r="A534" s="9" t="s">
        <v>303</v>
      </c>
      <c r="B534" s="9" t="s">
        <v>29</v>
      </c>
      <c r="C534" s="9">
        <v>13</v>
      </c>
      <c r="D534" s="9" t="s">
        <v>691</v>
      </c>
      <c r="E534" s="9" t="s">
        <v>2618</v>
      </c>
      <c r="F534" s="9" t="s">
        <v>2620</v>
      </c>
      <c r="G534" s="9">
        <v>38335</v>
      </c>
      <c r="H534" s="9" t="s">
        <v>2621</v>
      </c>
      <c r="I534" s="9">
        <v>172</v>
      </c>
      <c r="J534" s="9">
        <v>9</v>
      </c>
      <c r="K534" s="9">
        <v>0</v>
      </c>
    </row>
    <row r="535" spans="1:11" x14ac:dyDescent="0.4">
      <c r="A535" s="9" t="s">
        <v>303</v>
      </c>
      <c r="B535" s="9" t="s">
        <v>29</v>
      </c>
      <c r="C535" s="9">
        <v>14</v>
      </c>
      <c r="D535" s="9" t="s">
        <v>669</v>
      </c>
      <c r="E535" s="9" t="s">
        <v>2623</v>
      </c>
      <c r="F535" s="9" t="s">
        <v>2625</v>
      </c>
      <c r="G535" s="9">
        <v>35994</v>
      </c>
      <c r="H535" s="9" t="s">
        <v>2626</v>
      </c>
      <c r="I535" s="9">
        <v>178</v>
      </c>
      <c r="J535" s="9">
        <v>40</v>
      </c>
      <c r="K535" s="9">
        <v>0</v>
      </c>
    </row>
    <row r="536" spans="1:11" x14ac:dyDescent="0.4">
      <c r="A536" s="9" t="s">
        <v>303</v>
      </c>
      <c r="B536" s="9" t="s">
        <v>29</v>
      </c>
      <c r="C536" s="9">
        <v>15</v>
      </c>
      <c r="D536" s="9" t="s">
        <v>686</v>
      </c>
      <c r="E536" s="9" t="s">
        <v>2627</v>
      </c>
      <c r="F536" s="9" t="s">
        <v>2629</v>
      </c>
      <c r="G536" s="9">
        <v>35741</v>
      </c>
      <c r="H536" s="9" t="s">
        <v>2626</v>
      </c>
      <c r="I536" s="9">
        <v>182</v>
      </c>
      <c r="J536" s="9">
        <v>20</v>
      </c>
      <c r="K536" s="9">
        <v>0</v>
      </c>
    </row>
    <row r="537" spans="1:11" x14ac:dyDescent="0.4">
      <c r="A537" s="9" t="s">
        <v>303</v>
      </c>
      <c r="B537" s="9" t="s">
        <v>29</v>
      </c>
      <c r="C537" s="9">
        <v>16</v>
      </c>
      <c r="D537" s="9" t="s">
        <v>664</v>
      </c>
      <c r="E537" s="9" t="s">
        <v>2630</v>
      </c>
      <c r="F537" s="9" t="s">
        <v>2631</v>
      </c>
      <c r="G537" s="9">
        <v>33798</v>
      </c>
      <c r="H537" s="9" t="s">
        <v>2632</v>
      </c>
      <c r="I537" s="9">
        <v>188</v>
      </c>
      <c r="J537" s="9">
        <v>11</v>
      </c>
      <c r="K537" s="9">
        <v>0</v>
      </c>
    </row>
    <row r="538" spans="1:11" x14ac:dyDescent="0.4">
      <c r="A538" s="9" t="s">
        <v>303</v>
      </c>
      <c r="B538" s="9" t="s">
        <v>29</v>
      </c>
      <c r="C538" s="9">
        <v>17</v>
      </c>
      <c r="D538" s="9" t="s">
        <v>669</v>
      </c>
      <c r="E538" s="9" t="s">
        <v>2634</v>
      </c>
      <c r="F538" s="9" t="s">
        <v>2636</v>
      </c>
      <c r="G538" s="9">
        <v>34517</v>
      </c>
      <c r="H538" s="9" t="s">
        <v>2637</v>
      </c>
      <c r="I538" s="9">
        <v>179</v>
      </c>
      <c r="J538" s="9">
        <v>51</v>
      </c>
      <c r="K538" s="9">
        <v>1</v>
      </c>
    </row>
    <row r="539" spans="1:11" x14ac:dyDescent="0.4">
      <c r="A539" s="9" t="s">
        <v>303</v>
      </c>
      <c r="B539" s="9" t="s">
        <v>29</v>
      </c>
      <c r="C539" s="9">
        <v>18</v>
      </c>
      <c r="D539" s="9" t="s">
        <v>669</v>
      </c>
      <c r="E539" s="9" t="s">
        <v>2638</v>
      </c>
      <c r="F539" s="9" t="s">
        <v>2640</v>
      </c>
      <c r="G539" s="9">
        <v>36082</v>
      </c>
      <c r="H539" s="9" t="s">
        <v>1349</v>
      </c>
      <c r="I539" s="9">
        <v>197</v>
      </c>
      <c r="J539" s="9">
        <v>11</v>
      </c>
      <c r="K539" s="9">
        <v>1</v>
      </c>
    </row>
    <row r="540" spans="1:11" x14ac:dyDescent="0.4">
      <c r="A540" s="9" t="s">
        <v>303</v>
      </c>
      <c r="B540" s="9" t="s">
        <v>29</v>
      </c>
      <c r="C540" s="9">
        <v>19</v>
      </c>
      <c r="D540" s="9" t="s">
        <v>691</v>
      </c>
      <c r="E540" s="9" t="s">
        <v>2641</v>
      </c>
      <c r="F540" s="9" t="s">
        <v>2643</v>
      </c>
      <c r="G540" s="9">
        <v>34500</v>
      </c>
      <c r="H540" s="9" t="s">
        <v>2644</v>
      </c>
      <c r="I540" s="9">
        <v>186</v>
      </c>
      <c r="J540" s="9">
        <v>26</v>
      </c>
      <c r="K540" s="9">
        <v>2</v>
      </c>
    </row>
    <row r="541" spans="1:11" x14ac:dyDescent="0.4">
      <c r="A541" s="9" t="s">
        <v>303</v>
      </c>
      <c r="B541" s="9" t="s">
        <v>29</v>
      </c>
      <c r="C541" s="9">
        <v>20</v>
      </c>
      <c r="D541" s="9" t="s">
        <v>686</v>
      </c>
      <c r="E541" s="9" t="s">
        <v>2646</v>
      </c>
      <c r="F541" s="9" t="s">
        <v>2648</v>
      </c>
      <c r="G541" s="9">
        <v>36833</v>
      </c>
      <c r="H541" s="9" t="s">
        <v>2649</v>
      </c>
      <c r="I541" s="9">
        <v>178</v>
      </c>
      <c r="J541" s="9">
        <v>0</v>
      </c>
      <c r="K541" s="9">
        <v>0</v>
      </c>
    </row>
    <row r="542" spans="1:11" x14ac:dyDescent="0.4">
      <c r="A542" s="9" t="s">
        <v>303</v>
      </c>
      <c r="B542" s="9" t="s">
        <v>29</v>
      </c>
      <c r="C542" s="9">
        <v>21</v>
      </c>
      <c r="D542" s="9" t="s">
        <v>669</v>
      </c>
      <c r="E542" s="9" t="s">
        <v>2650</v>
      </c>
      <c r="F542" s="9" t="s">
        <v>2652</v>
      </c>
      <c r="G542" s="9">
        <v>38142</v>
      </c>
      <c r="H542" s="9" t="s">
        <v>723</v>
      </c>
      <c r="I542" s="9">
        <v>185</v>
      </c>
      <c r="J542" s="9">
        <v>4</v>
      </c>
      <c r="K542" s="9">
        <v>0</v>
      </c>
    </row>
    <row r="543" spans="1:11" x14ac:dyDescent="0.4">
      <c r="A543" s="9" t="s">
        <v>303</v>
      </c>
      <c r="B543" s="9" t="s">
        <v>29</v>
      </c>
      <c r="C543" s="9">
        <v>22</v>
      </c>
      <c r="D543" s="9" t="s">
        <v>691</v>
      </c>
      <c r="E543" s="9" t="s">
        <v>2653</v>
      </c>
      <c r="F543" s="9" t="s">
        <v>2655</v>
      </c>
      <c r="G543" s="9">
        <v>37302</v>
      </c>
      <c r="H543" s="9" t="s">
        <v>1027</v>
      </c>
      <c r="I543" s="9">
        <v>174</v>
      </c>
      <c r="J543" s="9">
        <v>28</v>
      </c>
      <c r="K543" s="9">
        <v>1</v>
      </c>
    </row>
    <row r="544" spans="1:11" x14ac:dyDescent="0.4">
      <c r="A544" s="9" t="s">
        <v>303</v>
      </c>
      <c r="B544" s="9" t="s">
        <v>29</v>
      </c>
      <c r="C544" s="9">
        <v>23</v>
      </c>
      <c r="D544" s="9" t="s">
        <v>669</v>
      </c>
      <c r="E544" s="9" t="s">
        <v>2657</v>
      </c>
      <c r="F544" s="9" t="s">
        <v>2659</v>
      </c>
      <c r="G544" s="9">
        <v>34883</v>
      </c>
      <c r="H544" s="9" t="s">
        <v>1108</v>
      </c>
      <c r="I544" s="9">
        <v>188</v>
      </c>
      <c r="J544" s="9">
        <v>1</v>
      </c>
      <c r="K544" s="9">
        <v>0</v>
      </c>
    </row>
    <row r="545" spans="1:11" x14ac:dyDescent="0.4">
      <c r="A545" s="9" t="s">
        <v>303</v>
      </c>
      <c r="B545" s="9" t="s">
        <v>29</v>
      </c>
      <c r="C545" s="9">
        <v>24</v>
      </c>
      <c r="D545" s="9" t="s">
        <v>691</v>
      </c>
      <c r="E545" s="9" t="s">
        <v>2660</v>
      </c>
      <c r="F545" s="9" t="s">
        <v>2662</v>
      </c>
      <c r="G545" s="9">
        <v>37926</v>
      </c>
      <c r="H545" s="9" t="s">
        <v>1225</v>
      </c>
      <c r="I545" s="9">
        <v>178</v>
      </c>
      <c r="J545" s="9">
        <v>18</v>
      </c>
      <c r="K545" s="9">
        <v>4</v>
      </c>
    </row>
    <row r="546" spans="1:11" x14ac:dyDescent="0.4">
      <c r="A546" s="9" t="s">
        <v>303</v>
      </c>
      <c r="B546" s="9" t="s">
        <v>29</v>
      </c>
      <c r="C546" s="9">
        <v>25</v>
      </c>
      <c r="D546" s="9" t="s">
        <v>691</v>
      </c>
      <c r="E546" s="9" t="s">
        <v>2664</v>
      </c>
      <c r="F546" s="9" t="s">
        <v>2666</v>
      </c>
      <c r="G546" s="9">
        <v>37887</v>
      </c>
      <c r="H546" s="9" t="s">
        <v>912</v>
      </c>
      <c r="I546" s="9">
        <v>179</v>
      </c>
      <c r="J546" s="9">
        <v>5</v>
      </c>
      <c r="K546" s="9">
        <v>0</v>
      </c>
    </row>
    <row r="547" spans="1:11" x14ac:dyDescent="0.4">
      <c r="A547" s="9" t="s">
        <v>303</v>
      </c>
      <c r="B547" s="9" t="s">
        <v>29</v>
      </c>
      <c r="C547" s="9">
        <v>26</v>
      </c>
      <c r="D547" s="9" t="s">
        <v>669</v>
      </c>
      <c r="E547" s="9" t="s">
        <v>2668</v>
      </c>
      <c r="F547" s="9" t="s">
        <v>2670</v>
      </c>
      <c r="G547" s="9">
        <v>36919</v>
      </c>
      <c r="H547" s="9" t="s">
        <v>2626</v>
      </c>
      <c r="I547" s="9">
        <v>181</v>
      </c>
      <c r="J547" s="9">
        <v>2</v>
      </c>
      <c r="K547" s="9">
        <v>0</v>
      </c>
    </row>
    <row r="548" spans="1:11" x14ac:dyDescent="0.4">
      <c r="A548" s="9" t="s">
        <v>285</v>
      </c>
      <c r="B548" s="9" t="s">
        <v>11</v>
      </c>
      <c r="C548" s="9">
        <v>1</v>
      </c>
      <c r="D548" s="9" t="s">
        <v>664</v>
      </c>
      <c r="E548" s="9" t="s">
        <v>2672</v>
      </c>
      <c r="F548" s="9" t="s">
        <v>2674</v>
      </c>
      <c r="G548" s="9">
        <v>32171</v>
      </c>
      <c r="H548" s="9" t="s">
        <v>2675</v>
      </c>
      <c r="I548" s="9">
        <v>181</v>
      </c>
      <c r="J548" s="9">
        <v>82</v>
      </c>
      <c r="K548" s="9">
        <v>0</v>
      </c>
    </row>
    <row r="549" spans="1:11" x14ac:dyDescent="0.4">
      <c r="A549" s="9" t="s">
        <v>285</v>
      </c>
      <c r="B549" s="9" t="s">
        <v>11</v>
      </c>
      <c r="C549" s="9">
        <v>2</v>
      </c>
      <c r="D549" s="9" t="s">
        <v>669</v>
      </c>
      <c r="E549" s="9" t="s">
        <v>2676</v>
      </c>
      <c r="F549" s="9" t="s">
        <v>2678</v>
      </c>
      <c r="G549" s="9">
        <v>35244</v>
      </c>
      <c r="H549" s="9" t="s">
        <v>2679</v>
      </c>
      <c r="I549" s="9">
        <v>180</v>
      </c>
      <c r="J549" s="9">
        <v>56</v>
      </c>
      <c r="K549" s="9">
        <v>1</v>
      </c>
    </row>
    <row r="550" spans="1:11" x14ac:dyDescent="0.4">
      <c r="A550" s="9" t="s">
        <v>285</v>
      </c>
      <c r="B550" s="9" t="s">
        <v>11</v>
      </c>
      <c r="C550" s="9">
        <v>3</v>
      </c>
      <c r="D550" s="9" t="s">
        <v>669</v>
      </c>
      <c r="E550" s="9" t="s">
        <v>2680</v>
      </c>
      <c r="F550" s="9" t="s">
        <v>2682</v>
      </c>
      <c r="G550" s="9">
        <v>38805</v>
      </c>
      <c r="H550" s="9" t="s">
        <v>719</v>
      </c>
      <c r="I550" s="9">
        <v>179</v>
      </c>
      <c r="J550" s="9">
        <v>1</v>
      </c>
      <c r="K550" s="9">
        <v>0</v>
      </c>
    </row>
    <row r="551" spans="1:11" x14ac:dyDescent="0.4">
      <c r="A551" s="9" t="s">
        <v>285</v>
      </c>
      <c r="B551" s="9" t="s">
        <v>11</v>
      </c>
      <c r="C551" s="9">
        <v>4</v>
      </c>
      <c r="D551" s="9" t="s">
        <v>669</v>
      </c>
      <c r="E551" s="9" t="s">
        <v>2683</v>
      </c>
      <c r="F551" s="9" t="s">
        <v>2685</v>
      </c>
      <c r="G551" s="9">
        <v>33014</v>
      </c>
      <c r="H551" s="9" t="s">
        <v>2214</v>
      </c>
      <c r="I551" s="9">
        <v>190</v>
      </c>
      <c r="J551" s="9">
        <v>59</v>
      </c>
      <c r="K551" s="9">
        <v>2</v>
      </c>
    </row>
    <row r="552" spans="1:11" x14ac:dyDescent="0.4">
      <c r="A552" s="9" t="s">
        <v>285</v>
      </c>
      <c r="B552" s="9" t="s">
        <v>11</v>
      </c>
      <c r="C552" s="9">
        <v>5</v>
      </c>
      <c r="D552" s="9" t="s">
        <v>669</v>
      </c>
      <c r="E552" s="9" t="s">
        <v>2686</v>
      </c>
      <c r="F552" s="9" t="s">
        <v>2688</v>
      </c>
      <c r="G552" s="9">
        <v>36219</v>
      </c>
      <c r="H552" s="9" t="s">
        <v>2689</v>
      </c>
      <c r="I552" s="9">
        <v>183</v>
      </c>
      <c r="J552" s="9">
        <v>7</v>
      </c>
      <c r="K552" s="9">
        <v>0</v>
      </c>
    </row>
    <row r="553" spans="1:11" x14ac:dyDescent="0.4">
      <c r="A553" s="9" t="s">
        <v>285</v>
      </c>
      <c r="B553" s="9" t="s">
        <v>11</v>
      </c>
      <c r="C553" s="9">
        <v>6</v>
      </c>
      <c r="D553" s="9" t="s">
        <v>686</v>
      </c>
      <c r="E553" s="9" t="s">
        <v>2690</v>
      </c>
      <c r="F553" s="9" t="s">
        <v>2692</v>
      </c>
      <c r="G553" s="9">
        <v>37477</v>
      </c>
      <c r="H553" s="9" t="s">
        <v>2693</v>
      </c>
      <c r="I553" s="9">
        <v>182</v>
      </c>
      <c r="J553" s="9">
        <v>26</v>
      </c>
      <c r="K553" s="9">
        <v>0</v>
      </c>
    </row>
    <row r="554" spans="1:11" x14ac:dyDescent="0.4">
      <c r="A554" s="9" t="s">
        <v>285</v>
      </c>
      <c r="B554" s="9" t="s">
        <v>11</v>
      </c>
      <c r="C554" s="9">
        <v>7</v>
      </c>
      <c r="D554" s="9" t="s">
        <v>691</v>
      </c>
      <c r="E554" s="9" t="s">
        <v>2694</v>
      </c>
      <c r="F554" s="9" t="s">
        <v>2696</v>
      </c>
      <c r="G554" s="9">
        <v>35394</v>
      </c>
      <c r="H554" s="9" t="s">
        <v>1452</v>
      </c>
      <c r="I554" s="9">
        <v>178</v>
      </c>
      <c r="J554" s="9">
        <v>51</v>
      </c>
      <c r="K554" s="9">
        <v>8</v>
      </c>
    </row>
    <row r="555" spans="1:11" x14ac:dyDescent="0.4">
      <c r="A555" s="9" t="s">
        <v>285</v>
      </c>
      <c r="B555" s="9" t="s">
        <v>11</v>
      </c>
      <c r="C555" s="9">
        <v>8</v>
      </c>
      <c r="D555" s="9" t="s">
        <v>669</v>
      </c>
      <c r="E555" s="9" t="s">
        <v>2697</v>
      </c>
      <c r="F555" s="9" t="s">
        <v>2699</v>
      </c>
      <c r="G555" s="9">
        <v>36228</v>
      </c>
      <c r="H555" s="9" t="s">
        <v>2700</v>
      </c>
      <c r="I555" s="9">
        <v>178</v>
      </c>
      <c r="J555" s="9">
        <v>21</v>
      </c>
      <c r="K555" s="9">
        <v>0</v>
      </c>
    </row>
    <row r="556" spans="1:11" x14ac:dyDescent="0.4">
      <c r="A556" s="9" t="s">
        <v>285</v>
      </c>
      <c r="B556" s="9" t="s">
        <v>11</v>
      </c>
      <c r="C556" s="9">
        <v>9</v>
      </c>
      <c r="D556" s="9" t="s">
        <v>691</v>
      </c>
      <c r="E556" s="9" t="s">
        <v>2701</v>
      </c>
      <c r="F556" s="9" t="s">
        <v>2703</v>
      </c>
      <c r="G556" s="9">
        <v>34431</v>
      </c>
      <c r="H556" s="9" t="s">
        <v>2704</v>
      </c>
      <c r="I556" s="9">
        <v>181</v>
      </c>
      <c r="J556" s="9">
        <v>82</v>
      </c>
      <c r="K556" s="9">
        <v>44</v>
      </c>
    </row>
    <row r="557" spans="1:11" x14ac:dyDescent="0.4">
      <c r="A557" s="9" t="s">
        <v>285</v>
      </c>
      <c r="B557" s="9" t="s">
        <v>11</v>
      </c>
      <c r="C557" s="9">
        <v>10</v>
      </c>
      <c r="D557" s="9" t="s">
        <v>686</v>
      </c>
      <c r="E557" s="9" t="s">
        <v>2705</v>
      </c>
      <c r="F557" s="9" t="s">
        <v>2707</v>
      </c>
      <c r="G557" s="9">
        <v>35973</v>
      </c>
      <c r="H557" s="9" t="s">
        <v>2068</v>
      </c>
      <c r="I557" s="9">
        <v>170</v>
      </c>
      <c r="J557" s="9">
        <v>10</v>
      </c>
      <c r="K557" s="9">
        <v>0</v>
      </c>
    </row>
    <row r="558" spans="1:11" x14ac:dyDescent="0.4">
      <c r="A558" s="9" t="s">
        <v>285</v>
      </c>
      <c r="B558" s="9" t="s">
        <v>11</v>
      </c>
      <c r="C558" s="9">
        <v>11</v>
      </c>
      <c r="D558" s="9" t="s">
        <v>691</v>
      </c>
      <c r="E558" s="9" t="s">
        <v>2708</v>
      </c>
      <c r="F558" s="9" t="s">
        <v>2710</v>
      </c>
      <c r="G558" s="9">
        <v>36933</v>
      </c>
      <c r="H558" s="9" t="s">
        <v>1949</v>
      </c>
      <c r="I558" s="9">
        <v>178</v>
      </c>
      <c r="J558" s="9">
        <v>32</v>
      </c>
      <c r="K558" s="9">
        <v>10</v>
      </c>
    </row>
    <row r="559" spans="1:11" x14ac:dyDescent="0.4">
      <c r="A559" s="9" t="s">
        <v>285</v>
      </c>
      <c r="B559" s="9" t="s">
        <v>11</v>
      </c>
      <c r="C559" s="9">
        <v>12</v>
      </c>
      <c r="D559" s="9" t="s">
        <v>664</v>
      </c>
      <c r="E559" s="9" t="s">
        <v>2711</v>
      </c>
      <c r="F559" s="9" t="s">
        <v>2713</v>
      </c>
      <c r="G559" s="9">
        <v>36947</v>
      </c>
      <c r="H559" s="9" t="s">
        <v>2714</v>
      </c>
      <c r="I559" s="9">
        <v>190</v>
      </c>
      <c r="J559" s="9">
        <v>16</v>
      </c>
      <c r="K559" s="9">
        <v>0</v>
      </c>
    </row>
    <row r="560" spans="1:11" x14ac:dyDescent="0.4">
      <c r="A560" s="9" t="s">
        <v>285</v>
      </c>
      <c r="B560" s="9" t="s">
        <v>11</v>
      </c>
      <c r="C560" s="9">
        <v>13</v>
      </c>
      <c r="D560" s="9" t="s">
        <v>669</v>
      </c>
      <c r="E560" s="9" t="s">
        <v>2716</v>
      </c>
      <c r="F560" s="9" t="s">
        <v>2496</v>
      </c>
      <c r="G560" s="9">
        <v>34256</v>
      </c>
      <c r="H560" s="9" t="s">
        <v>2718</v>
      </c>
      <c r="I560" s="9">
        <v>175</v>
      </c>
      <c r="J560" s="9">
        <v>16</v>
      </c>
      <c r="K560" s="9">
        <v>3</v>
      </c>
    </row>
    <row r="561" spans="1:11" x14ac:dyDescent="0.4">
      <c r="A561" s="9" t="s">
        <v>285</v>
      </c>
      <c r="B561" s="9" t="s">
        <v>11</v>
      </c>
      <c r="C561" s="9">
        <v>14</v>
      </c>
      <c r="D561" s="9" t="s">
        <v>669</v>
      </c>
      <c r="E561" s="9" t="s">
        <v>2719</v>
      </c>
      <c r="F561" s="9" t="s">
        <v>2721</v>
      </c>
      <c r="G561" s="9">
        <v>36525</v>
      </c>
      <c r="H561" s="9" t="s">
        <v>2718</v>
      </c>
      <c r="I561" s="9">
        <v>186</v>
      </c>
      <c r="J561" s="9">
        <v>16</v>
      </c>
      <c r="K561" s="9">
        <v>0</v>
      </c>
    </row>
    <row r="562" spans="1:11" x14ac:dyDescent="0.4">
      <c r="A562" s="9" t="s">
        <v>285</v>
      </c>
      <c r="B562" s="9" t="s">
        <v>11</v>
      </c>
      <c r="C562" s="9">
        <v>15</v>
      </c>
      <c r="D562" s="9" t="s">
        <v>691</v>
      </c>
      <c r="E562" s="9" t="s">
        <v>2722</v>
      </c>
      <c r="F562" s="9" t="s">
        <v>2724</v>
      </c>
      <c r="G562" s="9">
        <v>37079</v>
      </c>
      <c r="H562" s="9" t="s">
        <v>2725</v>
      </c>
      <c r="I562" s="9">
        <v>178</v>
      </c>
      <c r="J562" s="9">
        <v>15</v>
      </c>
      <c r="K562" s="9">
        <v>3</v>
      </c>
    </row>
    <row r="563" spans="1:11" x14ac:dyDescent="0.4">
      <c r="A563" s="9" t="s">
        <v>285</v>
      </c>
      <c r="B563" s="9" t="s">
        <v>11</v>
      </c>
      <c r="C563" s="9">
        <v>16</v>
      </c>
      <c r="D563" s="9" t="s">
        <v>691</v>
      </c>
      <c r="E563" s="9" t="s">
        <v>2726</v>
      </c>
      <c r="F563" s="9" t="s">
        <v>2728</v>
      </c>
      <c r="G563" s="9">
        <v>36811</v>
      </c>
      <c r="H563" s="9" t="s">
        <v>2729</v>
      </c>
      <c r="I563" s="9">
        <v>182</v>
      </c>
      <c r="J563" s="9">
        <v>2</v>
      </c>
      <c r="K563" s="9">
        <v>1</v>
      </c>
    </row>
    <row r="564" spans="1:11" x14ac:dyDescent="0.4">
      <c r="A564" s="9" t="s">
        <v>285</v>
      </c>
      <c r="B564" s="9" t="s">
        <v>11</v>
      </c>
      <c r="C564" s="9">
        <v>17</v>
      </c>
      <c r="D564" s="9" t="s">
        <v>686</v>
      </c>
      <c r="E564" s="9" t="s">
        <v>2730</v>
      </c>
      <c r="F564" s="9" t="s">
        <v>2732</v>
      </c>
      <c r="G564" s="9">
        <v>36666</v>
      </c>
      <c r="H564" s="9" t="s">
        <v>2733</v>
      </c>
      <c r="I564" s="9">
        <v>182</v>
      </c>
      <c r="J564" s="9">
        <v>31</v>
      </c>
      <c r="K564" s="9">
        <v>6</v>
      </c>
    </row>
    <row r="565" spans="1:11" x14ac:dyDescent="0.4">
      <c r="A565" s="9" t="s">
        <v>285</v>
      </c>
      <c r="B565" s="9" t="s">
        <v>11</v>
      </c>
      <c r="C565" s="9">
        <v>18</v>
      </c>
      <c r="D565" s="9" t="s">
        <v>691</v>
      </c>
      <c r="E565" s="9" t="s">
        <v>2735</v>
      </c>
      <c r="F565" s="9" t="s">
        <v>2737</v>
      </c>
      <c r="G565" s="9">
        <v>36765</v>
      </c>
      <c r="H565" s="9" t="s">
        <v>1735</v>
      </c>
      <c r="I565" s="9">
        <v>184</v>
      </c>
      <c r="J565" s="9">
        <v>4</v>
      </c>
      <c r="K565" s="9">
        <v>2</v>
      </c>
    </row>
    <row r="566" spans="1:11" x14ac:dyDescent="0.4">
      <c r="A566" s="9" t="s">
        <v>285</v>
      </c>
      <c r="B566" s="9" t="s">
        <v>11</v>
      </c>
      <c r="C566" s="9">
        <v>19</v>
      </c>
      <c r="D566" s="9" t="s">
        <v>691</v>
      </c>
      <c r="E566" s="9" t="s">
        <v>2738</v>
      </c>
      <c r="F566" s="9" t="s">
        <v>2740</v>
      </c>
      <c r="G566" s="9">
        <v>36190</v>
      </c>
      <c r="H566" s="9" t="s">
        <v>2741</v>
      </c>
      <c r="I566" s="9">
        <v>186</v>
      </c>
      <c r="J566" s="9">
        <v>4</v>
      </c>
      <c r="K566" s="9">
        <v>0</v>
      </c>
    </row>
    <row r="567" spans="1:11" x14ac:dyDescent="0.4">
      <c r="A567" s="9" t="s">
        <v>285</v>
      </c>
      <c r="B567" s="9" t="s">
        <v>11</v>
      </c>
      <c r="C567" s="9">
        <v>20</v>
      </c>
      <c r="D567" s="9" t="s">
        <v>691</v>
      </c>
      <c r="E567" s="9" t="s">
        <v>2742</v>
      </c>
      <c r="F567" s="9" t="s">
        <v>2744</v>
      </c>
      <c r="G567" s="9">
        <v>34787</v>
      </c>
      <c r="H567" s="9" t="s">
        <v>1787</v>
      </c>
      <c r="I567" s="9">
        <v>194</v>
      </c>
      <c r="J567" s="9">
        <v>51</v>
      </c>
      <c r="K567" s="9">
        <v>34</v>
      </c>
    </row>
    <row r="568" spans="1:11" x14ac:dyDescent="0.4">
      <c r="A568" s="9" t="s">
        <v>285</v>
      </c>
      <c r="B568" s="9" t="s">
        <v>11</v>
      </c>
      <c r="C568" s="9">
        <v>21</v>
      </c>
      <c r="D568" s="9" t="s">
        <v>691</v>
      </c>
      <c r="E568" s="9" t="s">
        <v>2745</v>
      </c>
      <c r="F568" s="9" t="s">
        <v>2747</v>
      </c>
      <c r="G568" s="9">
        <v>37158</v>
      </c>
      <c r="H568" s="9" t="s">
        <v>2626</v>
      </c>
      <c r="I568" s="9">
        <v>178</v>
      </c>
      <c r="J568" s="9">
        <v>7</v>
      </c>
      <c r="K568" s="9">
        <v>0</v>
      </c>
    </row>
    <row r="569" spans="1:11" x14ac:dyDescent="0.4">
      <c r="A569" s="9" t="s">
        <v>285</v>
      </c>
      <c r="B569" s="9" t="s">
        <v>11</v>
      </c>
      <c r="C569" s="9">
        <v>22</v>
      </c>
      <c r="D569" s="9" t="s">
        <v>669</v>
      </c>
      <c r="E569" s="9" t="s">
        <v>2748</v>
      </c>
      <c r="F569" s="9" t="s">
        <v>2750</v>
      </c>
      <c r="G569" s="9">
        <v>35623</v>
      </c>
      <c r="H569" s="9" t="s">
        <v>2751</v>
      </c>
      <c r="I569" s="9">
        <v>184</v>
      </c>
      <c r="J569" s="9">
        <v>17</v>
      </c>
      <c r="K569" s="9">
        <v>1</v>
      </c>
    </row>
    <row r="570" spans="1:11" x14ac:dyDescent="0.4">
      <c r="A570" s="9" t="s">
        <v>285</v>
      </c>
      <c r="B570" s="9" t="s">
        <v>11</v>
      </c>
      <c r="C570" s="9">
        <v>23</v>
      </c>
      <c r="D570" s="9" t="s">
        <v>664</v>
      </c>
      <c r="E570" s="9" t="s">
        <v>2752</v>
      </c>
      <c r="F570" s="9" t="s">
        <v>2754</v>
      </c>
      <c r="G570" s="9">
        <v>36643</v>
      </c>
      <c r="H570" s="9" t="s">
        <v>2755</v>
      </c>
      <c r="I570" s="9">
        <v>187</v>
      </c>
      <c r="J570" s="9">
        <v>7</v>
      </c>
      <c r="K570" s="9">
        <v>0</v>
      </c>
    </row>
    <row r="571" spans="1:11" x14ac:dyDescent="0.4">
      <c r="A571" s="9" t="s">
        <v>285</v>
      </c>
      <c r="B571" s="9" t="s">
        <v>11</v>
      </c>
      <c r="C571" s="9">
        <v>24</v>
      </c>
      <c r="D571" s="9" t="s">
        <v>669</v>
      </c>
      <c r="E571" s="9" t="s">
        <v>2756</v>
      </c>
      <c r="F571" s="9" t="s">
        <v>2758</v>
      </c>
      <c r="G571" s="9">
        <v>37127</v>
      </c>
      <c r="H571" s="9" t="s">
        <v>2759</v>
      </c>
      <c r="I571" s="9">
        <v>180</v>
      </c>
      <c r="J571" s="9">
        <v>8</v>
      </c>
      <c r="K571" s="9">
        <v>0</v>
      </c>
    </row>
    <row r="572" spans="1:11" x14ac:dyDescent="0.4">
      <c r="A572" s="9" t="s">
        <v>285</v>
      </c>
      <c r="B572" s="9" t="s">
        <v>11</v>
      </c>
      <c r="C572" s="9">
        <v>25</v>
      </c>
      <c r="D572" s="9" t="s">
        <v>686</v>
      </c>
      <c r="E572" s="9" t="s">
        <v>2760</v>
      </c>
      <c r="F572" s="9" t="s">
        <v>2762</v>
      </c>
      <c r="G572" s="9">
        <v>36736</v>
      </c>
      <c r="H572" s="9" t="s">
        <v>2763</v>
      </c>
      <c r="I572" s="9">
        <v>178</v>
      </c>
      <c r="J572" s="9">
        <v>2</v>
      </c>
      <c r="K572" s="9">
        <v>0</v>
      </c>
    </row>
    <row r="573" spans="1:11" x14ac:dyDescent="0.4">
      <c r="A573" s="9" t="s">
        <v>285</v>
      </c>
      <c r="B573" s="9" t="s">
        <v>11</v>
      </c>
      <c r="C573" s="9">
        <v>26</v>
      </c>
      <c r="D573" s="9" t="s">
        <v>686</v>
      </c>
      <c r="E573" s="9" t="s">
        <v>2764</v>
      </c>
      <c r="F573" s="9" t="s">
        <v>2766</v>
      </c>
      <c r="G573" s="9">
        <v>38351</v>
      </c>
      <c r="H573" s="9" t="s">
        <v>2767</v>
      </c>
      <c r="I573" s="9">
        <v>177</v>
      </c>
      <c r="J573" s="9">
        <v>1</v>
      </c>
      <c r="K573" s="9">
        <v>0</v>
      </c>
    </row>
    <row r="574" spans="1:11" x14ac:dyDescent="0.4">
      <c r="A574" s="9" t="s">
        <v>294</v>
      </c>
      <c r="B574" s="9" t="s">
        <v>245</v>
      </c>
      <c r="C574" s="9">
        <v>1</v>
      </c>
      <c r="D574" s="9" t="s">
        <v>664</v>
      </c>
      <c r="E574" s="9" t="s">
        <v>2768</v>
      </c>
      <c r="F574" s="9" t="s">
        <v>2770</v>
      </c>
      <c r="G574" s="9">
        <v>33868</v>
      </c>
      <c r="H574" s="9" t="s">
        <v>2771</v>
      </c>
      <c r="I574" s="9">
        <v>195</v>
      </c>
      <c r="J574" s="9">
        <v>86</v>
      </c>
      <c r="K574" s="9">
        <v>0</v>
      </c>
    </row>
    <row r="575" spans="1:11" x14ac:dyDescent="0.4">
      <c r="A575" s="9" t="s">
        <v>294</v>
      </c>
      <c r="B575" s="9" t="s">
        <v>245</v>
      </c>
      <c r="C575" s="9">
        <v>2</v>
      </c>
      <c r="D575" s="9" t="s">
        <v>669</v>
      </c>
      <c r="E575" s="9" t="s">
        <v>2773</v>
      </c>
      <c r="F575" s="9" t="s">
        <v>2775</v>
      </c>
      <c r="G575" s="9">
        <v>36155</v>
      </c>
      <c r="H575" s="9" t="s">
        <v>2704</v>
      </c>
      <c r="I575" s="9">
        <v>176</v>
      </c>
      <c r="J575" s="9">
        <v>18</v>
      </c>
      <c r="K575" s="9">
        <v>1</v>
      </c>
    </row>
    <row r="576" spans="1:11" x14ac:dyDescent="0.4">
      <c r="A576" s="9" t="s">
        <v>294</v>
      </c>
      <c r="B576" s="9" t="s">
        <v>245</v>
      </c>
      <c r="C576" s="9">
        <v>3</v>
      </c>
      <c r="D576" s="9" t="s">
        <v>669</v>
      </c>
      <c r="E576" s="9" t="s">
        <v>2777</v>
      </c>
      <c r="F576" s="9" t="s">
        <v>2779</v>
      </c>
      <c r="G576" s="9">
        <v>32929</v>
      </c>
      <c r="H576" s="9" t="s">
        <v>2780</v>
      </c>
      <c r="I576" s="9">
        <v>178</v>
      </c>
      <c r="J576" s="9">
        <v>146</v>
      </c>
      <c r="K576" s="9">
        <v>7</v>
      </c>
    </row>
    <row r="577" spans="1:11" x14ac:dyDescent="0.4">
      <c r="A577" s="9" t="s">
        <v>294</v>
      </c>
      <c r="B577" s="9" t="s">
        <v>245</v>
      </c>
      <c r="C577" s="9">
        <v>4</v>
      </c>
      <c r="D577" s="9" t="s">
        <v>669</v>
      </c>
      <c r="E577" s="9" t="s">
        <v>2782</v>
      </c>
      <c r="F577" s="9" t="s">
        <v>2784</v>
      </c>
      <c r="G577" s="9">
        <v>32642</v>
      </c>
      <c r="H577" s="9" t="s">
        <v>2771</v>
      </c>
      <c r="I577" s="9">
        <v>183</v>
      </c>
      <c r="J577" s="9">
        <v>58</v>
      </c>
      <c r="K577" s="9">
        <v>2</v>
      </c>
    </row>
    <row r="578" spans="1:11" x14ac:dyDescent="0.4">
      <c r="A578" s="9" t="s">
        <v>294</v>
      </c>
      <c r="B578" s="9" t="s">
        <v>245</v>
      </c>
      <c r="C578" s="9">
        <v>5</v>
      </c>
      <c r="D578" s="9" t="s">
        <v>669</v>
      </c>
      <c r="E578" s="9" t="s">
        <v>2786</v>
      </c>
      <c r="F578" s="9" t="s">
        <v>2788</v>
      </c>
      <c r="G578" s="9">
        <v>34241</v>
      </c>
      <c r="H578" s="9" t="s">
        <v>2789</v>
      </c>
      <c r="I578" s="9">
        <v>175</v>
      </c>
      <c r="J578" s="9">
        <v>76</v>
      </c>
      <c r="K578" s="9">
        <v>1</v>
      </c>
    </row>
    <row r="579" spans="1:11" x14ac:dyDescent="0.4">
      <c r="A579" s="9" t="s">
        <v>294</v>
      </c>
      <c r="B579" s="9" t="s">
        <v>245</v>
      </c>
      <c r="C579" s="9">
        <v>6</v>
      </c>
      <c r="D579" s="9" t="s">
        <v>686</v>
      </c>
      <c r="E579" s="9" t="s">
        <v>2791</v>
      </c>
      <c r="F579" s="9" t="s">
        <v>2793</v>
      </c>
      <c r="G579" s="9">
        <v>35339</v>
      </c>
      <c r="H579" s="9" t="s">
        <v>2794</v>
      </c>
      <c r="I579" s="9">
        <v>189</v>
      </c>
      <c r="J579" s="9">
        <v>83</v>
      </c>
      <c r="K579" s="9">
        <v>2</v>
      </c>
    </row>
    <row r="580" spans="1:11" x14ac:dyDescent="0.4">
      <c r="A580" s="9" t="s">
        <v>294</v>
      </c>
      <c r="B580" s="9" t="s">
        <v>245</v>
      </c>
      <c r="C580" s="9">
        <v>7</v>
      </c>
      <c r="D580" s="9" t="s">
        <v>686</v>
      </c>
      <c r="E580" s="9" t="s">
        <v>2796</v>
      </c>
      <c r="F580" s="9" t="s">
        <v>2798</v>
      </c>
      <c r="G580" s="9">
        <v>34192</v>
      </c>
      <c r="H580" s="9" t="s">
        <v>1390</v>
      </c>
      <c r="I580" s="9">
        <v>180</v>
      </c>
      <c r="J580" s="9">
        <v>99</v>
      </c>
      <c r="K580" s="9">
        <v>17</v>
      </c>
    </row>
    <row r="581" spans="1:11" x14ac:dyDescent="0.4">
      <c r="A581" s="9" t="s">
        <v>294</v>
      </c>
      <c r="B581" s="9" t="s">
        <v>245</v>
      </c>
      <c r="C581" s="9">
        <v>8</v>
      </c>
      <c r="D581" s="9" t="s">
        <v>686</v>
      </c>
      <c r="E581" s="9" t="s">
        <v>2800</v>
      </c>
      <c r="F581" s="9" t="s">
        <v>2802</v>
      </c>
      <c r="G581" s="9">
        <v>36149</v>
      </c>
      <c r="H581" s="9" t="s">
        <v>2803</v>
      </c>
      <c r="I581" s="9">
        <v>187</v>
      </c>
      <c r="J581" s="9">
        <v>37</v>
      </c>
      <c r="K581" s="9">
        <v>14</v>
      </c>
    </row>
    <row r="582" spans="1:11" x14ac:dyDescent="0.4">
      <c r="A582" s="9" t="s">
        <v>294</v>
      </c>
      <c r="B582" s="9" t="s">
        <v>245</v>
      </c>
      <c r="C582" s="9">
        <v>9</v>
      </c>
      <c r="D582" s="9" t="s">
        <v>691</v>
      </c>
      <c r="E582" s="9" t="s">
        <v>2805</v>
      </c>
      <c r="F582" s="9" t="s">
        <v>2807</v>
      </c>
      <c r="G582" s="9">
        <v>33803</v>
      </c>
      <c r="H582" s="9" t="s">
        <v>2808</v>
      </c>
      <c r="I582" s="9">
        <v>187</v>
      </c>
      <c r="J582" s="9">
        <v>106</v>
      </c>
      <c r="K582" s="9">
        <v>60</v>
      </c>
    </row>
    <row r="583" spans="1:11" x14ac:dyDescent="0.4">
      <c r="A583" s="9" t="s">
        <v>294</v>
      </c>
      <c r="B583" s="9" t="s">
        <v>245</v>
      </c>
      <c r="C583" s="9">
        <v>10</v>
      </c>
      <c r="D583" s="9" t="s">
        <v>691</v>
      </c>
      <c r="E583" s="9" t="s">
        <v>2809</v>
      </c>
      <c r="F583" s="9" t="s">
        <v>2810</v>
      </c>
      <c r="G583" s="9">
        <v>36134</v>
      </c>
      <c r="H583" s="9" t="s">
        <v>2811</v>
      </c>
      <c r="I583" s="9">
        <v>166</v>
      </c>
      <c r="J583" s="9">
        <v>30</v>
      </c>
      <c r="K583" s="9">
        <v>10</v>
      </c>
    </row>
    <row r="584" spans="1:11" x14ac:dyDescent="0.4">
      <c r="A584" s="9" t="s">
        <v>294</v>
      </c>
      <c r="B584" s="9" t="s">
        <v>245</v>
      </c>
      <c r="C584" s="9">
        <v>11</v>
      </c>
      <c r="D584" s="9" t="s">
        <v>691</v>
      </c>
      <c r="E584" s="9" t="s">
        <v>2813</v>
      </c>
      <c r="F584" s="9" t="s">
        <v>2814</v>
      </c>
      <c r="G584" s="9">
        <v>35014</v>
      </c>
      <c r="H584" s="9" t="s">
        <v>2789</v>
      </c>
      <c r="I584" s="9">
        <v>181</v>
      </c>
      <c r="J584" s="9">
        <v>14</v>
      </c>
      <c r="K584" s="9">
        <v>1</v>
      </c>
    </row>
    <row r="585" spans="1:11" x14ac:dyDescent="0.4">
      <c r="A585" s="9" t="s">
        <v>294</v>
      </c>
      <c r="B585" s="9" t="s">
        <v>245</v>
      </c>
      <c r="C585" s="9">
        <v>12</v>
      </c>
      <c r="D585" s="9" t="s">
        <v>664</v>
      </c>
      <c r="E585" s="9" t="s">
        <v>2816</v>
      </c>
      <c r="F585" s="9" t="s">
        <v>2818</v>
      </c>
      <c r="G585" s="9">
        <v>34795</v>
      </c>
      <c r="H585" s="9" t="s">
        <v>2789</v>
      </c>
      <c r="I585" s="9">
        <v>193</v>
      </c>
      <c r="J585" s="9">
        <v>15</v>
      </c>
      <c r="K585" s="9">
        <v>0</v>
      </c>
    </row>
    <row r="586" spans="1:11" x14ac:dyDescent="0.4">
      <c r="A586" s="9" t="s">
        <v>294</v>
      </c>
      <c r="B586" s="9" t="s">
        <v>245</v>
      </c>
      <c r="C586" s="9">
        <v>13</v>
      </c>
      <c r="D586" s="9" t="s">
        <v>669</v>
      </c>
      <c r="E586" s="9" t="s">
        <v>2820</v>
      </c>
      <c r="F586" s="9" t="s">
        <v>2822</v>
      </c>
      <c r="G586" s="9">
        <v>34416</v>
      </c>
      <c r="H586" s="9" t="s">
        <v>2789</v>
      </c>
      <c r="I586" s="9">
        <v>188</v>
      </c>
      <c r="J586" s="9">
        <v>65</v>
      </c>
      <c r="K586" s="9">
        <v>6</v>
      </c>
    </row>
    <row r="587" spans="1:11" x14ac:dyDescent="0.4">
      <c r="A587" s="9" t="s">
        <v>294</v>
      </c>
      <c r="B587" s="9" t="s">
        <v>245</v>
      </c>
      <c r="C587" s="9">
        <v>14</v>
      </c>
      <c r="D587" s="9" t="s">
        <v>686</v>
      </c>
      <c r="E587" s="9" t="s">
        <v>2824</v>
      </c>
      <c r="F587" s="9" t="s">
        <v>2826</v>
      </c>
      <c r="G587" s="9">
        <v>34218</v>
      </c>
      <c r="H587" s="9" t="s">
        <v>2827</v>
      </c>
      <c r="I587" s="9">
        <v>176</v>
      </c>
      <c r="J587" s="9">
        <v>68</v>
      </c>
      <c r="K587" s="9">
        <v>3</v>
      </c>
    </row>
    <row r="588" spans="1:11" x14ac:dyDescent="0.4">
      <c r="A588" s="9" t="s">
        <v>294</v>
      </c>
      <c r="B588" s="9" t="s">
        <v>245</v>
      </c>
      <c r="C588" s="9">
        <v>15</v>
      </c>
      <c r="D588" s="9" t="s">
        <v>686</v>
      </c>
      <c r="E588" s="9" t="s">
        <v>2829</v>
      </c>
      <c r="F588" s="9" t="s">
        <v>2831</v>
      </c>
      <c r="G588" s="9">
        <v>34174</v>
      </c>
      <c r="H588" s="9" t="s">
        <v>2704</v>
      </c>
      <c r="I588" s="9">
        <v>192</v>
      </c>
      <c r="J588" s="9">
        <v>40</v>
      </c>
      <c r="K588" s="9">
        <v>3</v>
      </c>
    </row>
    <row r="589" spans="1:11" x14ac:dyDescent="0.4">
      <c r="A589" s="9" t="s">
        <v>294</v>
      </c>
      <c r="B589" s="9" t="s">
        <v>245</v>
      </c>
      <c r="C589" s="9">
        <v>16</v>
      </c>
      <c r="D589" s="9" t="s">
        <v>686</v>
      </c>
      <c r="E589" s="9" t="s">
        <v>2833</v>
      </c>
      <c r="F589" s="9" t="s">
        <v>2835</v>
      </c>
      <c r="G589" s="9">
        <v>34587</v>
      </c>
      <c r="H589" s="9" t="s">
        <v>2771</v>
      </c>
      <c r="I589" s="9">
        <v>185</v>
      </c>
      <c r="J589" s="9">
        <v>52</v>
      </c>
      <c r="K589" s="9">
        <v>7</v>
      </c>
    </row>
    <row r="590" spans="1:11" x14ac:dyDescent="0.4">
      <c r="A590" s="9" t="s">
        <v>294</v>
      </c>
      <c r="B590" s="9" t="s">
        <v>245</v>
      </c>
      <c r="C590" s="9">
        <v>17</v>
      </c>
      <c r="D590" s="9" t="s">
        <v>669</v>
      </c>
      <c r="E590" s="9" t="s">
        <v>2837</v>
      </c>
      <c r="F590" s="9" t="s">
        <v>2839</v>
      </c>
      <c r="G590" s="9">
        <v>37368</v>
      </c>
      <c r="H590" s="9" t="s">
        <v>2780</v>
      </c>
      <c r="I590" s="9">
        <v>181</v>
      </c>
      <c r="J590" s="9">
        <v>14</v>
      </c>
      <c r="K590" s="9">
        <v>1</v>
      </c>
    </row>
    <row r="591" spans="1:11" x14ac:dyDescent="0.4">
      <c r="A591" s="9" t="s">
        <v>294</v>
      </c>
      <c r="B591" s="9" t="s">
        <v>245</v>
      </c>
      <c r="C591" s="9">
        <v>18</v>
      </c>
      <c r="D591" s="9" t="s">
        <v>691</v>
      </c>
      <c r="E591" s="9" t="s">
        <v>2841</v>
      </c>
      <c r="F591" s="9" t="s">
        <v>2843</v>
      </c>
      <c r="G591" s="9">
        <v>36829</v>
      </c>
      <c r="H591" s="9" t="s">
        <v>2771</v>
      </c>
      <c r="I591" s="9">
        <v>178</v>
      </c>
      <c r="J591" s="9">
        <v>18</v>
      </c>
      <c r="K591" s="9">
        <v>5</v>
      </c>
    </row>
    <row r="592" spans="1:11" x14ac:dyDescent="0.4">
      <c r="A592" s="9" t="s">
        <v>294</v>
      </c>
      <c r="B592" s="9" t="s">
        <v>245</v>
      </c>
      <c r="C592" s="9">
        <v>19</v>
      </c>
      <c r="D592" s="9" t="s">
        <v>669</v>
      </c>
      <c r="E592" s="9" t="s">
        <v>2845</v>
      </c>
      <c r="F592" s="9" t="s">
        <v>2846</v>
      </c>
      <c r="G592" s="9">
        <v>35103</v>
      </c>
      <c r="H592" s="9" t="s">
        <v>2847</v>
      </c>
      <c r="I592" s="9">
        <v>182</v>
      </c>
      <c r="J592" s="9">
        <v>18</v>
      </c>
      <c r="K592" s="9">
        <v>0</v>
      </c>
    </row>
    <row r="593" spans="1:11" x14ac:dyDescent="0.4">
      <c r="A593" s="9" t="s">
        <v>294</v>
      </c>
      <c r="B593" s="9" t="s">
        <v>245</v>
      </c>
      <c r="C593" s="9">
        <v>20</v>
      </c>
      <c r="D593" s="9" t="s">
        <v>691</v>
      </c>
      <c r="E593" s="9" t="s">
        <v>2849</v>
      </c>
      <c r="F593" s="9" t="s">
        <v>2851</v>
      </c>
      <c r="G593" s="9">
        <v>34689</v>
      </c>
      <c r="H593" s="9" t="s">
        <v>2827</v>
      </c>
      <c r="I593" s="9">
        <v>189</v>
      </c>
      <c r="J593" s="9">
        <v>21</v>
      </c>
      <c r="K593" s="9">
        <v>2</v>
      </c>
    </row>
    <row r="594" spans="1:11" x14ac:dyDescent="0.4">
      <c r="A594" s="9" t="s">
        <v>294</v>
      </c>
      <c r="B594" s="9" t="s">
        <v>245</v>
      </c>
      <c r="C594" s="9">
        <v>21</v>
      </c>
      <c r="D594" s="9" t="s">
        <v>686</v>
      </c>
      <c r="E594" s="9" t="s">
        <v>2853</v>
      </c>
      <c r="F594" s="9" t="s">
        <v>2854</v>
      </c>
      <c r="G594" s="9">
        <v>37171</v>
      </c>
      <c r="H594" s="9" t="s">
        <v>2855</v>
      </c>
      <c r="I594" s="9">
        <v>190</v>
      </c>
      <c r="J594" s="9">
        <v>16</v>
      </c>
      <c r="K594" s="9">
        <v>0</v>
      </c>
    </row>
    <row r="595" spans="1:11" x14ac:dyDescent="0.4">
      <c r="A595" s="9" t="s">
        <v>294</v>
      </c>
      <c r="B595" s="9" t="s">
        <v>245</v>
      </c>
      <c r="C595" s="9">
        <v>22</v>
      </c>
      <c r="D595" s="9" t="s">
        <v>664</v>
      </c>
      <c r="E595" s="9" t="s">
        <v>2857</v>
      </c>
      <c r="F595" s="9" t="s">
        <v>2859</v>
      </c>
      <c r="G595" s="9">
        <v>33785</v>
      </c>
      <c r="H595" s="9" t="s">
        <v>2780</v>
      </c>
      <c r="I595" s="9">
        <v>189</v>
      </c>
      <c r="J595" s="9">
        <v>13</v>
      </c>
      <c r="K595" s="9">
        <v>0</v>
      </c>
    </row>
    <row r="596" spans="1:11" x14ac:dyDescent="0.4">
      <c r="A596" s="9" t="s">
        <v>294</v>
      </c>
      <c r="B596" s="9" t="s">
        <v>245</v>
      </c>
      <c r="C596" s="9">
        <v>23</v>
      </c>
      <c r="D596" s="9" t="s">
        <v>669</v>
      </c>
      <c r="E596" s="9" t="s">
        <v>2860</v>
      </c>
      <c r="F596" s="9" t="s">
        <v>2862</v>
      </c>
      <c r="G596" s="9">
        <v>32953</v>
      </c>
      <c r="H596" s="9" t="s">
        <v>2847</v>
      </c>
      <c r="I596" s="9">
        <v>184</v>
      </c>
      <c r="J596" s="9">
        <v>74</v>
      </c>
      <c r="K596" s="9">
        <v>8</v>
      </c>
    </row>
    <row r="597" spans="1:11" x14ac:dyDescent="0.4">
      <c r="A597" s="9" t="s">
        <v>294</v>
      </c>
      <c r="B597" s="9" t="s">
        <v>245</v>
      </c>
      <c r="C597" s="9">
        <v>24</v>
      </c>
      <c r="D597" s="9" t="s">
        <v>691</v>
      </c>
      <c r="E597" s="9" t="s">
        <v>2864</v>
      </c>
      <c r="F597" s="9" t="s">
        <v>2865</v>
      </c>
      <c r="G597" s="9">
        <v>35439</v>
      </c>
      <c r="H597" s="9" t="s">
        <v>1763</v>
      </c>
      <c r="I597" s="9">
        <v>182</v>
      </c>
      <c r="J597" s="9">
        <v>0</v>
      </c>
      <c r="K597" s="9">
        <v>0</v>
      </c>
    </row>
    <row r="598" spans="1:11" x14ac:dyDescent="0.4">
      <c r="A598" s="9" t="s">
        <v>294</v>
      </c>
      <c r="B598" s="9" t="s">
        <v>245</v>
      </c>
      <c r="C598" s="9">
        <v>25</v>
      </c>
      <c r="D598" s="9" t="s">
        <v>669</v>
      </c>
      <c r="E598" s="9" t="s">
        <v>2866</v>
      </c>
      <c r="F598" s="9" t="s">
        <v>2868</v>
      </c>
      <c r="G598" s="9">
        <v>37920</v>
      </c>
      <c r="H598" s="9" t="s">
        <v>2869</v>
      </c>
      <c r="I598" s="9">
        <v>182</v>
      </c>
      <c r="J598" s="9">
        <v>0</v>
      </c>
      <c r="K598" s="9">
        <v>0</v>
      </c>
    </row>
    <row r="599" spans="1:11" x14ac:dyDescent="0.4">
      <c r="A599" s="9" t="s">
        <v>294</v>
      </c>
      <c r="B599" s="9" t="s">
        <v>245</v>
      </c>
      <c r="C599" s="9">
        <v>26</v>
      </c>
      <c r="D599" s="9" t="s">
        <v>686</v>
      </c>
      <c r="E599" s="9" t="s">
        <v>2871</v>
      </c>
      <c r="F599" s="9" t="s">
        <v>2873</v>
      </c>
      <c r="G599" s="9">
        <v>38818</v>
      </c>
      <c r="H599" s="9" t="s">
        <v>2704</v>
      </c>
      <c r="I599" s="9">
        <v>187</v>
      </c>
      <c r="J599" s="9">
        <v>4</v>
      </c>
      <c r="K599" s="9">
        <v>0</v>
      </c>
    </row>
    <row r="600" spans="1:11" x14ac:dyDescent="0.4">
      <c r="A600" s="9" t="s">
        <v>296</v>
      </c>
      <c r="B600" s="9" t="s">
        <v>22</v>
      </c>
      <c r="C600" s="9">
        <v>1</v>
      </c>
      <c r="D600" s="9" t="s">
        <v>664</v>
      </c>
      <c r="E600" s="9" t="s">
        <v>2875</v>
      </c>
      <c r="F600" s="9" t="s">
        <v>2877</v>
      </c>
      <c r="G600" s="9">
        <v>34628</v>
      </c>
      <c r="H600" s="9" t="s">
        <v>2878</v>
      </c>
      <c r="I600" s="9">
        <v>192</v>
      </c>
      <c r="J600" s="9">
        <v>21</v>
      </c>
      <c r="K600" s="9">
        <v>0</v>
      </c>
    </row>
    <row r="601" spans="1:11" x14ac:dyDescent="0.4">
      <c r="A601" s="9" t="s">
        <v>296</v>
      </c>
      <c r="B601" s="9" t="s">
        <v>22</v>
      </c>
      <c r="C601" s="9">
        <v>2</v>
      </c>
      <c r="D601" s="9" t="s">
        <v>669</v>
      </c>
      <c r="E601" s="9" t="s">
        <v>2880</v>
      </c>
      <c r="F601" s="9" t="s">
        <v>2882</v>
      </c>
      <c r="G601" s="9">
        <v>33706</v>
      </c>
      <c r="H601" s="9" t="s">
        <v>2883</v>
      </c>
      <c r="I601" s="9">
        <v>193</v>
      </c>
      <c r="J601" s="9">
        <v>56</v>
      </c>
      <c r="K601" s="9">
        <v>1</v>
      </c>
    </row>
    <row r="602" spans="1:11" x14ac:dyDescent="0.4">
      <c r="A602" s="9" t="s">
        <v>296</v>
      </c>
      <c r="B602" s="9" t="s">
        <v>22</v>
      </c>
      <c r="C602" s="9">
        <v>3</v>
      </c>
      <c r="D602" s="9" t="s">
        <v>669</v>
      </c>
      <c r="E602" s="9" t="s">
        <v>2885</v>
      </c>
      <c r="F602" s="9" t="s">
        <v>2887</v>
      </c>
      <c r="G602" s="9">
        <v>37316</v>
      </c>
      <c r="H602" s="9" t="s">
        <v>2888</v>
      </c>
      <c r="I602" s="9">
        <v>182</v>
      </c>
      <c r="J602" s="9">
        <v>27</v>
      </c>
      <c r="K602" s="9">
        <v>1</v>
      </c>
    </row>
    <row r="603" spans="1:11" x14ac:dyDescent="0.4">
      <c r="A603" s="9" t="s">
        <v>296</v>
      </c>
      <c r="B603" s="9" t="s">
        <v>22</v>
      </c>
      <c r="C603" s="9">
        <v>4</v>
      </c>
      <c r="D603" s="9" t="s">
        <v>669</v>
      </c>
      <c r="E603" s="9" t="s">
        <v>2889</v>
      </c>
      <c r="F603" s="9" t="s">
        <v>2891</v>
      </c>
      <c r="G603" s="9">
        <v>36920</v>
      </c>
      <c r="H603" s="9" t="s">
        <v>2892</v>
      </c>
      <c r="I603" s="9">
        <v>187</v>
      </c>
      <c r="J603" s="9">
        <v>28</v>
      </c>
      <c r="K603" s="9">
        <v>1</v>
      </c>
    </row>
    <row r="604" spans="1:11" x14ac:dyDescent="0.4">
      <c r="A604" s="9" t="s">
        <v>296</v>
      </c>
      <c r="B604" s="9" t="s">
        <v>22</v>
      </c>
      <c r="C604" s="9">
        <v>5</v>
      </c>
      <c r="D604" s="9" t="s">
        <v>669</v>
      </c>
      <c r="E604" s="9" t="s">
        <v>2894</v>
      </c>
      <c r="F604" s="9" t="s">
        <v>2896</v>
      </c>
      <c r="G604" s="9">
        <v>36023</v>
      </c>
      <c r="H604" s="9" t="s">
        <v>2897</v>
      </c>
      <c r="I604" s="9">
        <v>184</v>
      </c>
      <c r="J604" s="9">
        <v>14</v>
      </c>
      <c r="K604" s="9">
        <v>1</v>
      </c>
    </row>
    <row r="605" spans="1:11" x14ac:dyDescent="0.4">
      <c r="A605" s="9" t="s">
        <v>296</v>
      </c>
      <c r="B605" s="9" t="s">
        <v>22</v>
      </c>
      <c r="C605" s="9">
        <v>6</v>
      </c>
      <c r="D605" s="9" t="s">
        <v>669</v>
      </c>
      <c r="E605" s="9" t="s">
        <v>2899</v>
      </c>
      <c r="F605" s="9" t="s">
        <v>2901</v>
      </c>
      <c r="G605" s="9">
        <v>35385</v>
      </c>
      <c r="H605" s="9" t="s">
        <v>2902</v>
      </c>
      <c r="I605" s="9">
        <v>184</v>
      </c>
      <c r="J605" s="9">
        <v>34</v>
      </c>
      <c r="K605" s="9">
        <v>1</v>
      </c>
    </row>
    <row r="606" spans="1:11" x14ac:dyDescent="0.4">
      <c r="A606" s="9" t="s">
        <v>296</v>
      </c>
      <c r="B606" s="9" t="s">
        <v>22</v>
      </c>
      <c r="C606" s="9">
        <v>7</v>
      </c>
      <c r="D606" s="9" t="s">
        <v>686</v>
      </c>
      <c r="E606" s="9" t="s">
        <v>2904</v>
      </c>
      <c r="F606" s="9" t="s">
        <v>2906</v>
      </c>
      <c r="G606" s="9">
        <v>37854</v>
      </c>
      <c r="H606" s="9" t="s">
        <v>2907</v>
      </c>
      <c r="I606" s="9">
        <v>172</v>
      </c>
      <c r="J606" s="9">
        <v>27</v>
      </c>
      <c r="K606" s="9">
        <v>2</v>
      </c>
    </row>
    <row r="607" spans="1:11" x14ac:dyDescent="0.4">
      <c r="A607" s="9" t="s">
        <v>296</v>
      </c>
      <c r="B607" s="9" t="s">
        <v>22</v>
      </c>
      <c r="C607" s="9">
        <v>8</v>
      </c>
      <c r="D607" s="9" t="s">
        <v>686</v>
      </c>
      <c r="E607" s="9" t="s">
        <v>2909</v>
      </c>
      <c r="F607" s="9" t="s">
        <v>2298</v>
      </c>
      <c r="G607" s="9">
        <v>36647</v>
      </c>
      <c r="H607" s="9" t="s">
        <v>2911</v>
      </c>
      <c r="I607" s="9">
        <v>180</v>
      </c>
      <c r="J607" s="9">
        <v>76</v>
      </c>
      <c r="K607" s="9">
        <v>8</v>
      </c>
    </row>
    <row r="608" spans="1:11" x14ac:dyDescent="0.4">
      <c r="A608" s="9" t="s">
        <v>296</v>
      </c>
      <c r="B608" s="9" t="s">
        <v>22</v>
      </c>
      <c r="C608" s="9">
        <v>9</v>
      </c>
      <c r="D608" s="9" t="s">
        <v>691</v>
      </c>
      <c r="E608" s="9" t="s">
        <v>2913</v>
      </c>
      <c r="F608" s="9" t="s">
        <v>2915</v>
      </c>
      <c r="G608" s="9">
        <v>37316</v>
      </c>
      <c r="H608" s="9" t="s">
        <v>2916</v>
      </c>
      <c r="I608" s="9">
        <v>187</v>
      </c>
      <c r="J608" s="9">
        <v>20</v>
      </c>
      <c r="K608" s="9">
        <v>5</v>
      </c>
    </row>
    <row r="609" spans="1:11" x14ac:dyDescent="0.4">
      <c r="A609" s="9" t="s">
        <v>296</v>
      </c>
      <c r="B609" s="9" t="s">
        <v>22</v>
      </c>
      <c r="C609" s="9">
        <v>10</v>
      </c>
      <c r="D609" s="9" t="s">
        <v>691</v>
      </c>
      <c r="E609" s="9" t="s">
        <v>2918</v>
      </c>
      <c r="F609" s="9" t="s">
        <v>2920</v>
      </c>
      <c r="G609" s="9">
        <v>36697</v>
      </c>
      <c r="H609" s="9" t="s">
        <v>2921</v>
      </c>
      <c r="I609" s="9">
        <v>183</v>
      </c>
      <c r="J609" s="9">
        <v>72</v>
      </c>
      <c r="K609" s="9">
        <v>27</v>
      </c>
    </row>
    <row r="610" spans="1:11" x14ac:dyDescent="0.4">
      <c r="A610" s="9" t="s">
        <v>296</v>
      </c>
      <c r="B610" s="9" t="s">
        <v>22</v>
      </c>
      <c r="C610" s="9">
        <v>11</v>
      </c>
      <c r="D610" s="9" t="s">
        <v>691</v>
      </c>
      <c r="E610" s="9" t="s">
        <v>2923</v>
      </c>
      <c r="F610" s="9" t="s">
        <v>2925</v>
      </c>
      <c r="G610" s="9">
        <v>37814</v>
      </c>
      <c r="H610" s="9" t="s">
        <v>2926</v>
      </c>
      <c r="I610" s="9">
        <v>183</v>
      </c>
      <c r="J610" s="9">
        <v>3</v>
      </c>
      <c r="K610" s="9">
        <v>0</v>
      </c>
    </row>
    <row r="611" spans="1:11" x14ac:dyDescent="0.4">
      <c r="A611" s="9" t="s">
        <v>296</v>
      </c>
      <c r="B611" s="9" t="s">
        <v>22</v>
      </c>
      <c r="C611" s="9">
        <v>12</v>
      </c>
      <c r="D611" s="9" t="s">
        <v>664</v>
      </c>
      <c r="E611" s="9" t="s">
        <v>2927</v>
      </c>
      <c r="F611" s="9" t="s">
        <v>2929</v>
      </c>
      <c r="G611" s="9">
        <v>33376</v>
      </c>
      <c r="H611" s="9" t="s">
        <v>2897</v>
      </c>
      <c r="I611" s="9">
        <v>188</v>
      </c>
      <c r="J611" s="9">
        <v>102</v>
      </c>
      <c r="K611" s="9">
        <v>0</v>
      </c>
    </row>
    <row r="612" spans="1:11" x14ac:dyDescent="0.4">
      <c r="A612" s="9" t="s">
        <v>296</v>
      </c>
      <c r="B612" s="9" t="s">
        <v>22</v>
      </c>
      <c r="C612" s="9">
        <v>13</v>
      </c>
      <c r="D612" s="9" t="s">
        <v>691</v>
      </c>
      <c r="E612" s="9" t="s">
        <v>2931</v>
      </c>
      <c r="F612" s="9" t="s">
        <v>2933</v>
      </c>
      <c r="G612" s="9">
        <v>35083</v>
      </c>
      <c r="H612" s="9" t="s">
        <v>2878</v>
      </c>
      <c r="I612" s="9">
        <v>180</v>
      </c>
      <c r="J612" s="9">
        <v>7</v>
      </c>
      <c r="K612" s="9">
        <v>1</v>
      </c>
    </row>
    <row r="613" spans="1:11" x14ac:dyDescent="0.4">
      <c r="A613" s="9" t="s">
        <v>296</v>
      </c>
      <c r="B613" s="9" t="s">
        <v>22</v>
      </c>
      <c r="C613" s="9">
        <v>14</v>
      </c>
      <c r="D613" s="9" t="s">
        <v>686</v>
      </c>
      <c r="E613" s="9" t="s">
        <v>2935</v>
      </c>
      <c r="F613" s="9" t="s">
        <v>2937</v>
      </c>
      <c r="G613" s="9">
        <v>37738</v>
      </c>
      <c r="H613" s="9" t="s">
        <v>2938</v>
      </c>
      <c r="I613" s="9">
        <v>183</v>
      </c>
      <c r="J613" s="9">
        <v>25</v>
      </c>
      <c r="K613" s="9">
        <v>2</v>
      </c>
    </row>
    <row r="614" spans="1:11" x14ac:dyDescent="0.4">
      <c r="A614" s="9" t="s">
        <v>296</v>
      </c>
      <c r="B614" s="9" t="s">
        <v>22</v>
      </c>
      <c r="C614" s="9">
        <v>15</v>
      </c>
      <c r="D614" s="9" t="s">
        <v>669</v>
      </c>
      <c r="E614" s="9" t="s">
        <v>2940</v>
      </c>
      <c r="F614" s="9" t="s">
        <v>2942</v>
      </c>
      <c r="G614" s="9">
        <v>37158</v>
      </c>
      <c r="H614" s="9" t="s">
        <v>2943</v>
      </c>
      <c r="I614" s="9">
        <v>183</v>
      </c>
      <c r="J614" s="9">
        <v>7</v>
      </c>
      <c r="K614" s="9">
        <v>0</v>
      </c>
    </row>
    <row r="615" spans="1:11" x14ac:dyDescent="0.4">
      <c r="A615" s="9" t="s">
        <v>296</v>
      </c>
      <c r="B615" s="9" t="s">
        <v>22</v>
      </c>
      <c r="C615" s="9">
        <v>16</v>
      </c>
      <c r="D615" s="9" t="s">
        <v>686</v>
      </c>
      <c r="E615" s="9" t="s">
        <v>2945</v>
      </c>
      <c r="F615" s="9" t="s">
        <v>2947</v>
      </c>
      <c r="G615" s="9">
        <v>35638</v>
      </c>
      <c r="H615" s="9" t="s">
        <v>2948</v>
      </c>
      <c r="I615" s="9">
        <v>180</v>
      </c>
      <c r="J615" s="9">
        <v>51</v>
      </c>
      <c r="K615" s="9">
        <v>3</v>
      </c>
    </row>
    <row r="616" spans="1:11" x14ac:dyDescent="0.4">
      <c r="A616" s="9" t="s">
        <v>296</v>
      </c>
      <c r="B616" s="9" t="s">
        <v>22</v>
      </c>
      <c r="C616" s="9">
        <v>17</v>
      </c>
      <c r="D616" s="9" t="s">
        <v>691</v>
      </c>
      <c r="E616" s="9" t="s">
        <v>2949</v>
      </c>
      <c r="F616" s="9" t="s">
        <v>2951</v>
      </c>
      <c r="G616" s="9">
        <v>38006</v>
      </c>
      <c r="H616" s="9" t="s">
        <v>2306</v>
      </c>
      <c r="I616" s="9">
        <v>178</v>
      </c>
      <c r="J616" s="9">
        <v>36</v>
      </c>
      <c r="K616" s="9">
        <v>2</v>
      </c>
    </row>
    <row r="617" spans="1:11" x14ac:dyDescent="0.4">
      <c r="A617" s="9" t="s">
        <v>296</v>
      </c>
      <c r="B617" s="9" t="s">
        <v>22</v>
      </c>
      <c r="C617" s="9">
        <v>18</v>
      </c>
      <c r="D617" s="9" t="s">
        <v>691</v>
      </c>
      <c r="E617" s="9" t="s">
        <v>2953</v>
      </c>
      <c r="F617" s="9" t="s">
        <v>2955</v>
      </c>
      <c r="G617" s="9">
        <v>35146</v>
      </c>
      <c r="H617" s="9" t="s">
        <v>2943</v>
      </c>
      <c r="I617" s="9">
        <v>190</v>
      </c>
      <c r="J617" s="9">
        <v>95</v>
      </c>
      <c r="K617" s="9">
        <v>33</v>
      </c>
    </row>
    <row r="618" spans="1:11" x14ac:dyDescent="0.4">
      <c r="A618" s="9" t="s">
        <v>296</v>
      </c>
      <c r="B618" s="9" t="s">
        <v>22</v>
      </c>
      <c r="C618" s="9">
        <v>19</v>
      </c>
      <c r="D618" s="9" t="s">
        <v>686</v>
      </c>
      <c r="E618" s="9" t="s">
        <v>2957</v>
      </c>
      <c r="F618" s="9" t="s">
        <v>2959</v>
      </c>
      <c r="G618" s="9">
        <v>36809</v>
      </c>
      <c r="H618" s="9" t="s">
        <v>2960</v>
      </c>
      <c r="I618" s="9">
        <v>180</v>
      </c>
      <c r="J618" s="9">
        <v>9</v>
      </c>
      <c r="K618" s="9">
        <v>0</v>
      </c>
    </row>
    <row r="619" spans="1:11" x14ac:dyDescent="0.4">
      <c r="A619" s="9" t="s">
        <v>296</v>
      </c>
      <c r="B619" s="9" t="s">
        <v>22</v>
      </c>
      <c r="C619" s="9">
        <v>20</v>
      </c>
      <c r="D619" s="9" t="s">
        <v>686</v>
      </c>
      <c r="E619" s="9" t="s">
        <v>2962</v>
      </c>
      <c r="F619" s="9" t="s">
        <v>2964</v>
      </c>
      <c r="G619" s="9">
        <v>37610</v>
      </c>
      <c r="H619" s="9" t="s">
        <v>2965</v>
      </c>
      <c r="I619" s="9">
        <v>180</v>
      </c>
      <c r="J619" s="9">
        <v>7</v>
      </c>
      <c r="K619" s="9">
        <v>0</v>
      </c>
    </row>
    <row r="620" spans="1:11" x14ac:dyDescent="0.4">
      <c r="A620" s="9" t="s">
        <v>296</v>
      </c>
      <c r="B620" s="9" t="s">
        <v>22</v>
      </c>
      <c r="C620" s="9">
        <v>21</v>
      </c>
      <c r="D620" s="9" t="s">
        <v>691</v>
      </c>
      <c r="E620" s="9" t="s">
        <v>2967</v>
      </c>
      <c r="F620" s="9" t="s">
        <v>2969</v>
      </c>
      <c r="G620" s="9">
        <v>38062</v>
      </c>
      <c r="H620" s="9" t="s">
        <v>959</v>
      </c>
      <c r="I620" s="9">
        <v>185</v>
      </c>
      <c r="J620" s="9">
        <v>12</v>
      </c>
      <c r="K620" s="9">
        <v>0</v>
      </c>
    </row>
    <row r="621" spans="1:11" x14ac:dyDescent="0.4">
      <c r="A621" s="9" t="s">
        <v>296</v>
      </c>
      <c r="B621" s="9" t="s">
        <v>22</v>
      </c>
      <c r="C621" s="9">
        <v>22</v>
      </c>
      <c r="D621" s="9" t="s">
        <v>664</v>
      </c>
      <c r="E621" s="9" t="s">
        <v>2970</v>
      </c>
      <c r="F621" s="9" t="s">
        <v>2972</v>
      </c>
      <c r="G621" s="9">
        <v>35296</v>
      </c>
      <c r="H621" s="9" t="s">
        <v>2902</v>
      </c>
      <c r="I621" s="9">
        <v>184</v>
      </c>
      <c r="J621" s="9">
        <v>16</v>
      </c>
      <c r="K621" s="9">
        <v>0</v>
      </c>
    </row>
    <row r="622" spans="1:11" x14ac:dyDescent="0.4">
      <c r="A622" s="9" t="s">
        <v>296</v>
      </c>
      <c r="B622" s="9" t="s">
        <v>22</v>
      </c>
      <c r="C622" s="9">
        <v>23</v>
      </c>
      <c r="D622" s="9" t="s">
        <v>669</v>
      </c>
      <c r="E622" s="9" t="s">
        <v>2974</v>
      </c>
      <c r="F622" s="9" t="s">
        <v>2976</v>
      </c>
      <c r="G622" s="9">
        <v>36501</v>
      </c>
      <c r="H622" s="9" t="s">
        <v>912</v>
      </c>
      <c r="I622" s="9">
        <v>173</v>
      </c>
      <c r="J622" s="9">
        <v>31</v>
      </c>
      <c r="K622" s="9">
        <v>1</v>
      </c>
    </row>
    <row r="623" spans="1:11" x14ac:dyDescent="0.4">
      <c r="A623" s="9" t="s">
        <v>296</v>
      </c>
      <c r="B623" s="9" t="s">
        <v>22</v>
      </c>
      <c r="C623" s="9">
        <v>24</v>
      </c>
      <c r="D623" s="9" t="s">
        <v>686</v>
      </c>
      <c r="E623" s="9" t="s">
        <v>2978</v>
      </c>
      <c r="F623" s="9" t="s">
        <v>2980</v>
      </c>
      <c r="G623" s="9">
        <v>37259</v>
      </c>
      <c r="H623" s="9" t="s">
        <v>2878</v>
      </c>
      <c r="I623" s="9">
        <v>185</v>
      </c>
      <c r="J623" s="9">
        <v>6</v>
      </c>
      <c r="K623" s="9">
        <v>0</v>
      </c>
    </row>
    <row r="624" spans="1:11" x14ac:dyDescent="0.4">
      <c r="A624" s="9" t="s">
        <v>296</v>
      </c>
      <c r="B624" s="9" t="s">
        <v>22</v>
      </c>
      <c r="C624" s="9">
        <v>25</v>
      </c>
      <c r="D624" s="9" t="s">
        <v>669</v>
      </c>
      <c r="E624" s="9" t="s">
        <v>2982</v>
      </c>
      <c r="F624" s="9" t="s">
        <v>2984</v>
      </c>
      <c r="G624" s="9">
        <v>37036</v>
      </c>
      <c r="H624" s="9" t="s">
        <v>2902</v>
      </c>
      <c r="I624" s="9">
        <v>181</v>
      </c>
      <c r="J624" s="9">
        <v>17</v>
      </c>
      <c r="K624" s="9">
        <v>0</v>
      </c>
    </row>
    <row r="625" spans="1:11" x14ac:dyDescent="0.4">
      <c r="A625" s="9" t="s">
        <v>296</v>
      </c>
      <c r="B625" s="9" t="s">
        <v>22</v>
      </c>
      <c r="C625" s="9">
        <v>26</v>
      </c>
      <c r="D625" s="9" t="s">
        <v>669</v>
      </c>
      <c r="E625" s="9" t="s">
        <v>2986</v>
      </c>
      <c r="F625" s="9" t="s">
        <v>2988</v>
      </c>
      <c r="G625" s="9">
        <v>34164</v>
      </c>
      <c r="H625" s="9" t="s">
        <v>2989</v>
      </c>
      <c r="I625" s="9">
        <v>182</v>
      </c>
      <c r="J625" s="9">
        <v>28</v>
      </c>
      <c r="K625" s="9">
        <v>0</v>
      </c>
    </row>
    <row r="626" spans="1:11" x14ac:dyDescent="0.4">
      <c r="A626" s="9" t="s">
        <v>319</v>
      </c>
      <c r="B626" s="9" t="s">
        <v>46</v>
      </c>
      <c r="C626" s="9">
        <v>1</v>
      </c>
      <c r="D626" s="9" t="s">
        <v>664</v>
      </c>
      <c r="E626" s="9" t="s">
        <v>2991</v>
      </c>
      <c r="F626" s="9" t="s">
        <v>2993</v>
      </c>
      <c r="G626" s="9">
        <v>37489</v>
      </c>
      <c r="H626" s="9" t="s">
        <v>780</v>
      </c>
      <c r="I626" s="9">
        <v>190</v>
      </c>
      <c r="J626" s="9">
        <v>24</v>
      </c>
      <c r="K626" s="9">
        <v>0</v>
      </c>
    </row>
    <row r="627" spans="1:11" x14ac:dyDescent="0.4">
      <c r="A627" s="9" t="s">
        <v>319</v>
      </c>
      <c r="B627" s="9" t="s">
        <v>46</v>
      </c>
      <c r="C627" s="9">
        <v>2</v>
      </c>
      <c r="D627" s="9" t="s">
        <v>669</v>
      </c>
      <c r="E627" s="9" t="s">
        <v>2994</v>
      </c>
      <c r="F627" s="9" t="s">
        <v>2996</v>
      </c>
      <c r="G627" s="9">
        <v>36705</v>
      </c>
      <c r="H627" s="9" t="s">
        <v>935</v>
      </c>
      <c r="I627" s="9">
        <v>179</v>
      </c>
      <c r="J627" s="9">
        <v>21</v>
      </c>
      <c r="K627" s="9">
        <v>2</v>
      </c>
    </row>
    <row r="628" spans="1:11" x14ac:dyDescent="0.4">
      <c r="A628" s="9" t="s">
        <v>319</v>
      </c>
      <c r="B628" s="9" t="s">
        <v>46</v>
      </c>
      <c r="C628" s="9">
        <v>3</v>
      </c>
      <c r="D628" s="9" t="s">
        <v>669</v>
      </c>
      <c r="E628" s="9" t="s">
        <v>2997</v>
      </c>
      <c r="F628" s="9" t="s">
        <v>2999</v>
      </c>
      <c r="G628" s="9">
        <v>33434</v>
      </c>
      <c r="H628" s="9" t="s">
        <v>3000</v>
      </c>
      <c r="I628" s="9">
        <v>185</v>
      </c>
      <c r="J628" s="9">
        <v>38</v>
      </c>
      <c r="K628" s="9">
        <v>1</v>
      </c>
    </row>
    <row r="629" spans="1:11" x14ac:dyDescent="0.4">
      <c r="A629" s="9" t="s">
        <v>319</v>
      </c>
      <c r="B629" s="9" t="s">
        <v>46</v>
      </c>
      <c r="C629" s="9">
        <v>4</v>
      </c>
      <c r="D629" s="9" t="s">
        <v>669</v>
      </c>
      <c r="E629" s="9" t="s">
        <v>3001</v>
      </c>
      <c r="F629" s="9" t="s">
        <v>3003</v>
      </c>
      <c r="G629" s="9">
        <v>35457</v>
      </c>
      <c r="H629" s="9" t="s">
        <v>1893</v>
      </c>
      <c r="I629" s="9">
        <v>188</v>
      </c>
      <c r="J629" s="9">
        <v>40</v>
      </c>
      <c r="K629" s="9">
        <v>2</v>
      </c>
    </row>
    <row r="630" spans="1:11" x14ac:dyDescent="0.4">
      <c r="A630" s="9" t="s">
        <v>319</v>
      </c>
      <c r="B630" s="9" t="s">
        <v>46</v>
      </c>
      <c r="C630" s="9">
        <v>5</v>
      </c>
      <c r="D630" s="9" t="s">
        <v>669</v>
      </c>
      <c r="E630" s="9" t="s">
        <v>3004</v>
      </c>
      <c r="F630" s="9" t="s">
        <v>3006</v>
      </c>
      <c r="G630" s="9">
        <v>31667</v>
      </c>
      <c r="H630" s="9" t="s">
        <v>3007</v>
      </c>
      <c r="I630" s="9">
        <v>170</v>
      </c>
      <c r="J630" s="9">
        <v>145</v>
      </c>
      <c r="K630" s="9">
        <v>4</v>
      </c>
    </row>
    <row r="631" spans="1:11" x14ac:dyDescent="0.4">
      <c r="A631" s="9" t="s">
        <v>319</v>
      </c>
      <c r="B631" s="9" t="s">
        <v>46</v>
      </c>
      <c r="C631" s="9">
        <v>6</v>
      </c>
      <c r="D631" s="9" t="s">
        <v>691</v>
      </c>
      <c r="E631" s="9" t="s">
        <v>3008</v>
      </c>
      <c r="F631" s="9" t="s">
        <v>3010</v>
      </c>
      <c r="G631" s="9">
        <v>36433</v>
      </c>
      <c r="H631" s="9" t="s">
        <v>1137</v>
      </c>
      <c r="I631" s="9">
        <v>185</v>
      </c>
      <c r="J631" s="9">
        <v>14</v>
      </c>
      <c r="K631" s="9">
        <v>5</v>
      </c>
    </row>
    <row r="632" spans="1:11" x14ac:dyDescent="0.4">
      <c r="A632" s="9" t="s">
        <v>319</v>
      </c>
      <c r="B632" s="9" t="s">
        <v>46</v>
      </c>
      <c r="C632" s="9">
        <v>7</v>
      </c>
      <c r="D632" s="9" t="s">
        <v>686</v>
      </c>
      <c r="E632" s="9" t="s">
        <v>3011</v>
      </c>
      <c r="F632" s="9" t="s">
        <v>3013</v>
      </c>
      <c r="G632" s="9">
        <v>36048</v>
      </c>
      <c r="H632" s="9" t="s">
        <v>3014</v>
      </c>
      <c r="I632" s="9">
        <v>180</v>
      </c>
      <c r="J632" s="9">
        <v>38</v>
      </c>
      <c r="K632" s="9">
        <v>8</v>
      </c>
    </row>
    <row r="633" spans="1:11" x14ac:dyDescent="0.4">
      <c r="A633" s="9" t="s">
        <v>319</v>
      </c>
      <c r="B633" s="9" t="s">
        <v>46</v>
      </c>
      <c r="C633" s="9">
        <v>8</v>
      </c>
      <c r="D633" s="9" t="s">
        <v>686</v>
      </c>
      <c r="E633" s="9" t="s">
        <v>3015</v>
      </c>
      <c r="F633" s="9" t="s">
        <v>3017</v>
      </c>
      <c r="G633" s="9">
        <v>37046</v>
      </c>
      <c r="H633" s="9" t="s">
        <v>1890</v>
      </c>
      <c r="I633" s="9">
        <v>173</v>
      </c>
      <c r="J633" s="9">
        <v>49</v>
      </c>
      <c r="K633" s="9">
        <v>7</v>
      </c>
    </row>
    <row r="634" spans="1:11" x14ac:dyDescent="0.4">
      <c r="A634" s="9" t="s">
        <v>319</v>
      </c>
      <c r="B634" s="9" t="s">
        <v>46</v>
      </c>
      <c r="C634" s="9">
        <v>9</v>
      </c>
      <c r="D634" s="9" t="s">
        <v>691</v>
      </c>
      <c r="E634" s="9" t="s">
        <v>3018</v>
      </c>
      <c r="F634" s="9" t="s">
        <v>3020</v>
      </c>
      <c r="G634" s="9">
        <v>38506</v>
      </c>
      <c r="H634" s="9" t="s">
        <v>3000</v>
      </c>
      <c r="I634" s="9">
        <v>191</v>
      </c>
      <c r="J634" s="9">
        <v>4</v>
      </c>
      <c r="K634" s="9">
        <v>0</v>
      </c>
    </row>
    <row r="635" spans="1:11" x14ac:dyDescent="0.4">
      <c r="A635" s="9" t="s">
        <v>319</v>
      </c>
      <c r="B635" s="9" t="s">
        <v>46</v>
      </c>
      <c r="C635" s="9">
        <v>10</v>
      </c>
      <c r="D635" s="9" t="s">
        <v>686</v>
      </c>
      <c r="E635" s="9" t="s">
        <v>3021</v>
      </c>
      <c r="F635" s="9" t="s">
        <v>3023</v>
      </c>
      <c r="G635" s="9">
        <v>35962</v>
      </c>
      <c r="H635" s="9" t="s">
        <v>707</v>
      </c>
      <c r="I635" s="9">
        <v>172</v>
      </c>
      <c r="J635" s="9">
        <v>65</v>
      </c>
      <c r="K635" s="9">
        <v>11</v>
      </c>
    </row>
    <row r="636" spans="1:11" x14ac:dyDescent="0.4">
      <c r="A636" s="9" t="s">
        <v>319</v>
      </c>
      <c r="B636" s="9" t="s">
        <v>46</v>
      </c>
      <c r="C636" s="9">
        <v>11</v>
      </c>
      <c r="D636" s="9" t="s">
        <v>686</v>
      </c>
      <c r="E636" s="9" t="s">
        <v>3024</v>
      </c>
      <c r="F636" s="9" t="s">
        <v>3026</v>
      </c>
      <c r="G636" s="9">
        <v>35723</v>
      </c>
      <c r="H636" s="9" t="s">
        <v>1382</v>
      </c>
      <c r="I636" s="9">
        <v>173</v>
      </c>
      <c r="J636" s="9">
        <v>27</v>
      </c>
      <c r="K636" s="9">
        <v>4</v>
      </c>
    </row>
    <row r="637" spans="1:11" x14ac:dyDescent="0.4">
      <c r="A637" s="9" t="s">
        <v>319</v>
      </c>
      <c r="B637" s="9" t="s">
        <v>46</v>
      </c>
      <c r="C637" s="9">
        <v>12</v>
      </c>
      <c r="D637" s="9" t="s">
        <v>664</v>
      </c>
      <c r="E637" s="9" t="s">
        <v>3028</v>
      </c>
      <c r="F637" s="9" t="s">
        <v>3029</v>
      </c>
      <c r="G637" s="9">
        <v>36369</v>
      </c>
      <c r="H637" s="9" t="s">
        <v>3030</v>
      </c>
      <c r="I637" s="9">
        <v>188</v>
      </c>
      <c r="J637" s="9">
        <v>11</v>
      </c>
      <c r="K637" s="9">
        <v>0</v>
      </c>
    </row>
    <row r="638" spans="1:11" x14ac:dyDescent="0.4">
      <c r="A638" s="9" t="s">
        <v>319</v>
      </c>
      <c r="B638" s="9" t="s">
        <v>46</v>
      </c>
      <c r="C638" s="9">
        <v>13</v>
      </c>
      <c r="D638" s="9" t="s">
        <v>686</v>
      </c>
      <c r="E638" s="9" t="s">
        <v>3031</v>
      </c>
      <c r="F638" s="9" t="s">
        <v>3033</v>
      </c>
      <c r="G638" s="9">
        <v>36735</v>
      </c>
      <c r="H638" s="9" t="s">
        <v>3034</v>
      </c>
      <c r="I638" s="9">
        <v>180</v>
      </c>
      <c r="J638" s="9">
        <v>25</v>
      </c>
      <c r="K638" s="9">
        <v>10</v>
      </c>
    </row>
    <row r="639" spans="1:11" x14ac:dyDescent="0.4">
      <c r="A639" s="9" t="s">
        <v>319</v>
      </c>
      <c r="B639" s="9" t="s">
        <v>46</v>
      </c>
      <c r="C639" s="9">
        <v>14</v>
      </c>
      <c r="D639" s="9" t="s">
        <v>686</v>
      </c>
      <c r="E639" s="9" t="s">
        <v>3035</v>
      </c>
      <c r="F639" s="9" t="s">
        <v>3037</v>
      </c>
      <c r="G639" s="9">
        <v>34037</v>
      </c>
      <c r="H639" s="9" t="s">
        <v>1725</v>
      </c>
      <c r="I639" s="9">
        <v>177</v>
      </c>
      <c r="J639" s="9">
        <v>69</v>
      </c>
      <c r="K639" s="9">
        <v>15</v>
      </c>
    </row>
    <row r="640" spans="1:11" x14ac:dyDescent="0.4">
      <c r="A640" s="9" t="s">
        <v>319</v>
      </c>
      <c r="B640" s="9" t="s">
        <v>46</v>
      </c>
      <c r="C640" s="9">
        <v>15</v>
      </c>
      <c r="D640" s="9" t="s">
        <v>686</v>
      </c>
      <c r="E640" s="9" t="s">
        <v>3038</v>
      </c>
      <c r="F640" s="9" t="s">
        <v>3040</v>
      </c>
      <c r="G640" s="9">
        <v>35282</v>
      </c>
      <c r="H640" s="9" t="s">
        <v>1570</v>
      </c>
      <c r="I640" s="9">
        <v>180</v>
      </c>
      <c r="J640" s="9">
        <v>49</v>
      </c>
      <c r="K640" s="9">
        <v>12</v>
      </c>
    </row>
    <row r="641" spans="1:11" x14ac:dyDescent="0.4">
      <c r="A641" s="9" t="s">
        <v>319</v>
      </c>
      <c r="B641" s="9" t="s">
        <v>46</v>
      </c>
      <c r="C641" s="9">
        <v>16</v>
      </c>
      <c r="D641" s="9" t="s">
        <v>669</v>
      </c>
      <c r="E641" s="9" t="s">
        <v>3041</v>
      </c>
      <c r="F641" s="9" t="s">
        <v>3043</v>
      </c>
      <c r="G641" s="9">
        <v>35466</v>
      </c>
      <c r="H641" s="9" t="s">
        <v>711</v>
      </c>
      <c r="I641" s="9">
        <v>184</v>
      </c>
      <c r="J641" s="9">
        <v>11</v>
      </c>
      <c r="K641" s="9">
        <v>0</v>
      </c>
    </row>
    <row r="642" spans="1:11" x14ac:dyDescent="0.4">
      <c r="A642" s="9" t="s">
        <v>319</v>
      </c>
      <c r="B642" s="9" t="s">
        <v>46</v>
      </c>
      <c r="C642" s="9">
        <v>17</v>
      </c>
      <c r="D642" s="9" t="s">
        <v>686</v>
      </c>
      <c r="E642" s="9" t="s">
        <v>3044</v>
      </c>
      <c r="F642" s="9" t="s">
        <v>3046</v>
      </c>
      <c r="G642" s="9">
        <v>37189</v>
      </c>
      <c r="H642" s="9" t="s">
        <v>925</v>
      </c>
      <c r="I642" s="9">
        <v>175</v>
      </c>
      <c r="J642" s="9">
        <v>6</v>
      </c>
      <c r="K642" s="9">
        <v>0</v>
      </c>
    </row>
    <row r="643" spans="1:11" x14ac:dyDescent="0.4">
      <c r="A643" s="9" t="s">
        <v>319</v>
      </c>
      <c r="B643" s="9" t="s">
        <v>46</v>
      </c>
      <c r="C643" s="9">
        <v>18</v>
      </c>
      <c r="D643" s="9" t="s">
        <v>691</v>
      </c>
      <c r="E643" s="9" t="s">
        <v>3047</v>
      </c>
      <c r="F643" s="9" t="s">
        <v>3049</v>
      </c>
      <c r="G643" s="9">
        <v>36035</v>
      </c>
      <c r="H643" s="9" t="s">
        <v>711</v>
      </c>
      <c r="I643" s="9">
        <v>182</v>
      </c>
      <c r="J643" s="9">
        <v>39</v>
      </c>
      <c r="K643" s="9">
        <v>16</v>
      </c>
    </row>
    <row r="644" spans="1:11" x14ac:dyDescent="0.4">
      <c r="A644" s="9" t="s">
        <v>319</v>
      </c>
      <c r="B644" s="9" t="s">
        <v>46</v>
      </c>
      <c r="C644" s="9">
        <v>19</v>
      </c>
      <c r="D644" s="9" t="s">
        <v>691</v>
      </c>
      <c r="E644" s="9" t="s">
        <v>3051</v>
      </c>
      <c r="F644" s="9" t="s">
        <v>3053</v>
      </c>
      <c r="G644" s="9">
        <v>35650</v>
      </c>
      <c r="H644" s="9" t="s">
        <v>2039</v>
      </c>
      <c r="I644" s="9">
        <v>186</v>
      </c>
      <c r="J644" s="9">
        <v>15</v>
      </c>
      <c r="K644" s="9">
        <v>11</v>
      </c>
    </row>
    <row r="645" spans="1:11" x14ac:dyDescent="0.4">
      <c r="A645" s="9" t="s">
        <v>319</v>
      </c>
      <c r="B645" s="9" t="s">
        <v>46</v>
      </c>
      <c r="C645" s="9">
        <v>20</v>
      </c>
      <c r="D645" s="9" t="s">
        <v>669</v>
      </c>
      <c r="E645" s="9" t="s">
        <v>3054</v>
      </c>
      <c r="F645" s="9" t="s">
        <v>3056</v>
      </c>
      <c r="G645" s="9">
        <v>36684</v>
      </c>
      <c r="H645" s="9" t="s">
        <v>1683</v>
      </c>
      <c r="I645" s="9">
        <v>186</v>
      </c>
      <c r="J645" s="9">
        <v>14</v>
      </c>
      <c r="K645" s="9">
        <v>0</v>
      </c>
    </row>
    <row r="646" spans="1:11" x14ac:dyDescent="0.4">
      <c r="A646" s="9" t="s">
        <v>319</v>
      </c>
      <c r="B646" s="9" t="s">
        <v>46</v>
      </c>
      <c r="C646" s="9">
        <v>21</v>
      </c>
      <c r="D646" s="9" t="s">
        <v>669</v>
      </c>
      <c r="E646" s="9" t="s">
        <v>3057</v>
      </c>
      <c r="F646" s="9" t="s">
        <v>3059</v>
      </c>
      <c r="G646" s="9">
        <v>36292</v>
      </c>
      <c r="H646" s="9" t="s">
        <v>944</v>
      </c>
      <c r="I646" s="9">
        <v>188</v>
      </c>
      <c r="J646" s="9">
        <v>24</v>
      </c>
      <c r="K646" s="9">
        <v>1</v>
      </c>
    </row>
    <row r="647" spans="1:11" x14ac:dyDescent="0.4">
      <c r="A647" s="9" t="s">
        <v>319</v>
      </c>
      <c r="B647" s="9" t="s">
        <v>46</v>
      </c>
      <c r="C647" s="9">
        <v>22</v>
      </c>
      <c r="D647" s="9" t="s">
        <v>669</v>
      </c>
      <c r="E647" s="9" t="s">
        <v>3060</v>
      </c>
      <c r="F647" s="9" t="s">
        <v>3062</v>
      </c>
      <c r="G647" s="9">
        <v>36104</v>
      </c>
      <c r="H647" s="9" t="s">
        <v>1893</v>
      </c>
      <c r="I647" s="9">
        <v>187</v>
      </c>
      <c r="J647" s="9">
        <v>43</v>
      </c>
      <c r="K647" s="9">
        <v>1</v>
      </c>
    </row>
    <row r="648" spans="1:11" x14ac:dyDescent="0.4">
      <c r="A648" s="9" t="s">
        <v>319</v>
      </c>
      <c r="B648" s="9" t="s">
        <v>46</v>
      </c>
      <c r="C648" s="9">
        <v>23</v>
      </c>
      <c r="D648" s="9" t="s">
        <v>664</v>
      </c>
      <c r="E648" s="9" t="s">
        <v>3063</v>
      </c>
      <c r="F648" s="9" t="s">
        <v>3065</v>
      </c>
      <c r="G648" s="9">
        <v>36222</v>
      </c>
      <c r="H648" s="9" t="s">
        <v>3066</v>
      </c>
      <c r="I648" s="9">
        <v>187</v>
      </c>
      <c r="J648" s="9">
        <v>4</v>
      </c>
      <c r="K648" s="9">
        <v>0</v>
      </c>
    </row>
    <row r="649" spans="1:11" x14ac:dyDescent="0.4">
      <c r="A649" s="9" t="s">
        <v>319</v>
      </c>
      <c r="B649" s="9" t="s">
        <v>46</v>
      </c>
      <c r="C649" s="9">
        <v>24</v>
      </c>
      <c r="D649" s="9" t="s">
        <v>686</v>
      </c>
      <c r="E649" s="9" t="s">
        <v>3067</v>
      </c>
      <c r="F649" s="9" t="s">
        <v>3069</v>
      </c>
      <c r="G649" s="9">
        <v>36890</v>
      </c>
      <c r="H649" s="9" t="s">
        <v>887</v>
      </c>
      <c r="I649" s="9">
        <v>176</v>
      </c>
      <c r="J649" s="9">
        <v>13</v>
      </c>
      <c r="K649" s="9">
        <v>0</v>
      </c>
    </row>
    <row r="650" spans="1:11" x14ac:dyDescent="0.4">
      <c r="A650" s="9" t="s">
        <v>319</v>
      </c>
      <c r="B650" s="9" t="s">
        <v>46</v>
      </c>
      <c r="C650" s="9">
        <v>25</v>
      </c>
      <c r="D650" s="9" t="s">
        <v>669</v>
      </c>
      <c r="E650" s="9" t="s">
        <v>3070</v>
      </c>
      <c r="F650" s="9" t="s">
        <v>3072</v>
      </c>
      <c r="G650" s="9">
        <v>37814</v>
      </c>
      <c r="H650" s="9" t="s">
        <v>1941</v>
      </c>
      <c r="I650" s="9">
        <v>180</v>
      </c>
      <c r="J650" s="9">
        <v>6</v>
      </c>
      <c r="K650" s="9">
        <v>0</v>
      </c>
    </row>
    <row r="651" spans="1:11" x14ac:dyDescent="0.4">
      <c r="A651" s="9" t="s">
        <v>319</v>
      </c>
      <c r="B651" s="9" t="s">
        <v>46</v>
      </c>
      <c r="C651" s="9">
        <v>26</v>
      </c>
      <c r="D651" s="9" t="s">
        <v>691</v>
      </c>
      <c r="E651" s="9" t="s">
        <v>3073</v>
      </c>
      <c r="F651" s="9" t="s">
        <v>3075</v>
      </c>
      <c r="G651" s="9">
        <v>38437</v>
      </c>
      <c r="H651" s="9" t="s">
        <v>738</v>
      </c>
      <c r="I651" s="9">
        <v>180</v>
      </c>
      <c r="J651" s="9">
        <v>2</v>
      </c>
      <c r="K651" s="9">
        <v>0</v>
      </c>
    </row>
    <row r="652" spans="1:11" x14ac:dyDescent="0.4">
      <c r="A652" s="9" t="s">
        <v>312</v>
      </c>
      <c r="B652" s="9" t="s">
        <v>38</v>
      </c>
      <c r="C652" s="9">
        <v>1</v>
      </c>
      <c r="D652" s="9" t="s">
        <v>664</v>
      </c>
      <c r="E652" s="9" t="s">
        <v>3076</v>
      </c>
      <c r="F652" s="9" t="s">
        <v>3078</v>
      </c>
      <c r="G652" s="9">
        <v>33977</v>
      </c>
      <c r="H652" s="9" t="s">
        <v>3079</v>
      </c>
      <c r="I652" s="9">
        <v>188</v>
      </c>
      <c r="J652" s="9">
        <v>76</v>
      </c>
      <c r="K652" s="9">
        <v>0</v>
      </c>
    </row>
    <row r="653" spans="1:11" x14ac:dyDescent="0.4">
      <c r="A653" s="9" t="s">
        <v>312</v>
      </c>
      <c r="B653" s="9" t="s">
        <v>38</v>
      </c>
      <c r="C653" s="9">
        <v>2</v>
      </c>
      <c r="D653" s="9" t="s">
        <v>669</v>
      </c>
      <c r="E653" s="9" t="s">
        <v>3081</v>
      </c>
      <c r="F653" s="9" t="s">
        <v>3083</v>
      </c>
      <c r="G653" s="9">
        <v>34828</v>
      </c>
      <c r="H653" s="9" t="s">
        <v>2943</v>
      </c>
      <c r="I653" s="9">
        <v>179</v>
      </c>
      <c r="J653" s="9">
        <v>56</v>
      </c>
      <c r="K653" s="9">
        <v>1</v>
      </c>
    </row>
    <row r="654" spans="1:11" x14ac:dyDescent="0.4">
      <c r="A654" s="9" t="s">
        <v>312</v>
      </c>
      <c r="B654" s="9" t="s">
        <v>38</v>
      </c>
      <c r="C654" s="9">
        <v>3</v>
      </c>
      <c r="D654" s="9" t="s">
        <v>669</v>
      </c>
      <c r="E654" s="9" t="s">
        <v>3085</v>
      </c>
      <c r="F654" s="9" t="s">
        <v>3087</v>
      </c>
      <c r="G654" s="9">
        <v>34390</v>
      </c>
      <c r="H654" s="9" t="s">
        <v>2897</v>
      </c>
      <c r="I654" s="9">
        <v>184</v>
      </c>
      <c r="J654" s="9">
        <v>65</v>
      </c>
      <c r="K654" s="9">
        <v>3</v>
      </c>
    </row>
    <row r="655" spans="1:11" x14ac:dyDescent="0.4">
      <c r="A655" s="9" t="s">
        <v>312</v>
      </c>
      <c r="B655" s="9" t="s">
        <v>38</v>
      </c>
      <c r="C655" s="9">
        <v>4</v>
      </c>
      <c r="D655" s="9" t="s">
        <v>669</v>
      </c>
      <c r="E655" s="9" t="s">
        <v>3088</v>
      </c>
      <c r="F655" s="9" t="s">
        <v>3090</v>
      </c>
      <c r="G655" s="9">
        <v>36659</v>
      </c>
      <c r="H655" s="9" t="s">
        <v>3091</v>
      </c>
      <c r="I655" s="9">
        <v>186</v>
      </c>
      <c r="J655" s="9">
        <v>18</v>
      </c>
      <c r="K655" s="9">
        <v>0</v>
      </c>
    </row>
    <row r="656" spans="1:11" x14ac:dyDescent="0.4">
      <c r="A656" s="9" t="s">
        <v>312</v>
      </c>
      <c r="B656" s="9" t="s">
        <v>38</v>
      </c>
      <c r="C656" s="9">
        <v>5</v>
      </c>
      <c r="D656" s="9" t="s">
        <v>669</v>
      </c>
      <c r="E656" s="9" t="s">
        <v>3093</v>
      </c>
      <c r="F656" s="9" t="s">
        <v>3095</v>
      </c>
      <c r="G656" s="9">
        <v>35095</v>
      </c>
      <c r="H656" s="9" t="s">
        <v>3096</v>
      </c>
      <c r="I656" s="9">
        <v>185</v>
      </c>
      <c r="J656" s="9">
        <v>80</v>
      </c>
      <c r="K656" s="9">
        <v>3</v>
      </c>
    </row>
    <row r="657" spans="1:11" x14ac:dyDescent="0.4">
      <c r="A657" s="9" t="s">
        <v>312</v>
      </c>
      <c r="B657" s="9" t="s">
        <v>38</v>
      </c>
      <c r="C657" s="9">
        <v>6</v>
      </c>
      <c r="D657" s="9" t="s">
        <v>686</v>
      </c>
      <c r="E657" s="9" t="s">
        <v>3097</v>
      </c>
      <c r="F657" s="9" t="s">
        <v>3099</v>
      </c>
      <c r="G657" s="9">
        <v>37440</v>
      </c>
      <c r="H657" s="9" t="s">
        <v>2897</v>
      </c>
      <c r="I657" s="9">
        <v>177</v>
      </c>
      <c r="J657" s="9">
        <v>19</v>
      </c>
      <c r="K657" s="9">
        <v>1</v>
      </c>
    </row>
    <row r="658" spans="1:11" x14ac:dyDescent="0.4">
      <c r="A658" s="9" t="s">
        <v>312</v>
      </c>
      <c r="B658" s="9" t="s">
        <v>38</v>
      </c>
      <c r="C658" s="9">
        <v>7</v>
      </c>
      <c r="D658" s="9" t="s">
        <v>691</v>
      </c>
      <c r="E658" s="9" t="s">
        <v>3100</v>
      </c>
      <c r="F658" s="9" t="s">
        <v>3102</v>
      </c>
      <c r="G658" s="9">
        <v>35794</v>
      </c>
      <c r="H658" s="9" t="s">
        <v>3103</v>
      </c>
      <c r="I658" s="9">
        <v>170</v>
      </c>
      <c r="J658" s="9">
        <v>41</v>
      </c>
      <c r="K658" s="9">
        <v>5</v>
      </c>
    </row>
    <row r="659" spans="1:11" x14ac:dyDescent="0.4">
      <c r="A659" s="9" t="s">
        <v>312</v>
      </c>
      <c r="B659" s="9" t="s">
        <v>38</v>
      </c>
      <c r="C659" s="9">
        <v>8</v>
      </c>
      <c r="D659" s="9" t="s">
        <v>686</v>
      </c>
      <c r="E659" s="9" t="s">
        <v>3104</v>
      </c>
      <c r="F659" s="9" t="s">
        <v>3106</v>
      </c>
      <c r="G659" s="9">
        <v>35485</v>
      </c>
      <c r="H659" s="9" t="s">
        <v>3107</v>
      </c>
      <c r="I659" s="9">
        <v>182</v>
      </c>
      <c r="J659" s="9">
        <v>68</v>
      </c>
      <c r="K659" s="9">
        <v>3</v>
      </c>
    </row>
    <row r="660" spans="1:11" x14ac:dyDescent="0.4">
      <c r="A660" s="9" t="s">
        <v>312</v>
      </c>
      <c r="B660" s="9" t="s">
        <v>38</v>
      </c>
      <c r="C660" s="9">
        <v>9</v>
      </c>
      <c r="D660" s="9" t="s">
        <v>691</v>
      </c>
      <c r="E660" s="9" t="s">
        <v>3109</v>
      </c>
      <c r="F660" s="9" t="s">
        <v>3111</v>
      </c>
      <c r="G660" s="9">
        <v>36611</v>
      </c>
      <c r="H660" s="9" t="s">
        <v>3112</v>
      </c>
      <c r="I660" s="9">
        <v>182</v>
      </c>
      <c r="J660" s="9">
        <v>66</v>
      </c>
      <c r="K660" s="9">
        <v>29</v>
      </c>
    </row>
    <row r="661" spans="1:11" x14ac:dyDescent="0.4">
      <c r="A661" s="9" t="s">
        <v>312</v>
      </c>
      <c r="B661" s="9" t="s">
        <v>38</v>
      </c>
      <c r="C661" s="9">
        <v>10</v>
      </c>
      <c r="D661" s="9" t="s">
        <v>691</v>
      </c>
      <c r="E661" s="9" t="s">
        <v>3113</v>
      </c>
      <c r="F661" s="9" t="s">
        <v>3115</v>
      </c>
      <c r="G661" s="9">
        <v>35591</v>
      </c>
      <c r="H661" s="9" t="s">
        <v>2419</v>
      </c>
      <c r="I661" s="9">
        <v>176</v>
      </c>
      <c r="J661" s="9">
        <v>92</v>
      </c>
      <c r="K661" s="9">
        <v>24</v>
      </c>
    </row>
    <row r="662" spans="1:11" x14ac:dyDescent="0.4">
      <c r="A662" s="9" t="s">
        <v>312</v>
      </c>
      <c r="B662" s="9" t="s">
        <v>38</v>
      </c>
      <c r="C662" s="9">
        <v>11</v>
      </c>
      <c r="D662" s="9" t="s">
        <v>691</v>
      </c>
      <c r="E662" s="9" t="s">
        <v>3117</v>
      </c>
      <c r="F662" s="9" t="s">
        <v>3119</v>
      </c>
      <c r="G662" s="9">
        <v>38678</v>
      </c>
      <c r="H662" s="9" t="s">
        <v>1755</v>
      </c>
      <c r="I662" s="9">
        <v>180</v>
      </c>
      <c r="J662" s="9">
        <v>10</v>
      </c>
      <c r="K662" s="9">
        <v>1</v>
      </c>
    </row>
    <row r="663" spans="1:11" x14ac:dyDescent="0.4">
      <c r="A663" s="9" t="s">
        <v>312</v>
      </c>
      <c r="B663" s="9" t="s">
        <v>38</v>
      </c>
      <c r="C663" s="9">
        <v>12</v>
      </c>
      <c r="D663" s="9" t="s">
        <v>664</v>
      </c>
      <c r="E663" s="9" t="s">
        <v>3121</v>
      </c>
      <c r="F663" s="9" t="s">
        <v>3123</v>
      </c>
      <c r="G663" s="9">
        <v>33994</v>
      </c>
      <c r="H663" s="9" t="s">
        <v>3091</v>
      </c>
      <c r="I663" s="9">
        <v>179</v>
      </c>
      <c r="J663" s="9">
        <v>5</v>
      </c>
      <c r="K663" s="9">
        <v>0</v>
      </c>
    </row>
    <row r="664" spans="1:11" x14ac:dyDescent="0.4">
      <c r="A664" s="9" t="s">
        <v>312</v>
      </c>
      <c r="B664" s="9" t="s">
        <v>38</v>
      </c>
      <c r="C664" s="9">
        <v>13</v>
      </c>
      <c r="D664" s="9" t="s">
        <v>691</v>
      </c>
      <c r="E664" s="9" t="s">
        <v>3124</v>
      </c>
      <c r="F664" s="9" t="s">
        <v>3126</v>
      </c>
      <c r="G664" s="9">
        <v>34248</v>
      </c>
      <c r="H664" s="9" t="s">
        <v>3079</v>
      </c>
      <c r="I664" s="9">
        <v>173</v>
      </c>
      <c r="J664" s="9">
        <v>89</v>
      </c>
      <c r="K664" s="9">
        <v>9</v>
      </c>
    </row>
    <row r="665" spans="1:11" x14ac:dyDescent="0.4">
      <c r="A665" s="9" t="s">
        <v>312</v>
      </c>
      <c r="B665" s="9" t="s">
        <v>38</v>
      </c>
      <c r="C665" s="9">
        <v>14</v>
      </c>
      <c r="D665" s="9" t="s">
        <v>686</v>
      </c>
      <c r="E665" s="9" t="s">
        <v>3127</v>
      </c>
      <c r="F665" s="9" t="s">
        <v>3129</v>
      </c>
      <c r="G665" s="9">
        <v>34175</v>
      </c>
      <c r="H665" s="9" t="s">
        <v>3079</v>
      </c>
      <c r="I665" s="9">
        <v>175</v>
      </c>
      <c r="J665" s="9">
        <v>72</v>
      </c>
      <c r="K665" s="9">
        <v>0</v>
      </c>
    </row>
    <row r="666" spans="1:11" x14ac:dyDescent="0.4">
      <c r="A666" s="9" t="s">
        <v>312</v>
      </c>
      <c r="B666" s="9" t="s">
        <v>38</v>
      </c>
      <c r="C666" s="9">
        <v>15</v>
      </c>
      <c r="D666" s="9" t="s">
        <v>686</v>
      </c>
      <c r="E666" s="9" t="s">
        <v>3131</v>
      </c>
      <c r="F666" s="9" t="s">
        <v>3133</v>
      </c>
      <c r="G666" s="9">
        <v>36643</v>
      </c>
      <c r="H666" s="9" t="s">
        <v>2943</v>
      </c>
      <c r="I666" s="9">
        <v>175</v>
      </c>
      <c r="J666" s="9">
        <v>57</v>
      </c>
      <c r="K666" s="9">
        <v>3</v>
      </c>
    </row>
    <row r="667" spans="1:11" x14ac:dyDescent="0.4">
      <c r="A667" s="9" t="s">
        <v>312</v>
      </c>
      <c r="B667" s="9" t="s">
        <v>38</v>
      </c>
      <c r="C667" s="9">
        <v>16</v>
      </c>
      <c r="D667" s="9" t="s">
        <v>669</v>
      </c>
      <c r="E667" s="9" t="s">
        <v>3134</v>
      </c>
      <c r="F667" s="9" t="s">
        <v>3136</v>
      </c>
      <c r="G667" s="9">
        <v>36930</v>
      </c>
      <c r="H667" s="9" t="s">
        <v>3107</v>
      </c>
      <c r="I667" s="9">
        <v>185</v>
      </c>
      <c r="J667" s="9">
        <v>18</v>
      </c>
      <c r="K667" s="9">
        <v>0</v>
      </c>
    </row>
    <row r="668" spans="1:11" x14ac:dyDescent="0.4">
      <c r="A668" s="9" t="s">
        <v>312</v>
      </c>
      <c r="B668" s="9" t="s">
        <v>38</v>
      </c>
      <c r="C668" s="9">
        <v>17</v>
      </c>
      <c r="D668" s="9" t="s">
        <v>669</v>
      </c>
      <c r="E668" s="9" t="s">
        <v>3138</v>
      </c>
      <c r="F668" s="9" t="s">
        <v>3140</v>
      </c>
      <c r="G668" s="9">
        <v>33620</v>
      </c>
      <c r="H668" s="9" t="s">
        <v>3079</v>
      </c>
      <c r="I668" s="9">
        <v>187</v>
      </c>
      <c r="J668" s="9">
        <v>11</v>
      </c>
      <c r="K668" s="9">
        <v>0</v>
      </c>
    </row>
    <row r="669" spans="1:11" x14ac:dyDescent="0.4">
      <c r="A669" s="9" t="s">
        <v>312</v>
      </c>
      <c r="B669" s="9" t="s">
        <v>38</v>
      </c>
      <c r="C669" s="9">
        <v>18</v>
      </c>
      <c r="D669" s="9" t="s">
        <v>686</v>
      </c>
      <c r="E669" s="9" t="s">
        <v>3142</v>
      </c>
      <c r="F669" s="9" t="s">
        <v>3144</v>
      </c>
      <c r="G669" s="9">
        <v>38546</v>
      </c>
      <c r="H669" s="9" t="s">
        <v>3079</v>
      </c>
      <c r="I669" s="9">
        <v>182</v>
      </c>
      <c r="J669" s="9">
        <v>2</v>
      </c>
      <c r="K669" s="9">
        <v>0</v>
      </c>
    </row>
    <row r="670" spans="1:11" x14ac:dyDescent="0.4">
      <c r="A670" s="9" t="s">
        <v>312</v>
      </c>
      <c r="B670" s="9" t="s">
        <v>38</v>
      </c>
      <c r="C670" s="9">
        <v>19</v>
      </c>
      <c r="D670" s="9" t="s">
        <v>669</v>
      </c>
      <c r="E670" s="9" t="s">
        <v>3146</v>
      </c>
      <c r="F670" s="9" t="s">
        <v>3148</v>
      </c>
      <c r="G670" s="9">
        <v>35462</v>
      </c>
      <c r="H670" s="9" t="s">
        <v>3079</v>
      </c>
      <c r="I670" s="9">
        <v>186</v>
      </c>
      <c r="J670" s="9">
        <v>21</v>
      </c>
      <c r="K670" s="9">
        <v>2</v>
      </c>
    </row>
    <row r="671" spans="1:11" x14ac:dyDescent="0.4">
      <c r="A671" s="9" t="s">
        <v>312</v>
      </c>
      <c r="B671" s="9" t="s">
        <v>38</v>
      </c>
      <c r="C671" s="9">
        <v>20</v>
      </c>
      <c r="D671" s="9" t="s">
        <v>686</v>
      </c>
      <c r="E671" s="9" t="s">
        <v>3150</v>
      </c>
      <c r="F671" s="9" t="s">
        <v>3152</v>
      </c>
      <c r="G671" s="9">
        <v>37654</v>
      </c>
      <c r="H671" s="9" t="s">
        <v>3153</v>
      </c>
      <c r="I671" s="9">
        <v>173</v>
      </c>
      <c r="J671" s="9">
        <v>29</v>
      </c>
      <c r="K671" s="9">
        <v>1</v>
      </c>
    </row>
    <row r="672" spans="1:11" x14ac:dyDescent="0.4">
      <c r="A672" s="9" t="s">
        <v>312</v>
      </c>
      <c r="B672" s="9" t="s">
        <v>38</v>
      </c>
      <c r="C672" s="9">
        <v>21</v>
      </c>
      <c r="D672" s="9" t="s">
        <v>686</v>
      </c>
      <c r="E672" s="9" t="s">
        <v>3154</v>
      </c>
      <c r="F672" s="9" t="s">
        <v>3156</v>
      </c>
      <c r="G672" s="9">
        <v>36242</v>
      </c>
      <c r="H672" s="9" t="s">
        <v>3157</v>
      </c>
      <c r="I672" s="9">
        <v>183</v>
      </c>
      <c r="J672" s="9">
        <v>47</v>
      </c>
      <c r="K672" s="9">
        <v>4</v>
      </c>
    </row>
    <row r="673" spans="1:11" x14ac:dyDescent="0.4">
      <c r="A673" s="9" t="s">
        <v>312</v>
      </c>
      <c r="B673" s="9" t="s">
        <v>38</v>
      </c>
      <c r="C673" s="9">
        <v>22</v>
      </c>
      <c r="D673" s="9" t="s">
        <v>664</v>
      </c>
      <c r="E673" s="9" t="s">
        <v>3159</v>
      </c>
      <c r="F673" s="9" t="s">
        <v>3161</v>
      </c>
      <c r="G673" s="9">
        <v>36547</v>
      </c>
      <c r="H673" s="9" t="s">
        <v>3162</v>
      </c>
      <c r="I673" s="9">
        <v>190</v>
      </c>
      <c r="J673" s="9">
        <v>11</v>
      </c>
      <c r="K673" s="9">
        <v>0</v>
      </c>
    </row>
    <row r="674" spans="1:11" x14ac:dyDescent="0.4">
      <c r="A674" s="9" t="s">
        <v>312</v>
      </c>
      <c r="B674" s="9" t="s">
        <v>38</v>
      </c>
      <c r="C674" s="9">
        <v>23</v>
      </c>
      <c r="D674" s="9" t="s">
        <v>669</v>
      </c>
      <c r="E674" s="9" t="s">
        <v>3163</v>
      </c>
      <c r="F674" s="9" t="s">
        <v>3165</v>
      </c>
      <c r="G674" s="9">
        <v>34370</v>
      </c>
      <c r="H674" s="9" t="s">
        <v>3079</v>
      </c>
      <c r="I674" s="9">
        <v>174</v>
      </c>
      <c r="J674" s="9">
        <v>92</v>
      </c>
      <c r="K674" s="9">
        <v>2</v>
      </c>
    </row>
    <row r="675" spans="1:11" x14ac:dyDescent="0.4">
      <c r="A675" s="9" t="s">
        <v>312</v>
      </c>
      <c r="B675" s="9" t="s">
        <v>38</v>
      </c>
      <c r="C675" s="9">
        <v>24</v>
      </c>
      <c r="D675" s="9" t="s">
        <v>691</v>
      </c>
      <c r="E675" s="9" t="s">
        <v>3166</v>
      </c>
      <c r="F675" s="9" t="s">
        <v>3168</v>
      </c>
      <c r="G675" s="9">
        <v>38090</v>
      </c>
      <c r="H675" s="9" t="s">
        <v>3169</v>
      </c>
      <c r="I675" s="9">
        <v>178</v>
      </c>
      <c r="J675" s="9">
        <v>4</v>
      </c>
      <c r="K675" s="9">
        <v>0</v>
      </c>
    </row>
    <row r="676" spans="1:11" x14ac:dyDescent="0.4">
      <c r="A676" s="9" t="s">
        <v>312</v>
      </c>
      <c r="B676" s="9" t="s">
        <v>38</v>
      </c>
      <c r="C676" s="9">
        <v>25</v>
      </c>
      <c r="D676" s="9" t="s">
        <v>686</v>
      </c>
      <c r="E676" s="9" t="s">
        <v>3170</v>
      </c>
      <c r="F676" s="9" t="s">
        <v>3172</v>
      </c>
      <c r="G676" s="9">
        <v>33706</v>
      </c>
      <c r="H676" s="9" t="s">
        <v>3162</v>
      </c>
      <c r="I676" s="9">
        <v>185</v>
      </c>
      <c r="J676" s="9">
        <v>13</v>
      </c>
      <c r="K676" s="9">
        <v>1</v>
      </c>
    </row>
    <row r="677" spans="1:11" x14ac:dyDescent="0.4">
      <c r="A677" s="9" t="s">
        <v>312</v>
      </c>
      <c r="B677" s="9" t="s">
        <v>38</v>
      </c>
      <c r="C677" s="9">
        <v>26</v>
      </c>
      <c r="D677" s="9" t="s">
        <v>669</v>
      </c>
      <c r="E677" s="9" t="s">
        <v>3173</v>
      </c>
      <c r="F677" s="9" t="s">
        <v>3175</v>
      </c>
      <c r="G677" s="9">
        <v>35686</v>
      </c>
      <c r="H677" s="9" t="s">
        <v>3091</v>
      </c>
      <c r="I677" s="9">
        <v>174</v>
      </c>
      <c r="J677" s="9">
        <v>1</v>
      </c>
      <c r="K677" s="9">
        <v>0</v>
      </c>
    </row>
    <row r="678" spans="1:11" x14ac:dyDescent="0.4">
      <c r="A678" s="9" t="s">
        <v>281</v>
      </c>
      <c r="B678" s="9" t="s">
        <v>198</v>
      </c>
      <c r="C678" s="9">
        <v>1</v>
      </c>
      <c r="D678" s="9" t="s">
        <v>664</v>
      </c>
      <c r="E678" s="9" t="s">
        <v>3176</v>
      </c>
      <c r="F678" s="9" t="s">
        <v>3178</v>
      </c>
      <c r="G678" s="9">
        <v>33146</v>
      </c>
      <c r="H678" s="9" t="s">
        <v>3007</v>
      </c>
      <c r="I678" s="9">
        <v>187</v>
      </c>
      <c r="J678" s="9">
        <v>87</v>
      </c>
      <c r="K678" s="9">
        <v>0</v>
      </c>
    </row>
    <row r="679" spans="1:11" x14ac:dyDescent="0.4">
      <c r="A679" s="9" t="s">
        <v>281</v>
      </c>
      <c r="B679" s="9" t="s">
        <v>198</v>
      </c>
      <c r="C679" s="9">
        <v>2</v>
      </c>
      <c r="D679" s="9" t="s">
        <v>669</v>
      </c>
      <c r="E679" s="9" t="s">
        <v>3180</v>
      </c>
      <c r="F679" s="9" t="s">
        <v>3182</v>
      </c>
      <c r="G679" s="9">
        <v>37424</v>
      </c>
      <c r="H679" s="9" t="s">
        <v>1946</v>
      </c>
      <c r="I679" s="9">
        <v>188</v>
      </c>
      <c r="J679" s="9">
        <v>8</v>
      </c>
      <c r="K679" s="9">
        <v>0</v>
      </c>
    </row>
    <row r="680" spans="1:11" x14ac:dyDescent="0.4">
      <c r="A680" s="9" t="s">
        <v>281</v>
      </c>
      <c r="B680" s="9" t="s">
        <v>198</v>
      </c>
      <c r="C680" s="9">
        <v>3</v>
      </c>
      <c r="D680" s="9" t="s">
        <v>686</v>
      </c>
      <c r="E680" s="9" t="s">
        <v>3184</v>
      </c>
      <c r="F680" s="9" t="s">
        <v>3186</v>
      </c>
      <c r="G680" s="9">
        <v>36714</v>
      </c>
      <c r="H680" s="9" t="s">
        <v>3187</v>
      </c>
      <c r="I680" s="9">
        <v>184</v>
      </c>
      <c r="J680" s="9">
        <v>3</v>
      </c>
      <c r="K680" s="9">
        <v>0</v>
      </c>
    </row>
    <row r="681" spans="1:11" x14ac:dyDescent="0.4">
      <c r="A681" s="9" t="s">
        <v>281</v>
      </c>
      <c r="B681" s="9" t="s">
        <v>198</v>
      </c>
      <c r="C681" s="9">
        <v>4</v>
      </c>
      <c r="D681" s="9" t="s">
        <v>669</v>
      </c>
      <c r="E681" s="9" t="s">
        <v>3188</v>
      </c>
      <c r="F681" s="9" t="s">
        <v>3190</v>
      </c>
      <c r="G681" s="9">
        <v>35384</v>
      </c>
      <c r="H681" s="9" t="s">
        <v>944</v>
      </c>
      <c r="I681" s="9">
        <v>190</v>
      </c>
      <c r="J681" s="9">
        <v>79</v>
      </c>
      <c r="K681" s="9">
        <v>4</v>
      </c>
    </row>
    <row r="682" spans="1:11" x14ac:dyDescent="0.4">
      <c r="A682" s="9" t="s">
        <v>281</v>
      </c>
      <c r="B682" s="9" t="s">
        <v>198</v>
      </c>
      <c r="C682" s="9">
        <v>5</v>
      </c>
      <c r="D682" s="9" t="s">
        <v>669</v>
      </c>
      <c r="E682" s="9" t="s">
        <v>3191</v>
      </c>
      <c r="F682" s="9" t="s">
        <v>3193</v>
      </c>
      <c r="G682" s="9">
        <v>36786</v>
      </c>
      <c r="H682" s="9" t="s">
        <v>3066</v>
      </c>
      <c r="I682" s="9">
        <v>186</v>
      </c>
      <c r="J682" s="9">
        <v>7</v>
      </c>
      <c r="K682" s="9">
        <v>0</v>
      </c>
    </row>
    <row r="683" spans="1:11" x14ac:dyDescent="0.4">
      <c r="A683" s="9" t="s">
        <v>281</v>
      </c>
      <c r="B683" s="9" t="s">
        <v>198</v>
      </c>
      <c r="C683" s="9">
        <v>6</v>
      </c>
      <c r="D683" s="9" t="s">
        <v>686</v>
      </c>
      <c r="E683" s="9" t="s">
        <v>3194</v>
      </c>
      <c r="F683" s="9" t="s">
        <v>3196</v>
      </c>
      <c r="G683" s="9">
        <v>35328</v>
      </c>
      <c r="H683" s="9" t="s">
        <v>711</v>
      </c>
      <c r="I683" s="9">
        <v>177</v>
      </c>
      <c r="J683" s="9">
        <v>73</v>
      </c>
      <c r="K683" s="9">
        <v>6</v>
      </c>
    </row>
    <row r="684" spans="1:11" x14ac:dyDescent="0.4">
      <c r="A684" s="9" t="s">
        <v>281</v>
      </c>
      <c r="B684" s="9" t="s">
        <v>198</v>
      </c>
      <c r="C684" s="9">
        <v>7</v>
      </c>
      <c r="D684" s="9" t="s">
        <v>691</v>
      </c>
      <c r="E684" s="9" t="s">
        <v>3198</v>
      </c>
      <c r="F684" s="9" t="s">
        <v>3200</v>
      </c>
      <c r="G684" s="9">
        <v>33793</v>
      </c>
      <c r="H684" s="9" t="s">
        <v>1399</v>
      </c>
      <c r="I684" s="9">
        <v>183</v>
      </c>
      <c r="J684" s="9">
        <v>144</v>
      </c>
      <c r="K684" s="9">
        <v>56</v>
      </c>
    </row>
    <row r="685" spans="1:11" x14ac:dyDescent="0.4">
      <c r="A685" s="9" t="s">
        <v>281</v>
      </c>
      <c r="B685" s="9" t="s">
        <v>198</v>
      </c>
      <c r="C685" s="9">
        <v>8</v>
      </c>
      <c r="D685" s="9" t="s">
        <v>686</v>
      </c>
      <c r="E685" s="9" t="s">
        <v>3202</v>
      </c>
      <c r="F685" s="9" t="s">
        <v>3204</v>
      </c>
      <c r="G685" s="9">
        <v>35506</v>
      </c>
      <c r="H685" s="9" t="s">
        <v>3205</v>
      </c>
      <c r="I685" s="9">
        <v>182</v>
      </c>
      <c r="J685" s="9">
        <v>27</v>
      </c>
      <c r="K685" s="9">
        <v>3</v>
      </c>
    </row>
    <row r="686" spans="1:11" x14ac:dyDescent="0.4">
      <c r="A686" s="9" t="s">
        <v>281</v>
      </c>
      <c r="B686" s="9" t="s">
        <v>198</v>
      </c>
      <c r="C686" s="9">
        <v>9</v>
      </c>
      <c r="D686" s="9" t="s">
        <v>691</v>
      </c>
      <c r="E686" s="9" t="s">
        <v>3207</v>
      </c>
      <c r="F686" s="9" t="s">
        <v>3209</v>
      </c>
      <c r="G686" s="9">
        <v>35820</v>
      </c>
      <c r="H686" s="9" t="s">
        <v>1946</v>
      </c>
      <c r="I686" s="9">
        <v>188</v>
      </c>
      <c r="J686" s="9">
        <v>44</v>
      </c>
      <c r="K686" s="9">
        <v>12</v>
      </c>
    </row>
    <row r="687" spans="1:11" x14ac:dyDescent="0.4">
      <c r="A687" s="9" t="s">
        <v>281</v>
      </c>
      <c r="B687" s="9" t="s">
        <v>198</v>
      </c>
      <c r="C687" s="9">
        <v>10</v>
      </c>
      <c r="D687" s="9" t="s">
        <v>686</v>
      </c>
      <c r="E687" s="9" t="s">
        <v>3211</v>
      </c>
      <c r="F687" s="9" t="s">
        <v>3213</v>
      </c>
      <c r="G687" s="9">
        <v>33826</v>
      </c>
      <c r="H687" s="9" t="s">
        <v>887</v>
      </c>
      <c r="I687" s="9">
        <v>180</v>
      </c>
      <c r="J687" s="9">
        <v>105</v>
      </c>
      <c r="K687" s="9">
        <v>15</v>
      </c>
    </row>
    <row r="688" spans="1:11" x14ac:dyDescent="0.4">
      <c r="A688" s="9" t="s">
        <v>281</v>
      </c>
      <c r="B688" s="9" t="s">
        <v>198</v>
      </c>
      <c r="C688" s="9">
        <v>11</v>
      </c>
      <c r="D688" s="9" t="s">
        <v>686</v>
      </c>
      <c r="E688" s="9" t="s">
        <v>3214</v>
      </c>
      <c r="F688" s="9" t="s">
        <v>3216</v>
      </c>
      <c r="G688" s="9">
        <v>35090</v>
      </c>
      <c r="H688" s="9" t="s">
        <v>2068</v>
      </c>
      <c r="I688" s="9">
        <v>177</v>
      </c>
      <c r="J688" s="9">
        <v>79</v>
      </c>
      <c r="K688" s="9">
        <v>17</v>
      </c>
    </row>
    <row r="689" spans="1:11" x14ac:dyDescent="0.4">
      <c r="A689" s="9" t="s">
        <v>281</v>
      </c>
      <c r="B689" s="9" t="s">
        <v>198</v>
      </c>
      <c r="C689" s="9">
        <v>12</v>
      </c>
      <c r="D689" s="9" t="s">
        <v>664</v>
      </c>
      <c r="E689" s="9" t="s">
        <v>3217</v>
      </c>
      <c r="F689" s="9" t="s">
        <v>3219</v>
      </c>
      <c r="G689" s="9">
        <v>35718</v>
      </c>
      <c r="H689" s="9" t="s">
        <v>3220</v>
      </c>
      <c r="I689" s="9">
        <v>196</v>
      </c>
      <c r="J689" s="9">
        <v>3</v>
      </c>
      <c r="K689" s="9">
        <v>0</v>
      </c>
    </row>
    <row r="690" spans="1:11" x14ac:dyDescent="0.4">
      <c r="A690" s="9" t="s">
        <v>281</v>
      </c>
      <c r="B690" s="9" t="s">
        <v>198</v>
      </c>
      <c r="C690" s="9">
        <v>13</v>
      </c>
      <c r="D690" s="9" t="s">
        <v>669</v>
      </c>
      <c r="E690" s="9" t="s">
        <v>3222</v>
      </c>
      <c r="F690" s="9" t="s">
        <v>3224</v>
      </c>
      <c r="G690" s="9">
        <v>37465</v>
      </c>
      <c r="H690" s="9" t="s">
        <v>3225</v>
      </c>
      <c r="I690" s="9">
        <v>174</v>
      </c>
      <c r="J690" s="9">
        <v>15</v>
      </c>
      <c r="K690" s="9">
        <v>1</v>
      </c>
    </row>
    <row r="691" spans="1:11" x14ac:dyDescent="0.4">
      <c r="A691" s="9" t="s">
        <v>281</v>
      </c>
      <c r="B691" s="9" t="s">
        <v>198</v>
      </c>
      <c r="C691" s="9">
        <v>14</v>
      </c>
      <c r="D691" s="9" t="s">
        <v>669</v>
      </c>
      <c r="E691" s="9" t="s">
        <v>3226</v>
      </c>
      <c r="F691" s="9" t="s">
        <v>3228</v>
      </c>
      <c r="G691" s="9">
        <v>37128</v>
      </c>
      <c r="H691" s="9" t="s">
        <v>3220</v>
      </c>
      <c r="I691" s="9">
        <v>190</v>
      </c>
      <c r="J691" s="9">
        <v>1</v>
      </c>
      <c r="K691" s="9">
        <v>0</v>
      </c>
    </row>
    <row r="692" spans="1:11" x14ac:dyDescent="0.4">
      <c r="A692" s="9" t="s">
        <v>281</v>
      </c>
      <c r="B692" s="9" t="s">
        <v>198</v>
      </c>
      <c r="C692" s="9">
        <v>15</v>
      </c>
      <c r="D692" s="9" t="s">
        <v>669</v>
      </c>
      <c r="E692" s="9" t="s">
        <v>3229</v>
      </c>
      <c r="F692" s="9" t="s">
        <v>3231</v>
      </c>
      <c r="G692" s="9">
        <v>34912</v>
      </c>
      <c r="H692" s="9" t="s">
        <v>3232</v>
      </c>
      <c r="I692" s="9">
        <v>173</v>
      </c>
      <c r="J692" s="9">
        <v>35</v>
      </c>
      <c r="K692" s="9">
        <v>0</v>
      </c>
    </row>
    <row r="693" spans="1:11" x14ac:dyDescent="0.4">
      <c r="A693" s="9" t="s">
        <v>281</v>
      </c>
      <c r="B693" s="9" t="s">
        <v>198</v>
      </c>
      <c r="C693" s="9">
        <v>16</v>
      </c>
      <c r="D693" s="9" t="s">
        <v>669</v>
      </c>
      <c r="E693" s="9" t="s">
        <v>3233</v>
      </c>
      <c r="F693" s="9" t="s">
        <v>3235</v>
      </c>
      <c r="G693" s="9">
        <v>34995</v>
      </c>
      <c r="H693" s="9" t="s">
        <v>3236</v>
      </c>
      <c r="I693" s="9">
        <v>183</v>
      </c>
      <c r="J693" s="9">
        <v>14</v>
      </c>
      <c r="K693" s="9">
        <v>1</v>
      </c>
    </row>
    <row r="694" spans="1:11" x14ac:dyDescent="0.4">
      <c r="A694" s="9" t="s">
        <v>281</v>
      </c>
      <c r="B694" s="9" t="s">
        <v>198</v>
      </c>
      <c r="C694" s="9">
        <v>17</v>
      </c>
      <c r="D694" s="9" t="s">
        <v>686</v>
      </c>
      <c r="E694" s="9" t="s">
        <v>3238</v>
      </c>
      <c r="F694" s="9" t="s">
        <v>3240</v>
      </c>
      <c r="G694" s="9">
        <v>37854</v>
      </c>
      <c r="H694" s="9" t="s">
        <v>3241</v>
      </c>
      <c r="I694" s="9">
        <v>180</v>
      </c>
      <c r="J694" s="9">
        <v>13</v>
      </c>
      <c r="K694" s="9">
        <v>2</v>
      </c>
    </row>
    <row r="695" spans="1:11" x14ac:dyDescent="0.4">
      <c r="A695" s="9" t="s">
        <v>281</v>
      </c>
      <c r="B695" s="9" t="s">
        <v>198</v>
      </c>
      <c r="C695" s="9">
        <v>18</v>
      </c>
      <c r="D695" s="9" t="s">
        <v>691</v>
      </c>
      <c r="E695" s="9" t="s">
        <v>3243</v>
      </c>
      <c r="F695" s="9" t="s">
        <v>3245</v>
      </c>
      <c r="G695" s="9">
        <v>36993</v>
      </c>
      <c r="H695" s="9" t="s">
        <v>1852</v>
      </c>
      <c r="I695" s="9">
        <v>183</v>
      </c>
      <c r="J695" s="9">
        <v>27</v>
      </c>
      <c r="K695" s="9">
        <v>6</v>
      </c>
    </row>
    <row r="696" spans="1:11" x14ac:dyDescent="0.4">
      <c r="A696" s="9" t="s">
        <v>281</v>
      </c>
      <c r="B696" s="9" t="s">
        <v>198</v>
      </c>
      <c r="C696" s="9">
        <v>19</v>
      </c>
      <c r="D696" s="9" t="s">
        <v>686</v>
      </c>
      <c r="E696" s="9" t="s">
        <v>3247</v>
      </c>
      <c r="F696" s="9" t="s">
        <v>3249</v>
      </c>
      <c r="G696" s="9">
        <v>36941</v>
      </c>
      <c r="H696" s="9" t="s">
        <v>1165</v>
      </c>
      <c r="I696" s="9">
        <v>174</v>
      </c>
      <c r="J696" s="9">
        <v>47</v>
      </c>
      <c r="K696" s="9">
        <v>11</v>
      </c>
    </row>
    <row r="697" spans="1:11" x14ac:dyDescent="0.4">
      <c r="A697" s="9" t="s">
        <v>281</v>
      </c>
      <c r="B697" s="9" t="s">
        <v>198</v>
      </c>
      <c r="C697" s="9">
        <v>20</v>
      </c>
      <c r="D697" s="9" t="s">
        <v>686</v>
      </c>
      <c r="E697" s="9" t="s">
        <v>3250</v>
      </c>
      <c r="F697" s="9" t="s">
        <v>3252</v>
      </c>
      <c r="G697" s="9">
        <v>37401</v>
      </c>
      <c r="H697" s="9" t="s">
        <v>1382</v>
      </c>
      <c r="I697" s="9">
        <v>179</v>
      </c>
      <c r="J697" s="9">
        <v>9</v>
      </c>
      <c r="K697" s="9">
        <v>0</v>
      </c>
    </row>
    <row r="698" spans="1:11" x14ac:dyDescent="0.4">
      <c r="A698" s="9" t="s">
        <v>281</v>
      </c>
      <c r="B698" s="9" t="s">
        <v>198</v>
      </c>
      <c r="C698" s="9">
        <v>21</v>
      </c>
      <c r="D698" s="9" t="s">
        <v>664</v>
      </c>
      <c r="E698" s="9" t="s">
        <v>3254</v>
      </c>
      <c r="F698" s="9" t="s">
        <v>3256</v>
      </c>
      <c r="G698" s="9">
        <v>33506</v>
      </c>
      <c r="H698" s="9" t="s">
        <v>3257</v>
      </c>
      <c r="I698" s="9">
        <v>189</v>
      </c>
      <c r="J698" s="9">
        <v>48</v>
      </c>
      <c r="K698" s="9">
        <v>0</v>
      </c>
    </row>
    <row r="699" spans="1:11" x14ac:dyDescent="0.4">
      <c r="A699" s="9" t="s">
        <v>281</v>
      </c>
      <c r="B699" s="9" t="s">
        <v>198</v>
      </c>
      <c r="C699" s="9">
        <v>22</v>
      </c>
      <c r="D699" s="9" t="s">
        <v>669</v>
      </c>
      <c r="E699" s="9" t="s">
        <v>3259</v>
      </c>
      <c r="F699" s="9" t="s">
        <v>3261</v>
      </c>
      <c r="G699" s="9">
        <v>36134</v>
      </c>
      <c r="H699" s="9" t="s">
        <v>894</v>
      </c>
      <c r="I699" s="9">
        <v>180</v>
      </c>
      <c r="J699" s="9">
        <v>34</v>
      </c>
      <c r="K699" s="9">
        <v>0</v>
      </c>
    </row>
    <row r="700" spans="1:11" x14ac:dyDescent="0.4">
      <c r="A700" s="9" t="s">
        <v>281</v>
      </c>
      <c r="B700" s="9" t="s">
        <v>198</v>
      </c>
      <c r="C700" s="9">
        <v>23</v>
      </c>
      <c r="D700" s="9" t="s">
        <v>669</v>
      </c>
      <c r="E700" s="9" t="s">
        <v>3263</v>
      </c>
      <c r="F700" s="9" t="s">
        <v>3265</v>
      </c>
      <c r="G700" s="9">
        <v>37831</v>
      </c>
      <c r="H700" s="9" t="s">
        <v>1137</v>
      </c>
      <c r="I700" s="9">
        <v>178</v>
      </c>
      <c r="J700" s="9">
        <v>7</v>
      </c>
      <c r="K700" s="9">
        <v>0</v>
      </c>
    </row>
    <row r="701" spans="1:11" x14ac:dyDescent="0.4">
      <c r="A701" s="9" t="s">
        <v>281</v>
      </c>
      <c r="B701" s="9" t="s">
        <v>198</v>
      </c>
      <c r="C701" s="9">
        <v>24</v>
      </c>
      <c r="D701" s="9" t="s">
        <v>686</v>
      </c>
      <c r="E701" s="9" t="s">
        <v>3267</v>
      </c>
      <c r="F701" s="9" t="s">
        <v>3269</v>
      </c>
      <c r="G701" s="9">
        <v>35485</v>
      </c>
      <c r="H701" s="9" t="s">
        <v>3220</v>
      </c>
      <c r="I701" s="9">
        <v>177</v>
      </c>
      <c r="J701" s="9">
        <v>22</v>
      </c>
      <c r="K701" s="9">
        <v>3</v>
      </c>
    </row>
    <row r="702" spans="1:11" x14ac:dyDescent="0.4">
      <c r="A702" s="9" t="s">
        <v>281</v>
      </c>
      <c r="B702" s="9" t="s">
        <v>198</v>
      </c>
      <c r="C702" s="9">
        <v>25</v>
      </c>
      <c r="D702" s="9" t="s">
        <v>686</v>
      </c>
      <c r="E702" s="9" t="s">
        <v>3270</v>
      </c>
      <c r="F702" s="9" t="s">
        <v>3272</v>
      </c>
      <c r="G702" s="9">
        <v>37385</v>
      </c>
      <c r="H702" s="9" t="s">
        <v>848</v>
      </c>
      <c r="I702" s="9">
        <v>177</v>
      </c>
      <c r="J702" s="9">
        <v>9</v>
      </c>
      <c r="K702" s="9">
        <v>2</v>
      </c>
    </row>
    <row r="703" spans="1:11" x14ac:dyDescent="0.4">
      <c r="A703" s="9" t="s">
        <v>281</v>
      </c>
      <c r="B703" s="9" t="s">
        <v>198</v>
      </c>
      <c r="C703" s="9">
        <v>26</v>
      </c>
      <c r="D703" s="9" t="s">
        <v>686</v>
      </c>
      <c r="E703" s="9" t="s">
        <v>3274</v>
      </c>
      <c r="F703" s="9" t="s">
        <v>3276</v>
      </c>
      <c r="G703" s="9">
        <v>35693</v>
      </c>
      <c r="H703" s="9" t="s">
        <v>3257</v>
      </c>
      <c r="I703" s="9">
        <v>175</v>
      </c>
      <c r="J703" s="9">
        <v>18</v>
      </c>
      <c r="K703" s="9">
        <v>4</v>
      </c>
    </row>
    <row r="704" spans="1:11" x14ac:dyDescent="0.4">
      <c r="A704" s="9" t="s">
        <v>280</v>
      </c>
      <c r="B704" s="9" t="s">
        <v>5</v>
      </c>
      <c r="C704" s="9">
        <v>1</v>
      </c>
      <c r="D704" s="9" t="s">
        <v>664</v>
      </c>
      <c r="E704" s="9" t="s">
        <v>3277</v>
      </c>
      <c r="F704" s="9" t="s">
        <v>3279</v>
      </c>
      <c r="G704" s="9">
        <v>36581</v>
      </c>
      <c r="H704" s="9" t="s">
        <v>3280</v>
      </c>
      <c r="I704" s="9">
        <v>190</v>
      </c>
      <c r="J704" s="9">
        <v>14</v>
      </c>
      <c r="K704" s="9">
        <v>0</v>
      </c>
    </row>
    <row r="705" spans="1:11" x14ac:dyDescent="0.4">
      <c r="A705" s="9" t="s">
        <v>280</v>
      </c>
      <c r="B705" s="9" t="s">
        <v>5</v>
      </c>
      <c r="C705" s="9">
        <v>2</v>
      </c>
      <c r="D705" s="9" t="s">
        <v>669</v>
      </c>
      <c r="E705" s="9" t="s">
        <v>3282</v>
      </c>
      <c r="F705" s="9" t="s">
        <v>3284</v>
      </c>
      <c r="G705" s="9">
        <v>35774</v>
      </c>
      <c r="H705" s="9" t="s">
        <v>2637</v>
      </c>
      <c r="I705" s="9">
        <v>176</v>
      </c>
      <c r="J705" s="9">
        <v>59</v>
      </c>
      <c r="K705" s="9">
        <v>3</v>
      </c>
    </row>
    <row r="706" spans="1:11" x14ac:dyDescent="0.4">
      <c r="A706" s="9" t="s">
        <v>280</v>
      </c>
      <c r="B706" s="9" t="s">
        <v>5</v>
      </c>
      <c r="C706" s="9">
        <v>3</v>
      </c>
      <c r="D706" s="9" t="s">
        <v>669</v>
      </c>
      <c r="E706" s="9" t="s">
        <v>3286</v>
      </c>
      <c r="F706" s="9" t="s">
        <v>3288</v>
      </c>
      <c r="G706" s="9">
        <v>35485</v>
      </c>
      <c r="H706" s="9" t="s">
        <v>3289</v>
      </c>
      <c r="I706" s="9">
        <v>191</v>
      </c>
      <c r="J706" s="9">
        <v>67</v>
      </c>
      <c r="K706" s="9">
        <v>4</v>
      </c>
    </row>
    <row r="707" spans="1:11" x14ac:dyDescent="0.4">
      <c r="A707" s="9" t="s">
        <v>280</v>
      </c>
      <c r="B707" s="9" t="s">
        <v>5</v>
      </c>
      <c r="C707" s="9">
        <v>4</v>
      </c>
      <c r="D707" s="9" t="s">
        <v>669</v>
      </c>
      <c r="E707" s="9" t="s">
        <v>3291</v>
      </c>
      <c r="F707" s="9" t="s">
        <v>3293</v>
      </c>
      <c r="G707" s="9">
        <v>35727</v>
      </c>
      <c r="H707" s="9" t="s">
        <v>1239</v>
      </c>
      <c r="I707" s="9">
        <v>180</v>
      </c>
      <c r="J707" s="9">
        <v>98</v>
      </c>
      <c r="K707" s="9">
        <v>7</v>
      </c>
    </row>
    <row r="708" spans="1:11" x14ac:dyDescent="0.4">
      <c r="A708" s="9" t="s">
        <v>280</v>
      </c>
      <c r="B708" s="9" t="s">
        <v>5</v>
      </c>
      <c r="C708" s="9">
        <v>5</v>
      </c>
      <c r="D708" s="9" t="s">
        <v>669</v>
      </c>
      <c r="E708" s="9" t="s">
        <v>3295</v>
      </c>
      <c r="F708" s="9" t="s">
        <v>3297</v>
      </c>
      <c r="G708" s="9">
        <v>36090</v>
      </c>
      <c r="H708" s="9" t="s">
        <v>3298</v>
      </c>
      <c r="I708" s="9">
        <v>182</v>
      </c>
      <c r="J708" s="9">
        <v>46</v>
      </c>
      <c r="K708" s="9">
        <v>3</v>
      </c>
    </row>
    <row r="709" spans="1:11" x14ac:dyDescent="0.4">
      <c r="A709" s="9" t="s">
        <v>280</v>
      </c>
      <c r="B709" s="9" t="s">
        <v>5</v>
      </c>
      <c r="C709" s="9">
        <v>6</v>
      </c>
      <c r="D709" s="9" t="s">
        <v>686</v>
      </c>
      <c r="E709" s="9" t="s">
        <v>3300</v>
      </c>
      <c r="F709" s="9" t="s">
        <v>3302</v>
      </c>
      <c r="G709" s="9">
        <v>36654</v>
      </c>
      <c r="H709" s="9" t="s">
        <v>1643</v>
      </c>
      <c r="I709" s="9">
        <v>172</v>
      </c>
      <c r="J709" s="9">
        <v>25</v>
      </c>
      <c r="K709" s="9">
        <v>0</v>
      </c>
    </row>
    <row r="710" spans="1:11" x14ac:dyDescent="0.4">
      <c r="A710" s="9" t="s">
        <v>280</v>
      </c>
      <c r="B710" s="9" t="s">
        <v>5</v>
      </c>
      <c r="C710" s="9">
        <v>7</v>
      </c>
      <c r="D710" s="9" t="s">
        <v>686</v>
      </c>
      <c r="E710" s="9" t="s">
        <v>3304</v>
      </c>
      <c r="F710" s="9" t="s">
        <v>3306</v>
      </c>
      <c r="G710" s="9">
        <v>34855</v>
      </c>
      <c r="H710" s="9" t="s">
        <v>3280</v>
      </c>
      <c r="I710" s="9">
        <v>183</v>
      </c>
      <c r="J710" s="9">
        <v>63</v>
      </c>
      <c r="K710" s="9">
        <v>4</v>
      </c>
    </row>
    <row r="711" spans="1:11" x14ac:dyDescent="0.4">
      <c r="A711" s="9" t="s">
        <v>280</v>
      </c>
      <c r="B711" s="9" t="s">
        <v>5</v>
      </c>
      <c r="C711" s="9">
        <v>8</v>
      </c>
      <c r="D711" s="9" t="s">
        <v>686</v>
      </c>
      <c r="E711" s="9" t="s">
        <v>3308</v>
      </c>
      <c r="F711" s="9" t="s">
        <v>3310</v>
      </c>
      <c r="G711" s="9">
        <v>35529</v>
      </c>
      <c r="H711" s="9" t="s">
        <v>1510</v>
      </c>
      <c r="I711" s="9">
        <v>175</v>
      </c>
      <c r="J711" s="9">
        <v>4</v>
      </c>
      <c r="K711" s="9">
        <v>0</v>
      </c>
    </row>
    <row r="712" spans="1:11" x14ac:dyDescent="0.4">
      <c r="A712" s="9" t="s">
        <v>280</v>
      </c>
      <c r="B712" s="9" t="s">
        <v>5</v>
      </c>
      <c r="C712" s="9">
        <v>9</v>
      </c>
      <c r="D712" s="9" t="s">
        <v>691</v>
      </c>
      <c r="E712" s="9" t="s">
        <v>3312</v>
      </c>
      <c r="F712" s="9" t="s">
        <v>3314</v>
      </c>
      <c r="G712" s="9">
        <v>33363</v>
      </c>
      <c r="H712" s="9" t="s">
        <v>1041</v>
      </c>
      <c r="I712" s="9">
        <v>188</v>
      </c>
      <c r="J712" s="9">
        <v>124</v>
      </c>
      <c r="K712" s="9">
        <v>44</v>
      </c>
    </row>
    <row r="713" spans="1:11" x14ac:dyDescent="0.4">
      <c r="A713" s="9" t="s">
        <v>280</v>
      </c>
      <c r="B713" s="9" t="s">
        <v>5</v>
      </c>
      <c r="C713" s="9">
        <v>10</v>
      </c>
      <c r="D713" s="9" t="s">
        <v>691</v>
      </c>
      <c r="E713" s="9" t="s">
        <v>3316</v>
      </c>
      <c r="F713" s="9" t="s">
        <v>3318</v>
      </c>
      <c r="G713" s="9">
        <v>35759</v>
      </c>
      <c r="H713" s="9" t="s">
        <v>3319</v>
      </c>
      <c r="I713" s="9">
        <v>175</v>
      </c>
      <c r="J713" s="9">
        <v>52</v>
      </c>
      <c r="K713" s="9">
        <v>7</v>
      </c>
    </row>
    <row r="714" spans="1:11" x14ac:dyDescent="0.4">
      <c r="A714" s="9" t="s">
        <v>280</v>
      </c>
      <c r="B714" s="9" t="s">
        <v>5</v>
      </c>
      <c r="C714" s="9">
        <v>11</v>
      </c>
      <c r="D714" s="9" t="s">
        <v>691</v>
      </c>
      <c r="E714" s="9" t="s">
        <v>3321</v>
      </c>
      <c r="F714" s="9" t="s">
        <v>3323</v>
      </c>
      <c r="G714" s="9">
        <v>36999</v>
      </c>
      <c r="H714" s="9" t="s">
        <v>1023</v>
      </c>
      <c r="I714" s="9">
        <v>180</v>
      </c>
      <c r="J714" s="9">
        <v>47</v>
      </c>
      <c r="K714" s="9">
        <v>6</v>
      </c>
    </row>
    <row r="715" spans="1:11" x14ac:dyDescent="0.4">
      <c r="A715" s="9" t="s">
        <v>280</v>
      </c>
      <c r="B715" s="9" t="s">
        <v>5</v>
      </c>
      <c r="C715" s="9">
        <v>12</v>
      </c>
      <c r="D715" s="9" t="s">
        <v>664</v>
      </c>
      <c r="E715" s="9" t="s">
        <v>3325</v>
      </c>
      <c r="F715" s="9" t="s">
        <v>3327</v>
      </c>
      <c r="G715" s="9">
        <v>35174</v>
      </c>
      <c r="H715" s="9" t="s">
        <v>3328</v>
      </c>
      <c r="I715" s="9">
        <v>185</v>
      </c>
      <c r="J715" s="9">
        <v>7</v>
      </c>
      <c r="K715" s="9">
        <v>0</v>
      </c>
    </row>
    <row r="716" spans="1:11" x14ac:dyDescent="0.4">
      <c r="A716" s="9" t="s">
        <v>280</v>
      </c>
      <c r="B716" s="9" t="s">
        <v>5</v>
      </c>
      <c r="C716" s="9">
        <v>13</v>
      </c>
      <c r="D716" s="9" t="s">
        <v>664</v>
      </c>
      <c r="E716" s="9" t="s">
        <v>3330</v>
      </c>
      <c r="F716" s="9" t="s">
        <v>3332</v>
      </c>
      <c r="G716" s="9">
        <v>31241</v>
      </c>
      <c r="H716" s="9" t="s">
        <v>3333</v>
      </c>
      <c r="I716" s="9">
        <v>185</v>
      </c>
      <c r="J716" s="9">
        <v>152</v>
      </c>
      <c r="K716" s="9">
        <v>0</v>
      </c>
    </row>
    <row r="717" spans="1:11" x14ac:dyDescent="0.4">
      <c r="A717" s="9" t="s">
        <v>280</v>
      </c>
      <c r="B717" s="9" t="s">
        <v>5</v>
      </c>
      <c r="C717" s="9">
        <v>14</v>
      </c>
      <c r="D717" s="9" t="s">
        <v>691</v>
      </c>
      <c r="E717" s="9" t="s">
        <v>3335</v>
      </c>
      <c r="F717" s="9" t="s">
        <v>3337</v>
      </c>
      <c r="G717" s="9">
        <v>37731</v>
      </c>
      <c r="H717" s="9" t="s">
        <v>3280</v>
      </c>
      <c r="I717" s="9">
        <v>182</v>
      </c>
      <c r="J717" s="9">
        <v>7</v>
      </c>
      <c r="K717" s="9">
        <v>1</v>
      </c>
    </row>
    <row r="718" spans="1:11" x14ac:dyDescent="0.4">
      <c r="A718" s="9" t="s">
        <v>280</v>
      </c>
      <c r="B718" s="9" t="s">
        <v>5</v>
      </c>
      <c r="C718" s="9">
        <v>15</v>
      </c>
      <c r="D718" s="9" t="s">
        <v>669</v>
      </c>
      <c r="E718" s="9" t="s">
        <v>3339</v>
      </c>
      <c r="F718" s="9" t="s">
        <v>3340</v>
      </c>
      <c r="G718" s="9">
        <v>36669</v>
      </c>
      <c r="H718" s="9" t="s">
        <v>3341</v>
      </c>
      <c r="I718" s="9">
        <v>181</v>
      </c>
      <c r="J718" s="9">
        <v>34</v>
      </c>
      <c r="K718" s="9">
        <v>2</v>
      </c>
    </row>
    <row r="719" spans="1:11" x14ac:dyDescent="0.4">
      <c r="A719" s="9" t="s">
        <v>280</v>
      </c>
      <c r="B719" s="9" t="s">
        <v>5</v>
      </c>
      <c r="C719" s="9">
        <v>16</v>
      </c>
      <c r="D719" s="9" t="s">
        <v>691</v>
      </c>
      <c r="E719" s="9" t="s">
        <v>3343</v>
      </c>
      <c r="F719" s="9" t="s">
        <v>3345</v>
      </c>
      <c r="G719" s="9">
        <v>35513</v>
      </c>
      <c r="H719" s="9" t="s">
        <v>2621</v>
      </c>
      <c r="I719" s="9">
        <v>177</v>
      </c>
      <c r="J719" s="9">
        <v>22</v>
      </c>
      <c r="K719" s="9">
        <v>2</v>
      </c>
    </row>
    <row r="720" spans="1:11" x14ac:dyDescent="0.4">
      <c r="A720" s="9" t="s">
        <v>280</v>
      </c>
      <c r="B720" s="9" t="s">
        <v>5</v>
      </c>
      <c r="C720" s="9">
        <v>17</v>
      </c>
      <c r="D720" s="9" t="s">
        <v>686</v>
      </c>
      <c r="E720" s="9" t="s">
        <v>3347</v>
      </c>
      <c r="F720" s="9" t="s">
        <v>3349</v>
      </c>
      <c r="G720" s="9">
        <v>35148</v>
      </c>
      <c r="H720" s="9" t="s">
        <v>3350</v>
      </c>
      <c r="I720" s="9">
        <v>169</v>
      </c>
      <c r="J720" s="9">
        <v>92</v>
      </c>
      <c r="K720" s="9">
        <v>12</v>
      </c>
    </row>
    <row r="721" spans="1:11" x14ac:dyDescent="0.4">
      <c r="A721" s="9" t="s">
        <v>280</v>
      </c>
      <c r="B721" s="9" t="s">
        <v>5</v>
      </c>
      <c r="C721" s="9">
        <v>18</v>
      </c>
      <c r="D721" s="9" t="s">
        <v>686</v>
      </c>
      <c r="E721" s="9" t="s">
        <v>3352</v>
      </c>
      <c r="F721" s="9" t="s">
        <v>3354</v>
      </c>
      <c r="G721" s="9">
        <v>38569</v>
      </c>
      <c r="H721" s="9" t="s">
        <v>1475</v>
      </c>
      <c r="I721" s="9">
        <v>175</v>
      </c>
      <c r="J721" s="9">
        <v>6</v>
      </c>
      <c r="K721" s="9">
        <v>0</v>
      </c>
    </row>
    <row r="722" spans="1:11" x14ac:dyDescent="0.4">
      <c r="A722" s="9" t="s">
        <v>280</v>
      </c>
      <c r="B722" s="9" t="s">
        <v>5</v>
      </c>
      <c r="C722" s="9">
        <v>19</v>
      </c>
      <c r="D722" s="9" t="s">
        <v>686</v>
      </c>
      <c r="E722" s="9" t="s">
        <v>3356</v>
      </c>
      <c r="F722" s="9" t="s">
        <v>3358</v>
      </c>
      <c r="G722" s="9">
        <v>39735</v>
      </c>
      <c r="H722" s="9" t="s">
        <v>2227</v>
      </c>
      <c r="I722" s="9">
        <v>175</v>
      </c>
      <c r="J722" s="9">
        <v>8</v>
      </c>
      <c r="K722" s="9">
        <v>0</v>
      </c>
    </row>
    <row r="723" spans="1:11" x14ac:dyDescent="0.4">
      <c r="A723" s="9" t="s">
        <v>280</v>
      </c>
      <c r="B723" s="9" t="s">
        <v>5</v>
      </c>
      <c r="C723" s="9">
        <v>20</v>
      </c>
      <c r="D723" s="9" t="s">
        <v>669</v>
      </c>
      <c r="E723" s="9" t="s">
        <v>3360</v>
      </c>
      <c r="F723" s="9" t="s">
        <v>3361</v>
      </c>
      <c r="G723" s="9">
        <v>38119</v>
      </c>
      <c r="H723" s="9" t="s">
        <v>3362</v>
      </c>
      <c r="I723" s="9">
        <v>178</v>
      </c>
      <c r="J723" s="9">
        <v>10</v>
      </c>
      <c r="K723" s="9">
        <v>0</v>
      </c>
    </row>
    <row r="724" spans="1:11" x14ac:dyDescent="0.4">
      <c r="A724" s="9" t="s">
        <v>280</v>
      </c>
      <c r="B724" s="9" t="s">
        <v>5</v>
      </c>
      <c r="C724" s="9">
        <v>21</v>
      </c>
      <c r="D724" s="9" t="s">
        <v>691</v>
      </c>
      <c r="E724" s="9" t="s">
        <v>3364</v>
      </c>
      <c r="F724" s="9" t="s">
        <v>3366</v>
      </c>
      <c r="G724" s="9">
        <v>36863</v>
      </c>
      <c r="H724" s="9" t="s">
        <v>1467</v>
      </c>
      <c r="I724" s="9">
        <v>171</v>
      </c>
      <c r="J724" s="9">
        <v>26</v>
      </c>
      <c r="K724" s="9">
        <v>3</v>
      </c>
    </row>
    <row r="725" spans="1:11" x14ac:dyDescent="0.4">
      <c r="A725" s="9" t="s">
        <v>280</v>
      </c>
      <c r="B725" s="9" t="s">
        <v>5</v>
      </c>
      <c r="C725" s="9">
        <v>22</v>
      </c>
      <c r="D725" s="9" t="s">
        <v>691</v>
      </c>
      <c r="E725" s="9" t="s">
        <v>3368</v>
      </c>
      <c r="F725" s="9" t="s">
        <v>3370</v>
      </c>
      <c r="G725" s="9">
        <v>34773</v>
      </c>
      <c r="H725" s="9" t="s">
        <v>2185</v>
      </c>
      <c r="I725" s="9">
        <v>191</v>
      </c>
      <c r="J725" s="9">
        <v>12</v>
      </c>
      <c r="K725" s="9">
        <v>3</v>
      </c>
    </row>
    <row r="726" spans="1:11" x14ac:dyDescent="0.4">
      <c r="A726" s="9" t="s">
        <v>280</v>
      </c>
      <c r="B726" s="9" t="s">
        <v>5</v>
      </c>
      <c r="C726" s="9">
        <v>23</v>
      </c>
      <c r="D726" s="9" t="s">
        <v>669</v>
      </c>
      <c r="E726" s="9" t="s">
        <v>3372</v>
      </c>
      <c r="F726" s="9" t="s">
        <v>3374</v>
      </c>
      <c r="G726" s="9">
        <v>34561</v>
      </c>
      <c r="H726" s="9" t="s">
        <v>3319</v>
      </c>
      <c r="I726" s="9">
        <v>174</v>
      </c>
      <c r="J726" s="9">
        <v>121</v>
      </c>
      <c r="K726" s="9">
        <v>3</v>
      </c>
    </row>
    <row r="727" spans="1:11" x14ac:dyDescent="0.4">
      <c r="A727" s="9" t="s">
        <v>280</v>
      </c>
      <c r="B727" s="9" t="s">
        <v>5</v>
      </c>
      <c r="C727" s="9">
        <v>24</v>
      </c>
      <c r="D727" s="9" t="s">
        <v>686</v>
      </c>
      <c r="E727" s="9" t="s">
        <v>3376</v>
      </c>
      <c r="F727" s="9" t="s">
        <v>3378</v>
      </c>
      <c r="G727" s="9">
        <v>35079</v>
      </c>
      <c r="H727" s="9" t="s">
        <v>3379</v>
      </c>
      <c r="I727" s="9">
        <v>178</v>
      </c>
      <c r="J727" s="9">
        <v>45</v>
      </c>
      <c r="K727" s="9">
        <v>5</v>
      </c>
    </row>
    <row r="728" spans="1:11" x14ac:dyDescent="0.4">
      <c r="A728" s="9" t="s">
        <v>280</v>
      </c>
      <c r="B728" s="9" t="s">
        <v>5</v>
      </c>
      <c r="C728" s="9">
        <v>25</v>
      </c>
      <c r="D728" s="9" t="s">
        <v>691</v>
      </c>
      <c r="E728" s="9" t="s">
        <v>3381</v>
      </c>
      <c r="F728" s="9" t="s">
        <v>3382</v>
      </c>
      <c r="G728" s="9">
        <v>36045</v>
      </c>
      <c r="H728" s="9" t="s">
        <v>3280</v>
      </c>
      <c r="I728" s="9">
        <v>176</v>
      </c>
      <c r="J728" s="9">
        <v>67</v>
      </c>
      <c r="K728" s="9">
        <v>5</v>
      </c>
    </row>
    <row r="729" spans="1:11" x14ac:dyDescent="0.4">
      <c r="A729" s="9" t="s">
        <v>280</v>
      </c>
      <c r="B729" s="9" t="s">
        <v>5</v>
      </c>
      <c r="C729" s="9">
        <v>26</v>
      </c>
      <c r="D729" s="9" t="s">
        <v>686</v>
      </c>
      <c r="E729" s="9" t="s">
        <v>3384</v>
      </c>
      <c r="F729" s="9" t="s">
        <v>3386</v>
      </c>
      <c r="G729" s="9">
        <v>37789</v>
      </c>
      <c r="H729" s="9" t="s">
        <v>3280</v>
      </c>
      <c r="I729" s="9">
        <v>178</v>
      </c>
      <c r="J729" s="9">
        <v>7</v>
      </c>
      <c r="K729" s="9">
        <v>2</v>
      </c>
    </row>
    <row r="730" spans="1:11" x14ac:dyDescent="0.4">
      <c r="A730" s="9" t="s">
        <v>313</v>
      </c>
      <c r="B730" s="9" t="s">
        <v>39</v>
      </c>
      <c r="C730" s="9">
        <v>1</v>
      </c>
      <c r="D730" s="9" t="s">
        <v>664</v>
      </c>
      <c r="E730" s="9" t="s">
        <v>3388</v>
      </c>
      <c r="F730" s="9" t="s">
        <v>3390</v>
      </c>
      <c r="G730" s="9">
        <v>33333</v>
      </c>
      <c r="H730" s="9" t="s">
        <v>2475</v>
      </c>
      <c r="I730" s="9">
        <v>192</v>
      </c>
      <c r="J730" s="9">
        <v>90</v>
      </c>
      <c r="K730" s="9">
        <v>0</v>
      </c>
    </row>
    <row r="731" spans="1:11" x14ac:dyDescent="0.4">
      <c r="A731" s="9" t="s">
        <v>313</v>
      </c>
      <c r="B731" s="9" t="s">
        <v>39</v>
      </c>
      <c r="C731" s="9">
        <v>2</v>
      </c>
      <c r="D731" s="9" t="s">
        <v>669</v>
      </c>
      <c r="E731" s="9" t="s">
        <v>3392</v>
      </c>
      <c r="F731" s="9" t="s">
        <v>3394</v>
      </c>
      <c r="G731" s="9">
        <v>36103</v>
      </c>
      <c r="H731" s="9" t="s">
        <v>1165</v>
      </c>
      <c r="I731" s="9">
        <v>180</v>
      </c>
      <c r="J731" s="9">
        <v>96</v>
      </c>
      <c r="K731" s="9">
        <v>11</v>
      </c>
    </row>
    <row r="732" spans="1:11" x14ac:dyDescent="0.4">
      <c r="A732" s="9" t="s">
        <v>313</v>
      </c>
      <c r="B732" s="9" t="s">
        <v>39</v>
      </c>
      <c r="C732" s="9">
        <v>3</v>
      </c>
      <c r="D732" s="9" t="s">
        <v>669</v>
      </c>
      <c r="E732" s="9" t="s">
        <v>3395</v>
      </c>
      <c r="F732" s="9" t="s">
        <v>3397</v>
      </c>
      <c r="G732" s="9">
        <v>35748</v>
      </c>
      <c r="H732" s="9" t="s">
        <v>1007</v>
      </c>
      <c r="I732" s="9">
        <v>183</v>
      </c>
      <c r="J732" s="9">
        <v>45</v>
      </c>
      <c r="K732" s="9">
        <v>2</v>
      </c>
    </row>
    <row r="733" spans="1:11" x14ac:dyDescent="0.4">
      <c r="A733" s="9" t="s">
        <v>313</v>
      </c>
      <c r="B733" s="9" t="s">
        <v>39</v>
      </c>
      <c r="C733" s="9">
        <v>4</v>
      </c>
      <c r="D733" s="9" t="s">
        <v>686</v>
      </c>
      <c r="E733" s="9" t="s">
        <v>3398</v>
      </c>
      <c r="F733" s="9" t="s">
        <v>3400</v>
      </c>
      <c r="G733" s="9">
        <v>35298</v>
      </c>
      <c r="H733" s="9" t="s">
        <v>1510</v>
      </c>
      <c r="I733" s="9">
        <v>185</v>
      </c>
      <c r="J733" s="9">
        <v>75</v>
      </c>
      <c r="K733" s="9">
        <v>0</v>
      </c>
    </row>
    <row r="734" spans="1:11" x14ac:dyDescent="0.4">
      <c r="A734" s="9" t="s">
        <v>313</v>
      </c>
      <c r="B734" s="9" t="s">
        <v>39</v>
      </c>
      <c r="C734" s="9">
        <v>5</v>
      </c>
      <c r="D734" s="9" t="s">
        <v>669</v>
      </c>
      <c r="E734" s="9" t="s">
        <v>3401</v>
      </c>
      <c r="F734" s="9" t="s">
        <v>3403</v>
      </c>
      <c r="G734" s="9">
        <v>33620</v>
      </c>
      <c r="H734" s="9" t="s">
        <v>3404</v>
      </c>
      <c r="I734" s="9">
        <v>185</v>
      </c>
      <c r="J734" s="9">
        <v>8</v>
      </c>
      <c r="K734" s="9">
        <v>0</v>
      </c>
    </row>
    <row r="735" spans="1:11" x14ac:dyDescent="0.4">
      <c r="A735" s="9" t="s">
        <v>313</v>
      </c>
      <c r="B735" s="9" t="s">
        <v>39</v>
      </c>
      <c r="C735" s="9">
        <v>6</v>
      </c>
      <c r="D735" s="9" t="s">
        <v>686</v>
      </c>
      <c r="E735" s="9" t="s">
        <v>3405</v>
      </c>
      <c r="F735" s="9" t="s">
        <v>3407</v>
      </c>
      <c r="G735" s="9">
        <v>39357</v>
      </c>
      <c r="H735" s="9" t="s">
        <v>673</v>
      </c>
      <c r="I735" s="9">
        <v>185</v>
      </c>
      <c r="J735" s="9">
        <v>3</v>
      </c>
      <c r="K735" s="9">
        <v>0</v>
      </c>
    </row>
    <row r="736" spans="1:11" x14ac:dyDescent="0.4">
      <c r="A736" s="9" t="s">
        <v>313</v>
      </c>
      <c r="B736" s="9" t="s">
        <v>39</v>
      </c>
      <c r="C736" s="9">
        <v>7</v>
      </c>
      <c r="D736" s="9" t="s">
        <v>686</v>
      </c>
      <c r="E736" s="9" t="s">
        <v>3408</v>
      </c>
      <c r="F736" s="9" t="s">
        <v>3410</v>
      </c>
      <c r="G736" s="9">
        <v>38481</v>
      </c>
      <c r="H736" s="9" t="s">
        <v>1735</v>
      </c>
      <c r="I736" s="9">
        <v>175</v>
      </c>
      <c r="J736" s="9">
        <v>5</v>
      </c>
      <c r="K736" s="9">
        <v>0</v>
      </c>
    </row>
    <row r="737" spans="1:11" x14ac:dyDescent="0.4">
      <c r="A737" s="9" t="s">
        <v>313</v>
      </c>
      <c r="B737" s="9" t="s">
        <v>39</v>
      </c>
      <c r="C737" s="9">
        <v>8</v>
      </c>
      <c r="D737" s="9" t="s">
        <v>686</v>
      </c>
      <c r="E737" s="9" t="s">
        <v>3411</v>
      </c>
      <c r="F737" s="9" t="s">
        <v>3413</v>
      </c>
      <c r="G737" s="9">
        <v>36635</v>
      </c>
      <c r="H737" s="9" t="s">
        <v>985</v>
      </c>
      <c r="I737" s="9">
        <v>182</v>
      </c>
      <c r="J737" s="9">
        <v>49</v>
      </c>
      <c r="K737" s="9">
        <v>9</v>
      </c>
    </row>
    <row r="738" spans="1:11" x14ac:dyDescent="0.4">
      <c r="A738" s="9" t="s">
        <v>313</v>
      </c>
      <c r="B738" s="9" t="s">
        <v>39</v>
      </c>
      <c r="C738" s="9">
        <v>9</v>
      </c>
      <c r="D738" s="9" t="s">
        <v>691</v>
      </c>
      <c r="E738" s="9" t="s">
        <v>3414</v>
      </c>
      <c r="F738" s="9" t="s">
        <v>3416</v>
      </c>
      <c r="G738" s="9">
        <v>35218</v>
      </c>
      <c r="H738" s="9" t="s">
        <v>2253</v>
      </c>
      <c r="I738" s="9">
        <v>180</v>
      </c>
      <c r="J738" s="9">
        <v>37</v>
      </c>
      <c r="K738" s="9">
        <v>12</v>
      </c>
    </row>
    <row r="739" spans="1:11" x14ac:dyDescent="0.4">
      <c r="A739" s="9" t="s">
        <v>313</v>
      </c>
      <c r="B739" s="9" t="s">
        <v>39</v>
      </c>
      <c r="C739" s="9">
        <v>10</v>
      </c>
      <c r="D739" s="9" t="s">
        <v>691</v>
      </c>
      <c r="E739" s="9" t="s">
        <v>3417</v>
      </c>
      <c r="F739" s="9" t="s">
        <v>3419</v>
      </c>
      <c r="G739" s="9">
        <v>36375</v>
      </c>
      <c r="H739" s="9" t="s">
        <v>898</v>
      </c>
      <c r="I739" s="9">
        <v>170</v>
      </c>
      <c r="J739" s="9">
        <v>26</v>
      </c>
      <c r="K739" s="9">
        <v>14</v>
      </c>
    </row>
    <row r="740" spans="1:11" x14ac:dyDescent="0.4">
      <c r="A740" s="9" t="s">
        <v>313</v>
      </c>
      <c r="B740" s="9" t="s">
        <v>39</v>
      </c>
      <c r="C740" s="9">
        <v>11</v>
      </c>
      <c r="D740" s="9" t="s">
        <v>686</v>
      </c>
      <c r="E740" s="9" t="s">
        <v>3421</v>
      </c>
      <c r="F740" s="9" t="s">
        <v>3423</v>
      </c>
      <c r="G740" s="9">
        <v>36919</v>
      </c>
      <c r="H740" s="9" t="s">
        <v>956</v>
      </c>
      <c r="I740" s="9">
        <v>185</v>
      </c>
      <c r="J740" s="9">
        <v>30</v>
      </c>
      <c r="K740" s="9">
        <v>9</v>
      </c>
    </row>
    <row r="741" spans="1:11" x14ac:dyDescent="0.4">
      <c r="A741" s="9" t="s">
        <v>313</v>
      </c>
      <c r="B741" s="9" t="s">
        <v>39</v>
      </c>
      <c r="C741" s="9">
        <v>12</v>
      </c>
      <c r="D741" s="9" t="s">
        <v>664</v>
      </c>
      <c r="E741" s="9" t="s">
        <v>3424</v>
      </c>
      <c r="F741" s="9" t="s">
        <v>3426</v>
      </c>
      <c r="G741" s="9">
        <v>32638</v>
      </c>
      <c r="H741" s="9" t="s">
        <v>3427</v>
      </c>
      <c r="I741" s="9">
        <v>190</v>
      </c>
      <c r="J741" s="9">
        <v>52</v>
      </c>
      <c r="K741" s="9">
        <v>0</v>
      </c>
    </row>
    <row r="742" spans="1:11" x14ac:dyDescent="0.4">
      <c r="A742" s="9" t="s">
        <v>313</v>
      </c>
      <c r="B742" s="9" t="s">
        <v>39</v>
      </c>
      <c r="C742" s="9">
        <v>13</v>
      </c>
      <c r="D742" s="9" t="s">
        <v>669</v>
      </c>
      <c r="E742" s="9" t="s">
        <v>3428</v>
      </c>
      <c r="F742" s="9" t="s">
        <v>3430</v>
      </c>
      <c r="G742" s="9">
        <v>37256</v>
      </c>
      <c r="H742" s="9" t="s">
        <v>1725</v>
      </c>
      <c r="I742" s="9">
        <v>171</v>
      </c>
      <c r="J742" s="9">
        <v>3</v>
      </c>
      <c r="K742" s="9">
        <v>0</v>
      </c>
    </row>
    <row r="743" spans="1:11" x14ac:dyDescent="0.4">
      <c r="A743" s="9" t="s">
        <v>313</v>
      </c>
      <c r="B743" s="9" t="s">
        <v>39</v>
      </c>
      <c r="C743" s="9">
        <v>14</v>
      </c>
      <c r="D743" s="9" t="s">
        <v>669</v>
      </c>
      <c r="E743" s="9" t="s">
        <v>3431</v>
      </c>
      <c r="F743" s="9" t="s">
        <v>3433</v>
      </c>
      <c r="G743" s="9">
        <v>35439</v>
      </c>
      <c r="H743" s="9" t="s">
        <v>1041</v>
      </c>
      <c r="I743" s="9">
        <v>194</v>
      </c>
      <c r="J743" s="9">
        <v>4</v>
      </c>
      <c r="K743" s="9">
        <v>0</v>
      </c>
    </row>
    <row r="744" spans="1:11" x14ac:dyDescent="0.4">
      <c r="A744" s="9" t="s">
        <v>313</v>
      </c>
      <c r="B744" s="9" t="s">
        <v>39</v>
      </c>
      <c r="C744" s="9">
        <v>15</v>
      </c>
      <c r="D744" s="9" t="s">
        <v>686</v>
      </c>
      <c r="E744" s="9" t="s">
        <v>3435</v>
      </c>
      <c r="F744" s="9" t="s">
        <v>3437</v>
      </c>
      <c r="G744" s="9">
        <v>38631</v>
      </c>
      <c r="H744" s="9" t="s">
        <v>1011</v>
      </c>
      <c r="I744" s="9">
        <v>187</v>
      </c>
      <c r="J744" s="9">
        <v>4</v>
      </c>
      <c r="K744" s="9">
        <v>0</v>
      </c>
    </row>
    <row r="745" spans="1:11" x14ac:dyDescent="0.4">
      <c r="A745" s="9" t="s">
        <v>313</v>
      </c>
      <c r="B745" s="9" t="s">
        <v>39</v>
      </c>
      <c r="C745" s="9">
        <v>16</v>
      </c>
      <c r="D745" s="9" t="s">
        <v>686</v>
      </c>
      <c r="E745" s="9" t="s">
        <v>3438</v>
      </c>
      <c r="F745" s="9" t="s">
        <v>3440</v>
      </c>
      <c r="G745" s="9">
        <v>38678</v>
      </c>
      <c r="H745" s="9" t="s">
        <v>1011</v>
      </c>
      <c r="I745" s="9">
        <v>172</v>
      </c>
      <c r="J745" s="9">
        <v>4</v>
      </c>
      <c r="K745" s="9">
        <v>0</v>
      </c>
    </row>
    <row r="746" spans="1:11" x14ac:dyDescent="0.4">
      <c r="A746" s="9" t="s">
        <v>313</v>
      </c>
      <c r="B746" s="9" t="s">
        <v>39</v>
      </c>
      <c r="C746" s="9">
        <v>17</v>
      </c>
      <c r="D746" s="9" t="s">
        <v>691</v>
      </c>
      <c r="E746" s="9" t="s">
        <v>3441</v>
      </c>
      <c r="F746" s="9" t="s">
        <v>3442</v>
      </c>
      <c r="G746" s="9">
        <v>36835</v>
      </c>
      <c r="H746" s="9" t="s">
        <v>2679</v>
      </c>
      <c r="I746" s="9">
        <v>175</v>
      </c>
      <c r="J746" s="9">
        <v>2</v>
      </c>
      <c r="K746" s="9">
        <v>0</v>
      </c>
    </row>
    <row r="747" spans="1:11" x14ac:dyDescent="0.4">
      <c r="A747" s="9" t="s">
        <v>313</v>
      </c>
      <c r="B747" s="9" t="s">
        <v>39</v>
      </c>
      <c r="C747" s="9">
        <v>18</v>
      </c>
      <c r="D747" s="9" t="s">
        <v>669</v>
      </c>
      <c r="E747" s="9" t="s">
        <v>3444</v>
      </c>
      <c r="F747" s="9" t="s">
        <v>3446</v>
      </c>
      <c r="G747" s="9">
        <v>37789</v>
      </c>
      <c r="H747" s="9" t="s">
        <v>1570</v>
      </c>
      <c r="I747" s="9">
        <v>186</v>
      </c>
      <c r="J747" s="9">
        <v>6</v>
      </c>
      <c r="K747" s="9">
        <v>1</v>
      </c>
    </row>
    <row r="748" spans="1:11" x14ac:dyDescent="0.4">
      <c r="A748" s="9" t="s">
        <v>313</v>
      </c>
      <c r="B748" s="9" t="s">
        <v>39</v>
      </c>
      <c r="C748" s="9">
        <v>19</v>
      </c>
      <c r="D748" s="9" t="s">
        <v>669</v>
      </c>
      <c r="E748" s="9" t="s">
        <v>3447</v>
      </c>
      <c r="F748" s="9" t="s">
        <v>3449</v>
      </c>
      <c r="G748" s="9">
        <v>36058</v>
      </c>
      <c r="H748" s="9" t="s">
        <v>2235</v>
      </c>
      <c r="I748" s="9">
        <v>175</v>
      </c>
      <c r="J748" s="9">
        <v>18</v>
      </c>
      <c r="K748" s="9">
        <v>0</v>
      </c>
    </row>
    <row r="749" spans="1:11" x14ac:dyDescent="0.4">
      <c r="A749" s="9" t="s">
        <v>313</v>
      </c>
      <c r="B749" s="9" t="s">
        <v>39</v>
      </c>
      <c r="C749" s="9">
        <v>20</v>
      </c>
      <c r="D749" s="9" t="s">
        <v>691</v>
      </c>
      <c r="E749" s="9" t="s">
        <v>3450</v>
      </c>
      <c r="F749" s="9" t="s">
        <v>3452</v>
      </c>
      <c r="G749" s="9">
        <v>34145</v>
      </c>
      <c r="H749" s="9" t="s">
        <v>2808</v>
      </c>
      <c r="I749" s="9">
        <v>182</v>
      </c>
      <c r="J749" s="9">
        <v>71</v>
      </c>
      <c r="K749" s="9">
        <v>35</v>
      </c>
    </row>
    <row r="750" spans="1:11" x14ac:dyDescent="0.4">
      <c r="A750" s="9" t="s">
        <v>313</v>
      </c>
      <c r="B750" s="9" t="s">
        <v>39</v>
      </c>
      <c r="C750" s="9">
        <v>21</v>
      </c>
      <c r="D750" s="9" t="s">
        <v>691</v>
      </c>
      <c r="E750" s="9" t="s">
        <v>3453</v>
      </c>
      <c r="F750" s="9" t="s">
        <v>3455</v>
      </c>
      <c r="G750" s="9">
        <v>38321</v>
      </c>
      <c r="H750" s="9" t="s">
        <v>707</v>
      </c>
      <c r="I750" s="9">
        <v>179</v>
      </c>
      <c r="J750" s="9">
        <v>2</v>
      </c>
      <c r="K750" s="9">
        <v>0</v>
      </c>
    </row>
    <row r="751" spans="1:11" x14ac:dyDescent="0.4">
      <c r="A751" s="9" t="s">
        <v>313</v>
      </c>
      <c r="B751" s="9" t="s">
        <v>39</v>
      </c>
      <c r="C751" s="9">
        <v>22</v>
      </c>
      <c r="D751" s="9" t="s">
        <v>664</v>
      </c>
      <c r="E751" s="9" t="s">
        <v>3456</v>
      </c>
      <c r="F751" s="9" t="s">
        <v>3458</v>
      </c>
      <c r="G751" s="9">
        <v>35160</v>
      </c>
      <c r="H751" s="9" t="s">
        <v>3459</v>
      </c>
      <c r="I751" s="9">
        <v>194</v>
      </c>
      <c r="J751" s="9">
        <v>3</v>
      </c>
      <c r="K751" s="9">
        <v>0</v>
      </c>
    </row>
    <row r="752" spans="1:11" x14ac:dyDescent="0.4">
      <c r="A752" s="9" t="s">
        <v>313</v>
      </c>
      <c r="B752" s="9" t="s">
        <v>39</v>
      </c>
      <c r="C752" s="9">
        <v>23</v>
      </c>
      <c r="D752" s="9" t="s">
        <v>686</v>
      </c>
      <c r="E752" s="9" t="s">
        <v>3460</v>
      </c>
      <c r="F752" s="9" t="s">
        <v>3462</v>
      </c>
      <c r="G752" s="9">
        <v>38117</v>
      </c>
      <c r="H752" s="9" t="s">
        <v>1094</v>
      </c>
      <c r="I752" s="9">
        <v>180</v>
      </c>
      <c r="J752" s="9">
        <v>37</v>
      </c>
      <c r="K752" s="9">
        <v>3</v>
      </c>
    </row>
    <row r="753" spans="1:11" x14ac:dyDescent="0.4">
      <c r="A753" s="9" t="s">
        <v>313</v>
      </c>
      <c r="B753" s="9" t="s">
        <v>39</v>
      </c>
      <c r="C753" s="9">
        <v>24</v>
      </c>
      <c r="D753" s="9" t="s">
        <v>686</v>
      </c>
      <c r="E753" s="9" t="s">
        <v>3463</v>
      </c>
      <c r="F753" s="9" t="s">
        <v>3465</v>
      </c>
      <c r="G753" s="9">
        <v>37074</v>
      </c>
      <c r="H753" s="9" t="s">
        <v>1856</v>
      </c>
      <c r="I753" s="9">
        <v>185</v>
      </c>
      <c r="J753" s="9">
        <v>16</v>
      </c>
      <c r="K753" s="9">
        <v>2</v>
      </c>
    </row>
    <row r="754" spans="1:11" x14ac:dyDescent="0.4">
      <c r="A754" s="9" t="s">
        <v>313</v>
      </c>
      <c r="B754" s="9" t="s">
        <v>39</v>
      </c>
      <c r="C754" s="9">
        <v>25</v>
      </c>
      <c r="D754" s="9" t="s">
        <v>669</v>
      </c>
      <c r="E754" s="9" t="s">
        <v>3466</v>
      </c>
      <c r="F754" s="9" t="s">
        <v>3468</v>
      </c>
      <c r="G754" s="9">
        <v>37685</v>
      </c>
      <c r="H754" s="9" t="s">
        <v>3469</v>
      </c>
      <c r="I754" s="9">
        <v>189</v>
      </c>
      <c r="J754" s="9">
        <v>3</v>
      </c>
      <c r="K754" s="9">
        <v>0</v>
      </c>
    </row>
    <row r="755" spans="1:11" x14ac:dyDescent="0.4">
      <c r="A755" s="9" t="s">
        <v>313</v>
      </c>
      <c r="B755" s="9" t="s">
        <v>39</v>
      </c>
      <c r="C755" s="9">
        <v>26</v>
      </c>
      <c r="D755" s="9" t="s">
        <v>669</v>
      </c>
      <c r="E755" s="9" t="s">
        <v>3470</v>
      </c>
      <c r="F755" s="9" t="s">
        <v>3472</v>
      </c>
      <c r="G755" s="9">
        <v>37274</v>
      </c>
      <c r="H755" s="9" t="s">
        <v>956</v>
      </c>
      <c r="I755" s="9">
        <v>181</v>
      </c>
      <c r="J755" s="9">
        <v>9</v>
      </c>
      <c r="K755" s="9">
        <v>0</v>
      </c>
    </row>
    <row r="756" spans="1:11" x14ac:dyDescent="0.4">
      <c r="A756" s="9" t="s">
        <v>288</v>
      </c>
      <c r="B756" s="9" t="s">
        <v>14</v>
      </c>
      <c r="C756" s="9">
        <v>1</v>
      </c>
      <c r="D756" s="9" t="s">
        <v>664</v>
      </c>
      <c r="E756" s="9" t="s">
        <v>3474</v>
      </c>
      <c r="F756" s="9" t="s">
        <v>3476</v>
      </c>
      <c r="G756" s="9">
        <v>37486</v>
      </c>
      <c r="H756" s="9" t="s">
        <v>981</v>
      </c>
      <c r="I756" s="9">
        <v>193</v>
      </c>
      <c r="J756" s="9">
        <v>29</v>
      </c>
      <c r="K756" s="9">
        <v>0</v>
      </c>
    </row>
    <row r="757" spans="1:11" x14ac:dyDescent="0.4">
      <c r="A757" s="9" t="s">
        <v>288</v>
      </c>
      <c r="B757" s="9" t="s">
        <v>14</v>
      </c>
      <c r="C757" s="9">
        <v>2</v>
      </c>
      <c r="D757" s="9" t="s">
        <v>669</v>
      </c>
      <c r="E757" s="9" t="s">
        <v>3477</v>
      </c>
      <c r="F757" s="9" t="s">
        <v>3479</v>
      </c>
      <c r="G757" s="9">
        <v>36725</v>
      </c>
      <c r="H757" s="9" t="s">
        <v>1735</v>
      </c>
      <c r="I757" s="9">
        <v>185</v>
      </c>
      <c r="J757" s="9">
        <v>21</v>
      </c>
      <c r="K757" s="9">
        <v>0</v>
      </c>
    </row>
    <row r="758" spans="1:11" x14ac:dyDescent="0.4">
      <c r="A758" s="9" t="s">
        <v>288</v>
      </c>
      <c r="B758" s="9" t="s">
        <v>14</v>
      </c>
      <c r="C758" s="9">
        <v>3</v>
      </c>
      <c r="D758" s="9" t="s">
        <v>686</v>
      </c>
      <c r="E758" s="9" t="s">
        <v>3480</v>
      </c>
      <c r="F758" s="9" t="s">
        <v>3482</v>
      </c>
      <c r="G758" s="9">
        <v>33326</v>
      </c>
      <c r="H758" s="9" t="s">
        <v>1027</v>
      </c>
      <c r="I758" s="9">
        <v>186</v>
      </c>
      <c r="J758" s="9">
        <v>43</v>
      </c>
      <c r="K758" s="9">
        <v>1</v>
      </c>
    </row>
    <row r="759" spans="1:11" x14ac:dyDescent="0.4">
      <c r="A759" s="9" t="s">
        <v>288</v>
      </c>
      <c r="B759" s="9" t="s">
        <v>14</v>
      </c>
      <c r="C759" s="9">
        <v>4</v>
      </c>
      <c r="D759" s="9" t="s">
        <v>669</v>
      </c>
      <c r="E759" s="9" t="s">
        <v>3483</v>
      </c>
      <c r="F759" s="9" t="s">
        <v>3485</v>
      </c>
      <c r="G759" s="9">
        <v>33427</v>
      </c>
      <c r="H759" s="9" t="s">
        <v>1153</v>
      </c>
      <c r="I759" s="9">
        <v>195</v>
      </c>
      <c r="J759" s="9">
        <v>92</v>
      </c>
      <c r="K759" s="9">
        <v>12</v>
      </c>
    </row>
    <row r="760" spans="1:11" x14ac:dyDescent="0.4">
      <c r="A760" s="9" t="s">
        <v>288</v>
      </c>
      <c r="B760" s="9" t="s">
        <v>14</v>
      </c>
      <c r="C760" s="9">
        <v>5</v>
      </c>
      <c r="D760" s="9" t="s">
        <v>669</v>
      </c>
      <c r="E760" s="9" t="s">
        <v>3487</v>
      </c>
      <c r="F760" s="9" t="s">
        <v>3489</v>
      </c>
      <c r="G760" s="9">
        <v>34748</v>
      </c>
      <c r="H760" s="9" t="s">
        <v>727</v>
      </c>
      <c r="I760" s="9">
        <v>180</v>
      </c>
      <c r="J760" s="9">
        <v>59</v>
      </c>
      <c r="K760" s="9">
        <v>5</v>
      </c>
    </row>
    <row r="761" spans="1:11" x14ac:dyDescent="0.4">
      <c r="A761" s="9" t="s">
        <v>288</v>
      </c>
      <c r="B761" s="9" t="s">
        <v>14</v>
      </c>
      <c r="C761" s="9">
        <v>6</v>
      </c>
      <c r="D761" s="9" t="s">
        <v>669</v>
      </c>
      <c r="E761" s="9" t="s">
        <v>3491</v>
      </c>
      <c r="F761" s="9" t="s">
        <v>3493</v>
      </c>
      <c r="G761" s="9">
        <v>36685</v>
      </c>
      <c r="H761" s="9" t="s">
        <v>981</v>
      </c>
      <c r="I761" s="9">
        <v>189</v>
      </c>
      <c r="J761" s="9">
        <v>12</v>
      </c>
      <c r="K761" s="9">
        <v>0</v>
      </c>
    </row>
    <row r="762" spans="1:11" x14ac:dyDescent="0.4">
      <c r="A762" s="9" t="s">
        <v>288</v>
      </c>
      <c r="B762" s="9" t="s">
        <v>14</v>
      </c>
      <c r="C762" s="9">
        <v>7</v>
      </c>
      <c r="D762" s="9" t="s">
        <v>686</v>
      </c>
      <c r="E762" s="9" t="s">
        <v>3494</v>
      </c>
      <c r="F762" s="9" t="s">
        <v>3496</v>
      </c>
      <c r="G762" s="9">
        <v>36285</v>
      </c>
      <c r="H762" s="9" t="s">
        <v>1252</v>
      </c>
      <c r="I762" s="9">
        <v>173</v>
      </c>
      <c r="J762" s="9">
        <v>12</v>
      </c>
      <c r="K762" s="9">
        <v>0</v>
      </c>
    </row>
    <row r="763" spans="1:11" x14ac:dyDescent="0.4">
      <c r="A763" s="9" t="s">
        <v>288</v>
      </c>
      <c r="B763" s="9" t="s">
        <v>14</v>
      </c>
      <c r="C763" s="9">
        <v>8</v>
      </c>
      <c r="D763" s="9" t="s">
        <v>686</v>
      </c>
      <c r="E763" s="9" t="s">
        <v>3497</v>
      </c>
      <c r="F763" s="9" t="s">
        <v>3499</v>
      </c>
      <c r="G763" s="9">
        <v>37392</v>
      </c>
      <c r="H763" s="9" t="s">
        <v>1153</v>
      </c>
      <c r="I763" s="9">
        <v>190</v>
      </c>
      <c r="J763" s="9">
        <v>27</v>
      </c>
      <c r="K763" s="9">
        <v>1</v>
      </c>
    </row>
    <row r="764" spans="1:11" x14ac:dyDescent="0.4">
      <c r="A764" s="9" t="s">
        <v>288</v>
      </c>
      <c r="B764" s="9" t="s">
        <v>14</v>
      </c>
      <c r="C764" s="9">
        <v>9</v>
      </c>
      <c r="D764" s="9" t="s">
        <v>691</v>
      </c>
      <c r="E764" s="9" t="s">
        <v>3500</v>
      </c>
      <c r="F764" s="9" t="s">
        <v>3502</v>
      </c>
      <c r="G764" s="9">
        <v>33823</v>
      </c>
      <c r="H764" s="9" t="s">
        <v>1893</v>
      </c>
      <c r="I764" s="9">
        <v>197</v>
      </c>
      <c r="J764" s="9">
        <v>52</v>
      </c>
      <c r="K764" s="9">
        <v>14</v>
      </c>
    </row>
    <row r="765" spans="1:11" x14ac:dyDescent="0.4">
      <c r="A765" s="9" t="s">
        <v>288</v>
      </c>
      <c r="B765" s="9" t="s">
        <v>14</v>
      </c>
      <c r="C765" s="9">
        <v>10</v>
      </c>
      <c r="D765" s="9" t="s">
        <v>691</v>
      </c>
      <c r="E765" s="9" t="s">
        <v>3503</v>
      </c>
      <c r="F765" s="9" t="s">
        <v>3505</v>
      </c>
      <c r="G765" s="9">
        <v>34378</v>
      </c>
      <c r="H765" s="9" t="s">
        <v>3506</v>
      </c>
      <c r="I765" s="9">
        <v>178</v>
      </c>
      <c r="J765" s="9">
        <v>109</v>
      </c>
      <c r="K765" s="9">
        <v>55</v>
      </c>
    </row>
    <row r="766" spans="1:11" x14ac:dyDescent="0.4">
      <c r="A766" s="9" t="s">
        <v>288</v>
      </c>
      <c r="B766" s="9" t="s">
        <v>14</v>
      </c>
      <c r="C766" s="9">
        <v>11</v>
      </c>
      <c r="D766" s="9" t="s">
        <v>691</v>
      </c>
      <c r="E766" s="9" t="s">
        <v>3508</v>
      </c>
      <c r="F766" s="9" t="s">
        <v>3510</v>
      </c>
      <c r="G766" s="9">
        <v>36287</v>
      </c>
      <c r="H766" s="9" t="s">
        <v>1153</v>
      </c>
      <c r="I766" s="9">
        <v>193</v>
      </c>
      <c r="J766" s="9">
        <v>50</v>
      </c>
      <c r="K766" s="9">
        <v>21</v>
      </c>
    </row>
    <row r="767" spans="1:11" x14ac:dyDescent="0.4">
      <c r="A767" s="9" t="s">
        <v>288</v>
      </c>
      <c r="B767" s="9" t="s">
        <v>14</v>
      </c>
      <c r="C767" s="9">
        <v>12</v>
      </c>
      <c r="D767" s="9" t="s">
        <v>669</v>
      </c>
      <c r="E767" s="9" t="s">
        <v>3511</v>
      </c>
      <c r="F767" s="9" t="s">
        <v>3513</v>
      </c>
      <c r="G767" s="9">
        <v>36480</v>
      </c>
      <c r="H767" s="9" t="s">
        <v>981</v>
      </c>
      <c r="I767" s="9">
        <v>189</v>
      </c>
      <c r="J767" s="9">
        <v>15</v>
      </c>
      <c r="K767" s="9">
        <v>1</v>
      </c>
    </row>
    <row r="768" spans="1:11" x14ac:dyDescent="0.4">
      <c r="A768" s="9" t="s">
        <v>288</v>
      </c>
      <c r="B768" s="9" t="s">
        <v>14</v>
      </c>
      <c r="C768" s="9">
        <v>13</v>
      </c>
      <c r="D768" s="9" t="s">
        <v>664</v>
      </c>
      <c r="E768" s="9" t="s">
        <v>3514</v>
      </c>
      <c r="F768" s="9" t="s">
        <v>3516</v>
      </c>
      <c r="G768" s="9">
        <v>37638</v>
      </c>
      <c r="H768" s="9" t="s">
        <v>1735</v>
      </c>
      <c r="I768" s="9">
        <v>193</v>
      </c>
      <c r="J768" s="9">
        <v>1</v>
      </c>
      <c r="K768" s="9">
        <v>0</v>
      </c>
    </row>
    <row r="769" spans="1:11" x14ac:dyDescent="0.4">
      <c r="A769" s="9" t="s">
        <v>288</v>
      </c>
      <c r="B769" s="9" t="s">
        <v>14</v>
      </c>
      <c r="C769" s="9">
        <v>14</v>
      </c>
      <c r="D769" s="9" t="s">
        <v>686</v>
      </c>
      <c r="E769" s="9" t="s">
        <v>3517</v>
      </c>
      <c r="F769" s="9" t="s">
        <v>3519</v>
      </c>
      <c r="G769" s="9">
        <v>36005</v>
      </c>
      <c r="H769" s="9" t="s">
        <v>727</v>
      </c>
      <c r="I769" s="9">
        <v>178</v>
      </c>
      <c r="J769" s="9">
        <v>32</v>
      </c>
      <c r="K769" s="9">
        <v>7</v>
      </c>
    </row>
    <row r="770" spans="1:11" x14ac:dyDescent="0.4">
      <c r="A770" s="9" t="s">
        <v>288</v>
      </c>
      <c r="B770" s="9" t="s">
        <v>14</v>
      </c>
      <c r="C770" s="9">
        <v>15</v>
      </c>
      <c r="D770" s="9" t="s">
        <v>669</v>
      </c>
      <c r="E770" s="9" t="s">
        <v>3520</v>
      </c>
      <c r="F770" s="9" t="s">
        <v>3522</v>
      </c>
      <c r="G770" s="9">
        <v>37000</v>
      </c>
      <c r="H770" s="9" t="s">
        <v>879</v>
      </c>
      <c r="I770" s="9">
        <v>193</v>
      </c>
      <c r="J770" s="9">
        <v>21</v>
      </c>
      <c r="K770" s="9">
        <v>1</v>
      </c>
    </row>
    <row r="771" spans="1:11" x14ac:dyDescent="0.4">
      <c r="A771" s="9" t="s">
        <v>288</v>
      </c>
      <c r="B771" s="9" t="s">
        <v>14</v>
      </c>
      <c r="C771" s="9">
        <v>16</v>
      </c>
      <c r="D771" s="9" t="s">
        <v>686</v>
      </c>
      <c r="E771" s="9" t="s">
        <v>3523</v>
      </c>
      <c r="F771" s="9" t="s">
        <v>3525</v>
      </c>
      <c r="G771" s="9">
        <v>35786</v>
      </c>
      <c r="H771" s="9" t="s">
        <v>956</v>
      </c>
      <c r="I771" s="9">
        <v>188</v>
      </c>
      <c r="J771" s="9">
        <v>7</v>
      </c>
      <c r="K771" s="9">
        <v>1</v>
      </c>
    </row>
    <row r="772" spans="1:11" x14ac:dyDescent="0.4">
      <c r="A772" s="9" t="s">
        <v>288</v>
      </c>
      <c r="B772" s="9" t="s">
        <v>14</v>
      </c>
      <c r="C772" s="9">
        <v>17</v>
      </c>
      <c r="D772" s="9" t="s">
        <v>691</v>
      </c>
      <c r="E772" s="9" t="s">
        <v>3526</v>
      </c>
      <c r="F772" s="9" t="s">
        <v>3528</v>
      </c>
      <c r="G772" s="9">
        <v>36328</v>
      </c>
      <c r="H772" s="9" t="s">
        <v>1664</v>
      </c>
      <c r="I772" s="9">
        <v>176</v>
      </c>
      <c r="J772" s="9">
        <v>15</v>
      </c>
      <c r="K772" s="9">
        <v>3</v>
      </c>
    </row>
    <row r="773" spans="1:11" x14ac:dyDescent="0.4">
      <c r="A773" s="9" t="s">
        <v>288</v>
      </c>
      <c r="B773" s="9" t="s">
        <v>14</v>
      </c>
      <c r="C773" s="9">
        <v>18</v>
      </c>
      <c r="D773" s="9" t="s">
        <v>691</v>
      </c>
      <c r="E773" s="9" t="s">
        <v>3529</v>
      </c>
      <c r="F773" s="9" t="s">
        <v>3531</v>
      </c>
      <c r="G773" s="9">
        <v>36179</v>
      </c>
      <c r="H773" s="9" t="s">
        <v>1856</v>
      </c>
      <c r="I773" s="9">
        <v>178</v>
      </c>
      <c r="J773" s="9">
        <v>53</v>
      </c>
      <c r="K773" s="9">
        <v>13</v>
      </c>
    </row>
    <row r="774" spans="1:11" x14ac:dyDescent="0.4">
      <c r="A774" s="9" t="s">
        <v>288</v>
      </c>
      <c r="B774" s="9" t="s">
        <v>14</v>
      </c>
      <c r="C774" s="9">
        <v>19</v>
      </c>
      <c r="D774" s="9" t="s">
        <v>691</v>
      </c>
      <c r="E774" s="9" t="s">
        <v>3532</v>
      </c>
      <c r="F774" s="9" t="s">
        <v>3534</v>
      </c>
      <c r="G774" s="9">
        <v>37288</v>
      </c>
      <c r="H774" s="9" t="s">
        <v>1735</v>
      </c>
      <c r="I774" s="9">
        <v>181</v>
      </c>
      <c r="J774" s="9">
        <v>12</v>
      </c>
      <c r="K774" s="9">
        <v>1</v>
      </c>
    </row>
    <row r="775" spans="1:11" x14ac:dyDescent="0.4">
      <c r="A775" s="9" t="s">
        <v>288</v>
      </c>
      <c r="B775" s="9" t="s">
        <v>14</v>
      </c>
      <c r="C775" s="9">
        <v>20</v>
      </c>
      <c r="D775" s="9" t="s">
        <v>686</v>
      </c>
      <c r="E775" s="9" t="s">
        <v>3535</v>
      </c>
      <c r="F775" s="9" t="s">
        <v>3537</v>
      </c>
      <c r="G775" s="9">
        <v>35854</v>
      </c>
      <c r="H775" s="9" t="s">
        <v>1204</v>
      </c>
      <c r="I775" s="9">
        <v>185</v>
      </c>
      <c r="J775" s="9">
        <v>28</v>
      </c>
      <c r="K775" s="9">
        <v>3</v>
      </c>
    </row>
    <row r="776" spans="1:11" x14ac:dyDescent="0.4">
      <c r="A776" s="9" t="s">
        <v>288</v>
      </c>
      <c r="B776" s="9" t="s">
        <v>14</v>
      </c>
      <c r="C776" s="9">
        <v>21</v>
      </c>
      <c r="D776" s="9" t="s">
        <v>686</v>
      </c>
      <c r="E776" s="9" t="s">
        <v>3538</v>
      </c>
      <c r="F776" s="9" t="s">
        <v>3540</v>
      </c>
      <c r="G776" s="9">
        <v>35562</v>
      </c>
      <c r="H776" s="9" t="s">
        <v>1193</v>
      </c>
      <c r="I776" s="9">
        <v>181</v>
      </c>
      <c r="J776" s="9">
        <v>66</v>
      </c>
      <c r="K776" s="9">
        <v>2</v>
      </c>
    </row>
    <row r="777" spans="1:11" x14ac:dyDescent="0.4">
      <c r="A777" s="9" t="s">
        <v>288</v>
      </c>
      <c r="B777" s="9" t="s">
        <v>14</v>
      </c>
      <c r="C777" s="9">
        <v>22</v>
      </c>
      <c r="D777" s="9" t="s">
        <v>669</v>
      </c>
      <c r="E777" s="9" t="s">
        <v>3542</v>
      </c>
      <c r="F777" s="9" t="s">
        <v>3544</v>
      </c>
      <c r="G777" s="9">
        <v>35173</v>
      </c>
      <c r="H777" s="9" t="s">
        <v>1547</v>
      </c>
      <c r="I777" s="9">
        <v>188</v>
      </c>
      <c r="J777" s="9">
        <v>72</v>
      </c>
      <c r="K777" s="9">
        <v>11</v>
      </c>
    </row>
    <row r="778" spans="1:11" x14ac:dyDescent="0.4">
      <c r="A778" s="9" t="s">
        <v>288</v>
      </c>
      <c r="B778" s="9" t="s">
        <v>14</v>
      </c>
      <c r="C778" s="9">
        <v>23</v>
      </c>
      <c r="D778" s="9" t="s">
        <v>664</v>
      </c>
      <c r="E778" s="9" t="s">
        <v>3545</v>
      </c>
      <c r="F778" s="9" t="s">
        <v>3547</v>
      </c>
      <c r="G778" s="9">
        <v>34133</v>
      </c>
      <c r="H778" s="9" t="s">
        <v>753</v>
      </c>
      <c r="I778" s="9">
        <v>195</v>
      </c>
      <c r="J778" s="9">
        <v>12</v>
      </c>
      <c r="K778" s="9">
        <v>0</v>
      </c>
    </row>
    <row r="779" spans="1:11" x14ac:dyDescent="0.4">
      <c r="A779" s="9" t="s">
        <v>288</v>
      </c>
      <c r="B779" s="9" t="s">
        <v>14</v>
      </c>
      <c r="C779" s="9">
        <v>24</v>
      </c>
      <c r="D779" s="9" t="s">
        <v>691</v>
      </c>
      <c r="E779" s="9" t="s">
        <v>3548</v>
      </c>
      <c r="F779" s="9" t="s">
        <v>3550</v>
      </c>
      <c r="G779" s="9">
        <v>37194</v>
      </c>
      <c r="H779" s="9" t="s">
        <v>1687</v>
      </c>
      <c r="I779" s="9">
        <v>172</v>
      </c>
      <c r="J779" s="9">
        <v>2</v>
      </c>
      <c r="K779" s="9">
        <v>0</v>
      </c>
    </row>
    <row r="780" spans="1:11" x14ac:dyDescent="0.4">
      <c r="A780" s="9" t="s">
        <v>288</v>
      </c>
      <c r="B780" s="9" t="s">
        <v>14</v>
      </c>
      <c r="C780" s="9">
        <v>25</v>
      </c>
      <c r="D780" s="9" t="s">
        <v>669</v>
      </c>
      <c r="E780" s="9" t="s">
        <v>3551</v>
      </c>
      <c r="F780" s="9" t="s">
        <v>3553</v>
      </c>
      <c r="G780" s="9">
        <v>38783</v>
      </c>
      <c r="H780" s="9" t="s">
        <v>1554</v>
      </c>
      <c r="I780" s="9">
        <v>182</v>
      </c>
      <c r="J780" s="9">
        <v>8</v>
      </c>
      <c r="K780" s="9">
        <v>0</v>
      </c>
    </row>
    <row r="781" spans="1:11" x14ac:dyDescent="0.4">
      <c r="A781" s="9" t="s">
        <v>288</v>
      </c>
      <c r="B781" s="9" t="s">
        <v>14</v>
      </c>
      <c r="C781" s="9">
        <v>26</v>
      </c>
      <c r="D781" s="9" t="s">
        <v>686</v>
      </c>
      <c r="E781" s="9" t="s">
        <v>3554</v>
      </c>
      <c r="F781" s="9" t="s">
        <v>3556</v>
      </c>
      <c r="G781" s="9">
        <v>37059</v>
      </c>
      <c r="H781" s="9" t="s">
        <v>703</v>
      </c>
      <c r="I781" s="9">
        <v>176</v>
      </c>
      <c r="J781" s="9">
        <v>11</v>
      </c>
      <c r="K781" s="9">
        <v>1</v>
      </c>
    </row>
    <row r="782" spans="1:11" x14ac:dyDescent="0.4">
      <c r="A782" s="9" t="s">
        <v>310</v>
      </c>
      <c r="B782" s="9" t="s">
        <v>36</v>
      </c>
      <c r="C782" s="9">
        <v>1</v>
      </c>
      <c r="D782" s="9" t="s">
        <v>664</v>
      </c>
      <c r="E782" s="9" t="s">
        <v>3558</v>
      </c>
      <c r="F782" s="9" t="s">
        <v>3560</v>
      </c>
      <c r="G782" s="9">
        <v>34193</v>
      </c>
      <c r="H782" s="9" t="s">
        <v>3561</v>
      </c>
      <c r="I782" s="9">
        <v>190</v>
      </c>
      <c r="J782" s="9">
        <v>24</v>
      </c>
      <c r="K782" s="9">
        <v>0</v>
      </c>
    </row>
    <row r="783" spans="1:11" x14ac:dyDescent="0.4">
      <c r="A783" s="9" t="s">
        <v>310</v>
      </c>
      <c r="B783" s="9" t="s">
        <v>36</v>
      </c>
      <c r="C783" s="9">
        <v>2</v>
      </c>
      <c r="D783" s="9" t="s">
        <v>669</v>
      </c>
      <c r="E783" s="9" t="s">
        <v>3562</v>
      </c>
      <c r="F783" s="9" t="s">
        <v>3564</v>
      </c>
      <c r="G783" s="9">
        <v>34344</v>
      </c>
      <c r="H783" s="9" t="s">
        <v>3565</v>
      </c>
      <c r="I783" s="9">
        <v>179</v>
      </c>
      <c r="J783" s="9">
        <v>51</v>
      </c>
      <c r="K783" s="9">
        <v>3</v>
      </c>
    </row>
    <row r="784" spans="1:11" x14ac:dyDescent="0.4">
      <c r="A784" s="9" t="s">
        <v>310</v>
      </c>
      <c r="B784" s="9" t="s">
        <v>36</v>
      </c>
      <c r="C784" s="9">
        <v>3</v>
      </c>
      <c r="D784" s="9" t="s">
        <v>669</v>
      </c>
      <c r="E784" s="9" t="s">
        <v>3566</v>
      </c>
      <c r="F784" s="9" t="s">
        <v>3568</v>
      </c>
      <c r="G784" s="9">
        <v>34666</v>
      </c>
      <c r="H784" s="9" t="s">
        <v>3569</v>
      </c>
      <c r="I784" s="9">
        <v>181</v>
      </c>
      <c r="J784" s="9">
        <v>20</v>
      </c>
      <c r="K784" s="9">
        <v>1</v>
      </c>
    </row>
    <row r="785" spans="1:11" x14ac:dyDescent="0.4">
      <c r="A785" s="9" t="s">
        <v>310</v>
      </c>
      <c r="B785" s="9" t="s">
        <v>36</v>
      </c>
      <c r="C785" s="9">
        <v>4</v>
      </c>
      <c r="D785" s="9" t="s">
        <v>669</v>
      </c>
      <c r="E785" s="9" t="s">
        <v>3570</v>
      </c>
      <c r="F785" s="9" t="s">
        <v>3572</v>
      </c>
      <c r="G785" s="9">
        <v>38379</v>
      </c>
      <c r="H785" s="9" t="s">
        <v>2027</v>
      </c>
      <c r="I785" s="9">
        <v>190</v>
      </c>
      <c r="J785" s="9">
        <v>25</v>
      </c>
      <c r="K785" s="9">
        <v>3</v>
      </c>
    </row>
    <row r="786" spans="1:11" x14ac:dyDescent="0.4">
      <c r="A786" s="9" t="s">
        <v>310</v>
      </c>
      <c r="B786" s="9" t="s">
        <v>36</v>
      </c>
      <c r="C786" s="9">
        <v>5</v>
      </c>
      <c r="D786" s="9" t="s">
        <v>669</v>
      </c>
      <c r="E786" s="9" t="s">
        <v>3573</v>
      </c>
      <c r="F786" s="9" t="s">
        <v>3575</v>
      </c>
      <c r="G786" s="9">
        <v>32373</v>
      </c>
      <c r="H786" s="9" t="s">
        <v>1605</v>
      </c>
      <c r="I786" s="9">
        <v>191</v>
      </c>
      <c r="J786" s="9">
        <v>63</v>
      </c>
      <c r="K786" s="9">
        <v>1</v>
      </c>
    </row>
    <row r="787" spans="1:11" x14ac:dyDescent="0.4">
      <c r="A787" s="9" t="s">
        <v>310</v>
      </c>
      <c r="B787" s="9" t="s">
        <v>36</v>
      </c>
      <c r="C787" s="9">
        <v>6</v>
      </c>
      <c r="D787" s="9" t="s">
        <v>686</v>
      </c>
      <c r="E787" s="9" t="s">
        <v>3576</v>
      </c>
      <c r="F787" s="9" t="s">
        <v>3578</v>
      </c>
      <c r="G787" s="9">
        <v>36277</v>
      </c>
      <c r="H787" s="9" t="s">
        <v>3579</v>
      </c>
      <c r="I787" s="9">
        <v>182</v>
      </c>
      <c r="J787" s="9">
        <v>32</v>
      </c>
      <c r="K787" s="9">
        <v>1</v>
      </c>
    </row>
    <row r="788" spans="1:11" x14ac:dyDescent="0.4">
      <c r="A788" s="9" t="s">
        <v>310</v>
      </c>
      <c r="B788" s="9" t="s">
        <v>36</v>
      </c>
      <c r="C788" s="9">
        <v>7</v>
      </c>
      <c r="D788" s="9" t="s">
        <v>691</v>
      </c>
      <c r="E788" s="9" t="s">
        <v>3580</v>
      </c>
      <c r="F788" s="9" t="s">
        <v>3582</v>
      </c>
      <c r="G788" s="9">
        <v>35943</v>
      </c>
      <c r="H788" s="9" t="s">
        <v>3569</v>
      </c>
      <c r="I788" s="9">
        <v>182</v>
      </c>
      <c r="J788" s="9">
        <v>18</v>
      </c>
      <c r="K788" s="9">
        <v>2</v>
      </c>
    </row>
    <row r="789" spans="1:11" x14ac:dyDescent="0.4">
      <c r="A789" s="9" t="s">
        <v>310</v>
      </c>
      <c r="B789" s="9" t="s">
        <v>36</v>
      </c>
      <c r="C789" s="9">
        <v>8</v>
      </c>
      <c r="D789" s="9" t="s">
        <v>686</v>
      </c>
      <c r="E789" s="9" t="s">
        <v>3583</v>
      </c>
      <c r="F789" s="9" t="s">
        <v>3585</v>
      </c>
      <c r="G789" s="9">
        <v>37306</v>
      </c>
      <c r="H789" s="9" t="s">
        <v>848</v>
      </c>
      <c r="I789" s="9">
        <v>188</v>
      </c>
      <c r="J789" s="9">
        <v>39</v>
      </c>
      <c r="K789" s="9">
        <v>3</v>
      </c>
    </row>
    <row r="790" spans="1:11" x14ac:dyDescent="0.4">
      <c r="A790" s="9" t="s">
        <v>310</v>
      </c>
      <c r="B790" s="9" t="s">
        <v>36</v>
      </c>
      <c r="C790" s="9">
        <v>9</v>
      </c>
      <c r="D790" s="9" t="s">
        <v>691</v>
      </c>
      <c r="E790" s="9" t="s">
        <v>3586</v>
      </c>
      <c r="F790" s="9" t="s">
        <v>3588</v>
      </c>
      <c r="G790" s="9">
        <v>33579</v>
      </c>
      <c r="H790" s="9" t="s">
        <v>1846</v>
      </c>
      <c r="I790" s="9">
        <v>191</v>
      </c>
      <c r="J790" s="9">
        <v>90</v>
      </c>
      <c r="K790" s="9">
        <v>45</v>
      </c>
    </row>
    <row r="791" spans="1:11" x14ac:dyDescent="0.4">
      <c r="A791" s="9" t="s">
        <v>310</v>
      </c>
      <c r="B791" s="9" t="s">
        <v>36</v>
      </c>
      <c r="C791" s="9">
        <v>10</v>
      </c>
      <c r="D791" s="9" t="s">
        <v>686</v>
      </c>
      <c r="E791" s="9" t="s">
        <v>3589</v>
      </c>
      <c r="F791" s="9" t="s">
        <v>3591</v>
      </c>
      <c r="G791" s="9">
        <v>36211</v>
      </c>
      <c r="H791" s="9" t="s">
        <v>3565</v>
      </c>
      <c r="I791" s="9">
        <v>180</v>
      </c>
      <c r="J791" s="9">
        <v>28</v>
      </c>
      <c r="K791" s="9">
        <v>3</v>
      </c>
    </row>
    <row r="792" spans="1:11" x14ac:dyDescent="0.4">
      <c r="A792" s="9" t="s">
        <v>310</v>
      </c>
      <c r="B792" s="9" t="s">
        <v>36</v>
      </c>
      <c r="C792" s="9">
        <v>11</v>
      </c>
      <c r="D792" s="9" t="s">
        <v>686</v>
      </c>
      <c r="E792" s="9" t="s">
        <v>3592</v>
      </c>
      <c r="F792" s="9" t="s">
        <v>3594</v>
      </c>
      <c r="G792" s="9">
        <v>36647</v>
      </c>
      <c r="H792" s="9" t="s">
        <v>3595</v>
      </c>
      <c r="I792" s="9">
        <v>176</v>
      </c>
      <c r="J792" s="9">
        <v>44</v>
      </c>
      <c r="K792" s="9">
        <v>9</v>
      </c>
    </row>
    <row r="793" spans="1:11" x14ac:dyDescent="0.4">
      <c r="A793" s="9" t="s">
        <v>310</v>
      </c>
      <c r="B793" s="9" t="s">
        <v>36</v>
      </c>
      <c r="C793" s="9">
        <v>12</v>
      </c>
      <c r="D793" s="9" t="s">
        <v>664</v>
      </c>
      <c r="E793" s="9" t="s">
        <v>3596</v>
      </c>
      <c r="F793" s="9" t="s">
        <v>3598</v>
      </c>
      <c r="G793" s="9">
        <v>37441</v>
      </c>
      <c r="H793" s="9" t="s">
        <v>3599</v>
      </c>
      <c r="I793" s="9">
        <v>193</v>
      </c>
      <c r="J793" s="9">
        <v>8</v>
      </c>
      <c r="K793" s="9">
        <v>0</v>
      </c>
    </row>
    <row r="794" spans="1:11" x14ac:dyDescent="0.4">
      <c r="A794" s="9" t="s">
        <v>310</v>
      </c>
      <c r="B794" s="9" t="s">
        <v>36</v>
      </c>
      <c r="C794" s="9">
        <v>13</v>
      </c>
      <c r="D794" s="9" t="s">
        <v>669</v>
      </c>
      <c r="E794" s="9" t="s">
        <v>3600</v>
      </c>
      <c r="F794" s="9" t="s">
        <v>3602</v>
      </c>
      <c r="G794" s="9">
        <v>36796</v>
      </c>
      <c r="H794" s="9" t="s">
        <v>3603</v>
      </c>
      <c r="I794" s="9">
        <v>182</v>
      </c>
      <c r="J794" s="9">
        <v>37</v>
      </c>
      <c r="K794" s="9">
        <v>1</v>
      </c>
    </row>
    <row r="795" spans="1:11" x14ac:dyDescent="0.4">
      <c r="A795" s="9" t="s">
        <v>310</v>
      </c>
      <c r="B795" s="9" t="s">
        <v>36</v>
      </c>
      <c r="C795" s="9">
        <v>14</v>
      </c>
      <c r="D795" s="9" t="s">
        <v>686</v>
      </c>
      <c r="E795" s="9" t="s">
        <v>3604</v>
      </c>
      <c r="F795" s="9" t="s">
        <v>3606</v>
      </c>
      <c r="G795" s="9">
        <v>35228</v>
      </c>
      <c r="H795" s="9" t="s">
        <v>3565</v>
      </c>
      <c r="I795" s="9">
        <v>180</v>
      </c>
      <c r="J795" s="9">
        <v>26</v>
      </c>
      <c r="K795" s="9">
        <v>0</v>
      </c>
    </row>
    <row r="796" spans="1:11" x14ac:dyDescent="0.4">
      <c r="A796" s="9" t="s">
        <v>310</v>
      </c>
      <c r="B796" s="9" t="s">
        <v>36</v>
      </c>
      <c r="C796" s="9">
        <v>15</v>
      </c>
      <c r="D796" s="9" t="s">
        <v>669</v>
      </c>
      <c r="E796" s="9" t="s">
        <v>3607</v>
      </c>
      <c r="F796" s="9" t="s">
        <v>3609</v>
      </c>
      <c r="G796" s="9">
        <v>36216</v>
      </c>
      <c r="H796" s="9" t="s">
        <v>3569</v>
      </c>
      <c r="I796" s="9">
        <v>185</v>
      </c>
      <c r="J796" s="9">
        <v>25</v>
      </c>
      <c r="K796" s="9">
        <v>0</v>
      </c>
    </row>
    <row r="797" spans="1:11" x14ac:dyDescent="0.4">
      <c r="A797" s="9" t="s">
        <v>310</v>
      </c>
      <c r="B797" s="9" t="s">
        <v>36</v>
      </c>
      <c r="C797" s="9">
        <v>16</v>
      </c>
      <c r="D797" s="9" t="s">
        <v>669</v>
      </c>
      <c r="E797" s="9" t="s">
        <v>3610</v>
      </c>
      <c r="F797" s="9" t="s">
        <v>3612</v>
      </c>
      <c r="G797" s="9">
        <v>37887</v>
      </c>
      <c r="H797" s="9" t="s">
        <v>3613</v>
      </c>
      <c r="I797" s="9">
        <v>190</v>
      </c>
      <c r="J797" s="9">
        <v>19</v>
      </c>
      <c r="K797" s="9">
        <v>2</v>
      </c>
    </row>
    <row r="798" spans="1:11" x14ac:dyDescent="0.4">
      <c r="A798" s="9" t="s">
        <v>310</v>
      </c>
      <c r="B798" s="9" t="s">
        <v>36</v>
      </c>
      <c r="C798" s="9">
        <v>17</v>
      </c>
      <c r="D798" s="9" t="s">
        <v>691</v>
      </c>
      <c r="E798" s="9" t="s">
        <v>3614</v>
      </c>
      <c r="F798" s="9" t="s">
        <v>3616</v>
      </c>
      <c r="G798" s="9">
        <v>32923</v>
      </c>
      <c r="H798" s="9" t="s">
        <v>3617</v>
      </c>
      <c r="I798" s="9">
        <v>171</v>
      </c>
      <c r="J798" s="9">
        <v>76</v>
      </c>
      <c r="K798" s="9">
        <v>10</v>
      </c>
    </row>
    <row r="799" spans="1:11" x14ac:dyDescent="0.4">
      <c r="A799" s="9" t="s">
        <v>310</v>
      </c>
      <c r="B799" s="9" t="s">
        <v>36</v>
      </c>
      <c r="C799" s="9">
        <v>18</v>
      </c>
      <c r="D799" s="9" t="s">
        <v>691</v>
      </c>
      <c r="E799" s="9" t="s">
        <v>3618</v>
      </c>
      <c r="F799" s="9" t="s">
        <v>3620</v>
      </c>
      <c r="G799" s="9">
        <v>37053</v>
      </c>
      <c r="H799" s="9" t="s">
        <v>3621</v>
      </c>
      <c r="I799" s="9">
        <v>185</v>
      </c>
      <c r="J799" s="9">
        <v>31</v>
      </c>
      <c r="K799" s="9">
        <v>9</v>
      </c>
    </row>
    <row r="800" spans="1:11" x14ac:dyDescent="0.4">
      <c r="A800" s="9" t="s">
        <v>310</v>
      </c>
      <c r="B800" s="9" t="s">
        <v>36</v>
      </c>
      <c r="C800" s="9">
        <v>19</v>
      </c>
      <c r="D800" s="9" t="s">
        <v>686</v>
      </c>
      <c r="E800" s="9" t="s">
        <v>3622</v>
      </c>
      <c r="F800" s="9" t="s">
        <v>3624</v>
      </c>
      <c r="G800" s="9">
        <v>37481</v>
      </c>
      <c r="H800" s="9" t="s">
        <v>2649</v>
      </c>
      <c r="I800" s="9">
        <v>173</v>
      </c>
      <c r="J800" s="9">
        <v>24</v>
      </c>
      <c r="K800" s="9">
        <v>2</v>
      </c>
    </row>
    <row r="801" spans="1:11" x14ac:dyDescent="0.4">
      <c r="A801" s="9" t="s">
        <v>310</v>
      </c>
      <c r="B801" s="9" t="s">
        <v>36</v>
      </c>
      <c r="C801" s="9">
        <v>20</v>
      </c>
      <c r="D801" s="9" t="s">
        <v>686</v>
      </c>
      <c r="E801" s="9" t="s">
        <v>3625</v>
      </c>
      <c r="F801" s="9" t="s">
        <v>3627</v>
      </c>
      <c r="G801" s="9">
        <v>36280</v>
      </c>
      <c r="H801" s="9" t="s">
        <v>3628</v>
      </c>
      <c r="I801" s="9">
        <v>180</v>
      </c>
      <c r="J801" s="9">
        <v>32</v>
      </c>
      <c r="K801" s="9">
        <v>4</v>
      </c>
    </row>
    <row r="802" spans="1:11" x14ac:dyDescent="0.4">
      <c r="A802" s="9" t="s">
        <v>310</v>
      </c>
      <c r="B802" s="9" t="s">
        <v>36</v>
      </c>
      <c r="C802" s="9">
        <v>21</v>
      </c>
      <c r="D802" s="9" t="s">
        <v>691</v>
      </c>
      <c r="E802" s="9" t="s">
        <v>3629</v>
      </c>
      <c r="F802" s="9" t="s">
        <v>3631</v>
      </c>
      <c r="G802" s="9">
        <v>37487</v>
      </c>
      <c r="H802" s="9" t="s">
        <v>3569</v>
      </c>
      <c r="I802" s="9">
        <v>176</v>
      </c>
      <c r="J802" s="9">
        <v>11</v>
      </c>
      <c r="K802" s="9">
        <v>2</v>
      </c>
    </row>
    <row r="803" spans="1:11" x14ac:dyDescent="0.4">
      <c r="A803" s="9" t="s">
        <v>310</v>
      </c>
      <c r="B803" s="9" t="s">
        <v>36</v>
      </c>
      <c r="C803" s="9">
        <v>22</v>
      </c>
      <c r="D803" s="9" t="s">
        <v>664</v>
      </c>
      <c r="E803" s="9" t="s">
        <v>3632</v>
      </c>
      <c r="F803" s="9" t="s">
        <v>3634</v>
      </c>
      <c r="G803" s="9">
        <v>36176</v>
      </c>
      <c r="H803" s="9" t="s">
        <v>3569</v>
      </c>
      <c r="I803" s="9">
        <v>196</v>
      </c>
      <c r="J803" s="9">
        <v>6</v>
      </c>
      <c r="K803" s="9">
        <v>0</v>
      </c>
    </row>
    <row r="804" spans="1:11" x14ac:dyDescent="0.4">
      <c r="A804" s="9" t="s">
        <v>310</v>
      </c>
      <c r="B804" s="9" t="s">
        <v>36</v>
      </c>
      <c r="C804" s="9">
        <v>23</v>
      </c>
      <c r="D804" s="9" t="s">
        <v>686</v>
      </c>
      <c r="E804" s="9" t="s">
        <v>3635</v>
      </c>
      <c r="F804" s="9" t="s">
        <v>3637</v>
      </c>
      <c r="G804" s="9">
        <v>34688</v>
      </c>
      <c r="H804" s="9" t="s">
        <v>1298</v>
      </c>
      <c r="I804" s="9">
        <v>176</v>
      </c>
      <c r="J804" s="9">
        <v>25</v>
      </c>
      <c r="K804" s="9">
        <v>3</v>
      </c>
    </row>
    <row r="805" spans="1:11" x14ac:dyDescent="0.4">
      <c r="A805" s="9" t="s">
        <v>310</v>
      </c>
      <c r="B805" s="9" t="s">
        <v>36</v>
      </c>
      <c r="C805" s="9">
        <v>24</v>
      </c>
      <c r="D805" s="9" t="s">
        <v>669</v>
      </c>
      <c r="E805" s="9" t="s">
        <v>3638</v>
      </c>
      <c r="F805" s="9" t="s">
        <v>3640</v>
      </c>
      <c r="G805" s="9">
        <v>36348</v>
      </c>
      <c r="H805" s="9" t="s">
        <v>3569</v>
      </c>
      <c r="I805" s="9">
        <v>177</v>
      </c>
      <c r="J805" s="9">
        <v>11</v>
      </c>
      <c r="K805" s="9">
        <v>0</v>
      </c>
    </row>
    <row r="806" spans="1:11" x14ac:dyDescent="0.4">
      <c r="A806" s="9" t="s">
        <v>310</v>
      </c>
      <c r="B806" s="9" t="s">
        <v>36</v>
      </c>
      <c r="C806" s="9">
        <v>25</v>
      </c>
      <c r="D806" s="9" t="s">
        <v>686</v>
      </c>
      <c r="E806" s="9" t="s">
        <v>3641</v>
      </c>
      <c r="F806" s="9" t="s">
        <v>3643</v>
      </c>
      <c r="G806" s="9">
        <v>37461</v>
      </c>
      <c r="H806" s="9" t="s">
        <v>3644</v>
      </c>
      <c r="I806" s="9">
        <v>178</v>
      </c>
      <c r="J806" s="9">
        <v>4</v>
      </c>
      <c r="K806" s="9">
        <v>0</v>
      </c>
    </row>
    <row r="807" spans="1:11" x14ac:dyDescent="0.4">
      <c r="A807" s="9" t="s">
        <v>310</v>
      </c>
      <c r="B807" s="9" t="s">
        <v>36</v>
      </c>
      <c r="C807" s="9">
        <v>26</v>
      </c>
      <c r="D807" s="9" t="s">
        <v>669</v>
      </c>
      <c r="E807" s="9" t="s">
        <v>3645</v>
      </c>
      <c r="F807" s="9" t="s">
        <v>3647</v>
      </c>
      <c r="G807" s="9">
        <v>32963</v>
      </c>
      <c r="H807" s="9" t="s">
        <v>3648</v>
      </c>
      <c r="I807" s="9">
        <v>188</v>
      </c>
      <c r="J807" s="9">
        <v>56</v>
      </c>
      <c r="K807" s="9">
        <v>2</v>
      </c>
    </row>
    <row r="808" spans="1:11" x14ac:dyDescent="0.4">
      <c r="A808" s="9" t="s">
        <v>311</v>
      </c>
      <c r="B808" s="9" t="s">
        <v>37</v>
      </c>
      <c r="C808" s="9">
        <v>1</v>
      </c>
      <c r="D808" s="9" t="s">
        <v>664</v>
      </c>
      <c r="E808" s="9" t="s">
        <v>3649</v>
      </c>
      <c r="F808" s="9" t="s">
        <v>3651</v>
      </c>
      <c r="G808" s="9">
        <v>33126</v>
      </c>
      <c r="H808" s="9" t="s">
        <v>3652</v>
      </c>
      <c r="I808" s="9">
        <v>192</v>
      </c>
      <c r="J808" s="9">
        <v>71</v>
      </c>
      <c r="K808" s="9">
        <v>0</v>
      </c>
    </row>
    <row r="809" spans="1:11" x14ac:dyDescent="0.4">
      <c r="A809" s="9" t="s">
        <v>311</v>
      </c>
      <c r="B809" s="9" t="s">
        <v>37</v>
      </c>
      <c r="C809" s="9">
        <v>2</v>
      </c>
      <c r="D809" s="9" t="s">
        <v>686</v>
      </c>
      <c r="E809" s="9" t="s">
        <v>3653</v>
      </c>
      <c r="F809" s="9" t="s">
        <v>3655</v>
      </c>
      <c r="G809" s="9">
        <v>35190</v>
      </c>
      <c r="H809" s="9" t="s">
        <v>3656</v>
      </c>
      <c r="I809" s="9">
        <v>188</v>
      </c>
      <c r="J809" s="9">
        <v>31</v>
      </c>
      <c r="K809" s="9">
        <v>0</v>
      </c>
    </row>
    <row r="810" spans="1:11" x14ac:dyDescent="0.4">
      <c r="A810" s="9" t="s">
        <v>311</v>
      </c>
      <c r="B810" s="9" t="s">
        <v>37</v>
      </c>
      <c r="C810" s="9">
        <v>3</v>
      </c>
      <c r="D810" s="9" t="s">
        <v>669</v>
      </c>
      <c r="E810" s="9" t="s">
        <v>3657</v>
      </c>
      <c r="F810" s="9" t="s">
        <v>3659</v>
      </c>
      <c r="G810" s="9">
        <v>35902</v>
      </c>
      <c r="H810" s="9" t="s">
        <v>1248</v>
      </c>
      <c r="I810" s="9">
        <v>198</v>
      </c>
      <c r="J810" s="9">
        <v>52</v>
      </c>
      <c r="K810" s="9">
        <v>2</v>
      </c>
    </row>
    <row r="811" spans="1:11" x14ac:dyDescent="0.4">
      <c r="A811" s="9" t="s">
        <v>311</v>
      </c>
      <c r="B811" s="9" t="s">
        <v>37</v>
      </c>
      <c r="C811" s="9">
        <v>4</v>
      </c>
      <c r="D811" s="9" t="s">
        <v>669</v>
      </c>
      <c r="E811" s="9" t="s">
        <v>3661</v>
      </c>
      <c r="F811" s="9" t="s">
        <v>3663</v>
      </c>
      <c r="G811" s="9">
        <v>36492</v>
      </c>
      <c r="H811" s="9" t="s">
        <v>3298</v>
      </c>
      <c r="I811" s="9">
        <v>183</v>
      </c>
      <c r="J811" s="9">
        <v>38</v>
      </c>
      <c r="K811" s="9">
        <v>1</v>
      </c>
    </row>
    <row r="812" spans="1:11" x14ac:dyDescent="0.4">
      <c r="A812" s="9" t="s">
        <v>311</v>
      </c>
      <c r="B812" s="9" t="s">
        <v>37</v>
      </c>
      <c r="C812" s="9">
        <v>5</v>
      </c>
      <c r="D812" s="9" t="s">
        <v>669</v>
      </c>
      <c r="E812" s="9" t="s">
        <v>3664</v>
      </c>
      <c r="F812" s="9" t="s">
        <v>3666</v>
      </c>
      <c r="G812" s="9">
        <v>37369</v>
      </c>
      <c r="H812" s="9" t="s">
        <v>2068</v>
      </c>
      <c r="I812" s="9">
        <v>185</v>
      </c>
      <c r="J812" s="9">
        <v>22</v>
      </c>
      <c r="K812" s="9">
        <v>1</v>
      </c>
    </row>
    <row r="813" spans="1:11" x14ac:dyDescent="0.4">
      <c r="A813" s="9" t="s">
        <v>311</v>
      </c>
      <c r="B813" s="9" t="s">
        <v>37</v>
      </c>
      <c r="C813" s="9">
        <v>6</v>
      </c>
      <c r="D813" s="9" t="s">
        <v>686</v>
      </c>
      <c r="E813" s="9" t="s">
        <v>3668</v>
      </c>
      <c r="F813" s="9" t="s">
        <v>3669</v>
      </c>
      <c r="G813" s="9">
        <v>35758</v>
      </c>
      <c r="H813" s="9" t="s">
        <v>3670</v>
      </c>
      <c r="I813" s="9">
        <v>178</v>
      </c>
      <c r="J813" s="9">
        <v>43</v>
      </c>
      <c r="K813" s="9">
        <v>0</v>
      </c>
    </row>
    <row r="814" spans="1:11" x14ac:dyDescent="0.4">
      <c r="A814" s="9" t="s">
        <v>311</v>
      </c>
      <c r="B814" s="9" t="s">
        <v>37</v>
      </c>
      <c r="C814" s="9">
        <v>7</v>
      </c>
      <c r="D814" s="9" t="s">
        <v>691</v>
      </c>
      <c r="E814" s="9" t="s">
        <v>3671</v>
      </c>
      <c r="F814" s="9" t="s">
        <v>3672</v>
      </c>
      <c r="G814" s="9">
        <v>35038</v>
      </c>
      <c r="H814" s="9" t="s">
        <v>1475</v>
      </c>
      <c r="I814" s="9">
        <v>196</v>
      </c>
      <c r="J814" s="9">
        <v>72</v>
      </c>
      <c r="K814" s="9">
        <v>26</v>
      </c>
    </row>
    <row r="815" spans="1:11" x14ac:dyDescent="0.4">
      <c r="A815" s="9" t="s">
        <v>311</v>
      </c>
      <c r="B815" s="9" t="s">
        <v>37</v>
      </c>
      <c r="C815" s="9">
        <v>8</v>
      </c>
      <c r="D815" s="9" t="s">
        <v>686</v>
      </c>
      <c r="E815" s="9" t="s">
        <v>3673</v>
      </c>
      <c r="F815" s="9" t="s">
        <v>3675</v>
      </c>
      <c r="G815" s="9">
        <v>35840</v>
      </c>
      <c r="H815" s="9" t="s">
        <v>1041</v>
      </c>
      <c r="I815" s="9">
        <v>195</v>
      </c>
      <c r="J815" s="9">
        <v>66</v>
      </c>
      <c r="K815" s="9">
        <v>1</v>
      </c>
    </row>
    <row r="816" spans="1:11" x14ac:dyDescent="0.4">
      <c r="A816" s="9" t="s">
        <v>311</v>
      </c>
      <c r="B816" s="9" t="s">
        <v>37</v>
      </c>
      <c r="C816" s="9">
        <v>9</v>
      </c>
      <c r="D816" s="9" t="s">
        <v>691</v>
      </c>
      <c r="E816" s="9" t="s">
        <v>3676</v>
      </c>
      <c r="F816" s="9" t="s">
        <v>3678</v>
      </c>
      <c r="G816" s="9">
        <v>36728</v>
      </c>
      <c r="H816" s="9" t="s">
        <v>727</v>
      </c>
      <c r="I816" s="9">
        <v>195</v>
      </c>
      <c r="J816" s="9">
        <v>50</v>
      </c>
      <c r="K816" s="9">
        <v>55</v>
      </c>
    </row>
    <row r="817" spans="1:11" x14ac:dyDescent="0.4">
      <c r="A817" s="9" t="s">
        <v>311</v>
      </c>
      <c r="B817" s="9" t="s">
        <v>37</v>
      </c>
      <c r="C817" s="9">
        <v>10</v>
      </c>
      <c r="D817" s="9" t="s">
        <v>686</v>
      </c>
      <c r="E817" s="9" t="s">
        <v>3680</v>
      </c>
      <c r="F817" s="9" t="s">
        <v>3682</v>
      </c>
      <c r="G817" s="9">
        <v>36146</v>
      </c>
      <c r="H817" s="9" t="s">
        <v>1000</v>
      </c>
      <c r="I817" s="9">
        <v>178</v>
      </c>
      <c r="J817" s="9">
        <v>68</v>
      </c>
      <c r="K817" s="9">
        <v>5</v>
      </c>
    </row>
    <row r="818" spans="1:11" x14ac:dyDescent="0.4">
      <c r="A818" s="9" t="s">
        <v>311</v>
      </c>
      <c r="B818" s="9" t="s">
        <v>37</v>
      </c>
      <c r="C818" s="9">
        <v>11</v>
      </c>
      <c r="D818" s="9" t="s">
        <v>691</v>
      </c>
      <c r="E818" s="9" t="s">
        <v>3683</v>
      </c>
      <c r="F818" s="9" t="s">
        <v>3685</v>
      </c>
      <c r="G818" s="9">
        <v>36562</v>
      </c>
      <c r="H818" s="9" t="s">
        <v>1570</v>
      </c>
      <c r="I818" s="9">
        <v>193</v>
      </c>
      <c r="J818" s="9">
        <v>28</v>
      </c>
      <c r="K818" s="9">
        <v>6</v>
      </c>
    </row>
    <row r="819" spans="1:11" x14ac:dyDescent="0.4">
      <c r="A819" s="9" t="s">
        <v>311</v>
      </c>
      <c r="B819" s="9" t="s">
        <v>37</v>
      </c>
      <c r="C819" s="9">
        <v>12</v>
      </c>
      <c r="D819" s="9" t="s">
        <v>664</v>
      </c>
      <c r="E819" s="9" t="s">
        <v>3687</v>
      </c>
      <c r="F819" s="9" t="s">
        <v>3689</v>
      </c>
      <c r="G819" s="9">
        <v>37589</v>
      </c>
      <c r="H819" s="9" t="s">
        <v>1938</v>
      </c>
      <c r="I819" s="9">
        <v>193</v>
      </c>
      <c r="J819" s="9">
        <v>0</v>
      </c>
      <c r="K819" s="9">
        <v>0</v>
      </c>
    </row>
    <row r="820" spans="1:11" x14ac:dyDescent="0.4">
      <c r="A820" s="9" t="s">
        <v>311</v>
      </c>
      <c r="B820" s="9" t="s">
        <v>37</v>
      </c>
      <c r="C820" s="9">
        <v>13</v>
      </c>
      <c r="D820" s="9" t="s">
        <v>664</v>
      </c>
      <c r="E820" s="9" t="s">
        <v>3690</v>
      </c>
      <c r="F820" s="9" t="s">
        <v>3692</v>
      </c>
      <c r="G820" s="9">
        <v>35641</v>
      </c>
      <c r="H820" s="9" t="s">
        <v>833</v>
      </c>
      <c r="I820" s="9">
        <v>187</v>
      </c>
      <c r="J820" s="9">
        <v>7</v>
      </c>
      <c r="K820" s="9">
        <v>0</v>
      </c>
    </row>
    <row r="821" spans="1:11" x14ac:dyDescent="0.4">
      <c r="A821" s="9" t="s">
        <v>311</v>
      </c>
      <c r="B821" s="9" t="s">
        <v>37</v>
      </c>
      <c r="C821" s="9">
        <v>14</v>
      </c>
      <c r="D821" s="9" t="s">
        <v>686</v>
      </c>
      <c r="E821" s="9" t="s">
        <v>3693</v>
      </c>
      <c r="F821" s="9" t="s">
        <v>3695</v>
      </c>
      <c r="G821" s="9">
        <v>35043</v>
      </c>
      <c r="H821" s="9" t="s">
        <v>1015</v>
      </c>
      <c r="I821" s="9">
        <v>181</v>
      </c>
      <c r="J821" s="9">
        <v>22</v>
      </c>
      <c r="K821" s="9">
        <v>1</v>
      </c>
    </row>
    <row r="822" spans="1:11" x14ac:dyDescent="0.4">
      <c r="A822" s="9" t="s">
        <v>311</v>
      </c>
      <c r="B822" s="9" t="s">
        <v>37</v>
      </c>
      <c r="C822" s="9">
        <v>15</v>
      </c>
      <c r="D822" s="9" t="s">
        <v>669</v>
      </c>
      <c r="E822" s="9" t="s">
        <v>3696</v>
      </c>
      <c r="F822" s="9" t="s">
        <v>3698</v>
      </c>
      <c r="G822" s="9">
        <v>36028</v>
      </c>
      <c r="H822" s="9" t="s">
        <v>3670</v>
      </c>
      <c r="I822" s="9">
        <v>180</v>
      </c>
      <c r="J822" s="9">
        <v>21</v>
      </c>
      <c r="K822" s="9">
        <v>1</v>
      </c>
    </row>
    <row r="823" spans="1:11" x14ac:dyDescent="0.4">
      <c r="A823" s="9" t="s">
        <v>311</v>
      </c>
      <c r="B823" s="9" t="s">
        <v>37</v>
      </c>
      <c r="C823" s="9">
        <v>16</v>
      </c>
      <c r="D823" s="9" t="s">
        <v>669</v>
      </c>
      <c r="E823" s="9" t="s">
        <v>3699</v>
      </c>
      <c r="F823" s="9" t="s">
        <v>3701</v>
      </c>
      <c r="G823" s="9">
        <v>36723</v>
      </c>
      <c r="H823" s="9" t="s">
        <v>1914</v>
      </c>
      <c r="I823" s="9">
        <v>184</v>
      </c>
      <c r="J823" s="9">
        <v>32</v>
      </c>
      <c r="K823" s="9">
        <v>0</v>
      </c>
    </row>
    <row r="824" spans="1:11" x14ac:dyDescent="0.4">
      <c r="A824" s="9" t="s">
        <v>311</v>
      </c>
      <c r="B824" s="9" t="s">
        <v>37</v>
      </c>
      <c r="C824" s="9">
        <v>17</v>
      </c>
      <c r="D824" s="9" t="s">
        <v>669</v>
      </c>
      <c r="E824" s="9" t="s">
        <v>3703</v>
      </c>
      <c r="F824" s="9" t="s">
        <v>3705</v>
      </c>
      <c r="G824" s="9">
        <v>36172</v>
      </c>
      <c r="H824" s="9" t="s">
        <v>1575</v>
      </c>
      <c r="I824" s="9">
        <v>192</v>
      </c>
      <c r="J824" s="9">
        <v>15</v>
      </c>
      <c r="K824" s="9">
        <v>0</v>
      </c>
    </row>
    <row r="825" spans="1:11" x14ac:dyDescent="0.4">
      <c r="A825" s="9" t="s">
        <v>311</v>
      </c>
      <c r="B825" s="9" t="s">
        <v>37</v>
      </c>
      <c r="C825" s="9">
        <v>18</v>
      </c>
      <c r="D825" s="9" t="s">
        <v>686</v>
      </c>
      <c r="E825" s="9" t="s">
        <v>3706</v>
      </c>
      <c r="F825" s="9" t="s">
        <v>3708</v>
      </c>
      <c r="G825" s="9">
        <v>36232</v>
      </c>
      <c r="H825" s="9" t="s">
        <v>844</v>
      </c>
      <c r="I825" s="9">
        <v>189</v>
      </c>
      <c r="J825" s="9">
        <v>37</v>
      </c>
      <c r="K825" s="9">
        <v>4</v>
      </c>
    </row>
    <row r="826" spans="1:11" x14ac:dyDescent="0.4">
      <c r="A826" s="9" t="s">
        <v>311</v>
      </c>
      <c r="B826" s="9" t="s">
        <v>37</v>
      </c>
      <c r="C826" s="9">
        <v>19</v>
      </c>
      <c r="D826" s="9" t="s">
        <v>686</v>
      </c>
      <c r="E826" s="9" t="s">
        <v>3709</v>
      </c>
      <c r="F826" s="9" t="s">
        <v>3711</v>
      </c>
      <c r="G826" s="9">
        <v>37378</v>
      </c>
      <c r="H826" s="9" t="s">
        <v>1048</v>
      </c>
      <c r="I826" s="9">
        <v>188</v>
      </c>
      <c r="J826" s="9">
        <v>8</v>
      </c>
      <c r="K826" s="9">
        <v>5</v>
      </c>
    </row>
    <row r="827" spans="1:11" x14ac:dyDescent="0.4">
      <c r="A827" s="9" t="s">
        <v>311</v>
      </c>
      <c r="B827" s="9" t="s">
        <v>37</v>
      </c>
      <c r="C827" s="9">
        <v>20</v>
      </c>
      <c r="D827" s="9" t="s">
        <v>691</v>
      </c>
      <c r="E827" s="9" t="s">
        <v>3712</v>
      </c>
      <c r="F827" s="9" t="s">
        <v>3714</v>
      </c>
      <c r="G827" s="9">
        <v>38459</v>
      </c>
      <c r="H827" s="9" t="s">
        <v>883</v>
      </c>
      <c r="I827" s="9">
        <v>183</v>
      </c>
      <c r="J827" s="9">
        <v>24</v>
      </c>
      <c r="K827" s="9">
        <v>8</v>
      </c>
    </row>
    <row r="828" spans="1:11" x14ac:dyDescent="0.4">
      <c r="A828" s="9" t="s">
        <v>311</v>
      </c>
      <c r="B828" s="9" t="s">
        <v>37</v>
      </c>
      <c r="C828" s="9">
        <v>21</v>
      </c>
      <c r="D828" s="9" t="s">
        <v>686</v>
      </c>
      <c r="E828" s="9" t="s">
        <v>3715</v>
      </c>
      <c r="F828" s="9" t="s">
        <v>3717</v>
      </c>
      <c r="G828" s="9">
        <v>38139</v>
      </c>
      <c r="H828" s="9" t="s">
        <v>1015</v>
      </c>
      <c r="I828" s="9">
        <v>177</v>
      </c>
      <c r="J828" s="9">
        <v>12</v>
      </c>
      <c r="K828" s="9">
        <v>1</v>
      </c>
    </row>
    <row r="829" spans="1:11" x14ac:dyDescent="0.4">
      <c r="A829" s="9" t="s">
        <v>311</v>
      </c>
      <c r="B829" s="9" t="s">
        <v>37</v>
      </c>
      <c r="C829" s="9">
        <v>22</v>
      </c>
      <c r="D829" s="9" t="s">
        <v>686</v>
      </c>
      <c r="E829" s="9" t="s">
        <v>3718</v>
      </c>
      <c r="F829" s="9" t="s">
        <v>3720</v>
      </c>
      <c r="G829" s="9">
        <v>37814</v>
      </c>
      <c r="H829" s="9" t="s">
        <v>1041</v>
      </c>
      <c r="I829" s="9">
        <v>177</v>
      </c>
      <c r="J829" s="9">
        <v>20</v>
      </c>
      <c r="K829" s="9">
        <v>2</v>
      </c>
    </row>
    <row r="830" spans="1:11" x14ac:dyDescent="0.4">
      <c r="A830" s="9" t="s">
        <v>311</v>
      </c>
      <c r="B830" s="9" t="s">
        <v>37</v>
      </c>
      <c r="C830" s="9">
        <v>23</v>
      </c>
      <c r="D830" s="9" t="s">
        <v>686</v>
      </c>
      <c r="E830" s="9" t="s">
        <v>3721</v>
      </c>
      <c r="F830" s="9" t="s">
        <v>3723</v>
      </c>
      <c r="G830" s="9">
        <v>36445</v>
      </c>
      <c r="H830" s="9" t="s">
        <v>3670</v>
      </c>
      <c r="I830" s="9">
        <v>184</v>
      </c>
      <c r="J830" s="9">
        <v>15</v>
      </c>
      <c r="K830" s="9">
        <v>1</v>
      </c>
    </row>
    <row r="831" spans="1:11" x14ac:dyDescent="0.4">
      <c r="A831" s="9" t="s">
        <v>311</v>
      </c>
      <c r="B831" s="9" t="s">
        <v>37</v>
      </c>
      <c r="C831" s="9">
        <v>24</v>
      </c>
      <c r="D831" s="9" t="s">
        <v>669</v>
      </c>
      <c r="E831" s="9" t="s">
        <v>3724</v>
      </c>
      <c r="F831" s="9" t="s">
        <v>3726</v>
      </c>
      <c r="G831" s="9">
        <v>36924</v>
      </c>
      <c r="H831" s="9" t="s">
        <v>3727</v>
      </c>
      <c r="I831" s="9">
        <v>190</v>
      </c>
      <c r="J831" s="9">
        <v>3</v>
      </c>
      <c r="K831" s="9">
        <v>0</v>
      </c>
    </row>
    <row r="832" spans="1:11" x14ac:dyDescent="0.4">
      <c r="A832" s="9" t="s">
        <v>311</v>
      </c>
      <c r="B832" s="9" t="s">
        <v>37</v>
      </c>
      <c r="C832" s="9">
        <v>25</v>
      </c>
      <c r="D832" s="9" t="s">
        <v>669</v>
      </c>
      <c r="E832" s="9" t="s">
        <v>3728</v>
      </c>
      <c r="F832" s="9" t="s">
        <v>3730</v>
      </c>
      <c r="G832" s="9">
        <v>37749</v>
      </c>
      <c r="H832" s="9" t="s">
        <v>3579</v>
      </c>
      <c r="I832" s="9">
        <v>194</v>
      </c>
      <c r="J832" s="9">
        <v>1</v>
      </c>
      <c r="K832" s="9">
        <v>0</v>
      </c>
    </row>
    <row r="833" spans="1:11" x14ac:dyDescent="0.4">
      <c r="A833" s="9" t="s">
        <v>311</v>
      </c>
      <c r="B833" s="9" t="s">
        <v>37</v>
      </c>
      <c r="C833" s="9">
        <v>26</v>
      </c>
      <c r="D833" s="9" t="s">
        <v>691</v>
      </c>
      <c r="E833" s="9" t="s">
        <v>3731</v>
      </c>
      <c r="F833" s="9" t="s">
        <v>3733</v>
      </c>
      <c r="G833" s="9">
        <v>35751</v>
      </c>
      <c r="H833" s="9" t="s">
        <v>749</v>
      </c>
      <c r="I833" s="9">
        <v>186</v>
      </c>
      <c r="J833" s="9">
        <v>43</v>
      </c>
      <c r="K833" s="9">
        <v>1</v>
      </c>
    </row>
    <row r="834" spans="1:11" x14ac:dyDescent="0.4">
      <c r="A834" s="9" t="s">
        <v>315</v>
      </c>
      <c r="B834" s="9" t="s">
        <v>41</v>
      </c>
      <c r="C834" s="9">
        <v>1</v>
      </c>
      <c r="D834" s="9" t="s">
        <v>664</v>
      </c>
      <c r="E834" s="9" t="s">
        <v>3734</v>
      </c>
      <c r="F834" s="9" t="s">
        <v>3736</v>
      </c>
      <c r="G834" s="9">
        <v>33313</v>
      </c>
      <c r="H834" s="9" t="s">
        <v>3737</v>
      </c>
      <c r="I834" s="9">
        <v>193</v>
      </c>
      <c r="J834" s="9">
        <v>56</v>
      </c>
      <c r="K834" s="9">
        <v>0</v>
      </c>
    </row>
    <row r="835" spans="1:11" x14ac:dyDescent="0.4">
      <c r="A835" s="9" t="s">
        <v>315</v>
      </c>
      <c r="B835" s="9" t="s">
        <v>41</v>
      </c>
      <c r="C835" s="9">
        <v>2</v>
      </c>
      <c r="D835" s="9" t="s">
        <v>669</v>
      </c>
      <c r="E835" s="9" t="s">
        <v>3739</v>
      </c>
      <c r="F835" s="9" t="s">
        <v>3741</v>
      </c>
      <c r="G835" s="9">
        <v>35887</v>
      </c>
      <c r="H835" s="9" t="s">
        <v>3742</v>
      </c>
      <c r="I835" s="9">
        <v>174</v>
      </c>
      <c r="J835" s="9">
        <v>40</v>
      </c>
      <c r="K835" s="9">
        <v>3</v>
      </c>
    </row>
    <row r="836" spans="1:11" x14ac:dyDescent="0.4">
      <c r="A836" s="9" t="s">
        <v>315</v>
      </c>
      <c r="B836" s="9" t="s">
        <v>41</v>
      </c>
      <c r="C836" s="9">
        <v>3</v>
      </c>
      <c r="D836" s="9" t="s">
        <v>669</v>
      </c>
      <c r="E836" s="9" t="s">
        <v>3744</v>
      </c>
      <c r="F836" s="9" t="s">
        <v>1600</v>
      </c>
      <c r="G836" s="9">
        <v>37045</v>
      </c>
      <c r="H836" s="9" t="s">
        <v>803</v>
      </c>
      <c r="I836" s="9">
        <v>189</v>
      </c>
      <c r="J836" s="9">
        <v>32</v>
      </c>
      <c r="K836" s="9">
        <v>1</v>
      </c>
    </row>
    <row r="837" spans="1:11" x14ac:dyDescent="0.4">
      <c r="A837" s="9" t="s">
        <v>315</v>
      </c>
      <c r="B837" s="9" t="s">
        <v>41</v>
      </c>
      <c r="C837" s="9">
        <v>4</v>
      </c>
      <c r="D837" s="9" t="s">
        <v>669</v>
      </c>
      <c r="E837" s="9" t="s">
        <v>3747</v>
      </c>
      <c r="F837" s="9" t="s">
        <v>3749</v>
      </c>
      <c r="G837" s="9">
        <v>34708</v>
      </c>
      <c r="H837" s="9" t="s">
        <v>3750</v>
      </c>
      <c r="I837" s="9">
        <v>184</v>
      </c>
      <c r="J837" s="9">
        <v>99</v>
      </c>
      <c r="K837" s="9">
        <v>4</v>
      </c>
    </row>
    <row r="838" spans="1:11" x14ac:dyDescent="0.4">
      <c r="A838" s="9" t="s">
        <v>315</v>
      </c>
      <c r="B838" s="9" t="s">
        <v>41</v>
      </c>
      <c r="C838" s="9">
        <v>5</v>
      </c>
      <c r="D838" s="9" t="s">
        <v>669</v>
      </c>
      <c r="E838" s="9" t="s">
        <v>3752</v>
      </c>
      <c r="F838" s="9" t="s">
        <v>3754</v>
      </c>
      <c r="G838" s="9">
        <v>37183</v>
      </c>
      <c r="H838" s="9" t="s">
        <v>3755</v>
      </c>
      <c r="I838" s="9">
        <v>195</v>
      </c>
      <c r="J838" s="9">
        <v>18</v>
      </c>
      <c r="K838" s="9">
        <v>0</v>
      </c>
    </row>
    <row r="839" spans="1:11" x14ac:dyDescent="0.4">
      <c r="A839" s="9" t="s">
        <v>315</v>
      </c>
      <c r="B839" s="9" t="s">
        <v>41</v>
      </c>
      <c r="C839" s="9">
        <v>6</v>
      </c>
      <c r="D839" s="9" t="s">
        <v>686</v>
      </c>
      <c r="E839" s="9" t="s">
        <v>3757</v>
      </c>
      <c r="F839" s="9" t="s">
        <v>1493</v>
      </c>
      <c r="G839" s="9">
        <v>35467</v>
      </c>
      <c r="H839" s="9" t="s">
        <v>3759</v>
      </c>
      <c r="I839" s="9">
        <v>170</v>
      </c>
      <c r="J839" s="9">
        <v>66</v>
      </c>
      <c r="K839" s="9">
        <v>2</v>
      </c>
    </row>
    <row r="840" spans="1:11" x14ac:dyDescent="0.4">
      <c r="A840" s="9" t="s">
        <v>315</v>
      </c>
      <c r="B840" s="9" t="s">
        <v>41</v>
      </c>
      <c r="C840" s="9">
        <v>7</v>
      </c>
      <c r="D840" s="9" t="s">
        <v>686</v>
      </c>
      <c r="E840" s="9" t="s">
        <v>3761</v>
      </c>
      <c r="F840" s="9" t="s">
        <v>3763</v>
      </c>
      <c r="G840" s="9">
        <v>35965</v>
      </c>
      <c r="H840" s="9" t="s">
        <v>3764</v>
      </c>
      <c r="I840" s="9">
        <v>180</v>
      </c>
      <c r="J840" s="9">
        <v>70</v>
      </c>
      <c r="K840" s="9">
        <v>8</v>
      </c>
    </row>
    <row r="841" spans="1:11" x14ac:dyDescent="0.4">
      <c r="A841" s="9" t="s">
        <v>315</v>
      </c>
      <c r="B841" s="9" t="s">
        <v>41</v>
      </c>
      <c r="C841" s="9">
        <v>8</v>
      </c>
      <c r="D841" s="9" t="s">
        <v>686</v>
      </c>
      <c r="E841" s="9" t="s">
        <v>3766</v>
      </c>
      <c r="F841" s="9" t="s">
        <v>3768</v>
      </c>
      <c r="G841" s="9">
        <v>36127</v>
      </c>
      <c r="H841" s="9" t="s">
        <v>2185</v>
      </c>
      <c r="I841" s="9">
        <v>171</v>
      </c>
      <c r="J841" s="9">
        <v>73</v>
      </c>
      <c r="K841" s="9">
        <v>3</v>
      </c>
    </row>
    <row r="842" spans="1:11" x14ac:dyDescent="0.4">
      <c r="A842" s="9" t="s">
        <v>315</v>
      </c>
      <c r="B842" s="9" t="s">
        <v>41</v>
      </c>
      <c r="C842" s="9">
        <v>9</v>
      </c>
      <c r="D842" s="9" t="s">
        <v>691</v>
      </c>
      <c r="E842" s="9" t="s">
        <v>3770</v>
      </c>
      <c r="F842" s="9" t="s">
        <v>3772</v>
      </c>
      <c r="G842" s="9">
        <v>36228</v>
      </c>
      <c r="H842" s="9" t="s">
        <v>3750</v>
      </c>
      <c r="I842" s="9">
        <v>183</v>
      </c>
      <c r="J842" s="9">
        <v>13</v>
      </c>
      <c r="K842" s="9">
        <v>4</v>
      </c>
    </row>
    <row r="843" spans="1:11" x14ac:dyDescent="0.4">
      <c r="A843" s="9" t="s">
        <v>315</v>
      </c>
      <c r="B843" s="9" t="s">
        <v>41</v>
      </c>
      <c r="C843" s="9">
        <v>10</v>
      </c>
      <c r="D843" s="9" t="s">
        <v>686</v>
      </c>
      <c r="E843" s="9" t="s">
        <v>3774</v>
      </c>
      <c r="F843" s="9" t="s">
        <v>3775</v>
      </c>
      <c r="G843" s="9">
        <v>35562</v>
      </c>
      <c r="H843" s="9" t="s">
        <v>3776</v>
      </c>
      <c r="I843" s="9">
        <v>184</v>
      </c>
      <c r="J843" s="9">
        <v>57</v>
      </c>
      <c r="K843" s="9">
        <v>17</v>
      </c>
    </row>
    <row r="844" spans="1:11" x14ac:dyDescent="0.4">
      <c r="A844" s="9" t="s">
        <v>315</v>
      </c>
      <c r="B844" s="9" t="s">
        <v>41</v>
      </c>
      <c r="C844" s="9">
        <v>11</v>
      </c>
      <c r="D844" s="9" t="s">
        <v>686</v>
      </c>
      <c r="E844" s="9" t="s">
        <v>3778</v>
      </c>
      <c r="F844" s="9" t="s">
        <v>3780</v>
      </c>
      <c r="G844" s="9">
        <v>34265</v>
      </c>
      <c r="H844" s="9" t="s">
        <v>3781</v>
      </c>
      <c r="I844" s="9">
        <v>175</v>
      </c>
      <c r="J844" s="9">
        <v>104</v>
      </c>
      <c r="K844" s="9">
        <v>10</v>
      </c>
    </row>
    <row r="845" spans="1:11" x14ac:dyDescent="0.4">
      <c r="A845" s="9" t="s">
        <v>315</v>
      </c>
      <c r="B845" s="9" t="s">
        <v>41</v>
      </c>
      <c r="C845" s="9">
        <v>12</v>
      </c>
      <c r="D845" s="9" t="s">
        <v>664</v>
      </c>
      <c r="E845" s="9" t="s">
        <v>3783</v>
      </c>
      <c r="F845" s="9" t="s">
        <v>3785</v>
      </c>
      <c r="G845" s="9">
        <v>34388</v>
      </c>
      <c r="H845" s="9" t="s">
        <v>3786</v>
      </c>
      <c r="I845" s="9">
        <v>189</v>
      </c>
      <c r="J845" s="9">
        <v>5</v>
      </c>
      <c r="K845" s="9">
        <v>0</v>
      </c>
    </row>
    <row r="846" spans="1:11" x14ac:dyDescent="0.4">
      <c r="A846" s="9" t="s">
        <v>315</v>
      </c>
      <c r="B846" s="9" t="s">
        <v>41</v>
      </c>
      <c r="C846" s="9">
        <v>13</v>
      </c>
      <c r="D846" s="9" t="s">
        <v>669</v>
      </c>
      <c r="E846" s="9" t="s">
        <v>3788</v>
      </c>
      <c r="F846" s="9" t="s">
        <v>3790</v>
      </c>
      <c r="G846" s="9">
        <v>35456</v>
      </c>
      <c r="H846" s="9" t="s">
        <v>3791</v>
      </c>
      <c r="I846" s="9">
        <v>188</v>
      </c>
      <c r="J846" s="9">
        <v>23</v>
      </c>
      <c r="K846" s="9">
        <v>2</v>
      </c>
    </row>
    <row r="847" spans="1:11" x14ac:dyDescent="0.4">
      <c r="A847" s="9" t="s">
        <v>315</v>
      </c>
      <c r="B847" s="9" t="s">
        <v>41</v>
      </c>
      <c r="C847" s="9">
        <v>14</v>
      </c>
      <c r="D847" s="9" t="s">
        <v>669</v>
      </c>
      <c r="E847" s="9" t="s">
        <v>3793</v>
      </c>
      <c r="F847" s="9" t="s">
        <v>3795</v>
      </c>
      <c r="G847" s="9">
        <v>36559</v>
      </c>
      <c r="H847" s="9" t="s">
        <v>1605</v>
      </c>
      <c r="I847" s="9">
        <v>184</v>
      </c>
      <c r="J847" s="9">
        <v>28</v>
      </c>
      <c r="K847" s="9">
        <v>3</v>
      </c>
    </row>
    <row r="848" spans="1:11" x14ac:dyDescent="0.4">
      <c r="A848" s="9" t="s">
        <v>315</v>
      </c>
      <c r="B848" s="9" t="s">
        <v>41</v>
      </c>
      <c r="C848" s="9">
        <v>15</v>
      </c>
      <c r="D848" s="9" t="s">
        <v>669</v>
      </c>
      <c r="E848" s="9" t="s">
        <v>3797</v>
      </c>
      <c r="F848" s="9" t="s">
        <v>3799</v>
      </c>
      <c r="G848" s="9">
        <v>33328</v>
      </c>
      <c r="H848" s="9" t="s">
        <v>3800</v>
      </c>
      <c r="I848" s="9">
        <v>180</v>
      </c>
      <c r="J848" s="9">
        <v>107</v>
      </c>
      <c r="K848" s="9">
        <v>9</v>
      </c>
    </row>
    <row r="849" spans="1:11" x14ac:dyDescent="0.4">
      <c r="A849" s="9" t="s">
        <v>315</v>
      </c>
      <c r="B849" s="9" t="s">
        <v>41</v>
      </c>
      <c r="C849" s="9">
        <v>16</v>
      </c>
      <c r="D849" s="9" t="s">
        <v>669</v>
      </c>
      <c r="E849" s="9" t="s">
        <v>3802</v>
      </c>
      <c r="F849" s="9" t="s">
        <v>3804</v>
      </c>
      <c r="G849" s="9">
        <v>36084</v>
      </c>
      <c r="H849" s="9" t="s">
        <v>920</v>
      </c>
      <c r="I849" s="9">
        <v>187</v>
      </c>
      <c r="J849" s="9">
        <v>50</v>
      </c>
      <c r="K849" s="9">
        <v>1</v>
      </c>
    </row>
    <row r="850" spans="1:11" x14ac:dyDescent="0.4">
      <c r="A850" s="9" t="s">
        <v>315</v>
      </c>
      <c r="B850" s="9" t="s">
        <v>41</v>
      </c>
      <c r="C850" s="9">
        <v>17</v>
      </c>
      <c r="D850" s="9" t="s">
        <v>691</v>
      </c>
      <c r="E850" s="9" t="s">
        <v>3806</v>
      </c>
      <c r="F850" s="9" t="s">
        <v>3808</v>
      </c>
      <c r="G850" s="9">
        <v>34199</v>
      </c>
      <c r="H850" s="9" t="s">
        <v>3809</v>
      </c>
      <c r="I850" s="9">
        <v>184</v>
      </c>
      <c r="J850" s="9">
        <v>68</v>
      </c>
      <c r="K850" s="9">
        <v>17</v>
      </c>
    </row>
    <row r="851" spans="1:11" x14ac:dyDescent="0.4">
      <c r="A851" s="9" t="s">
        <v>315</v>
      </c>
      <c r="B851" s="9" t="s">
        <v>41</v>
      </c>
      <c r="C851" s="9">
        <v>18</v>
      </c>
      <c r="D851" s="9" t="s">
        <v>691</v>
      </c>
      <c r="E851" s="9" t="s">
        <v>3811</v>
      </c>
      <c r="F851" s="9" t="s">
        <v>1394</v>
      </c>
      <c r="G851" s="9">
        <v>33341</v>
      </c>
      <c r="H851" s="9" t="s">
        <v>3813</v>
      </c>
      <c r="I851" s="9">
        <v>180</v>
      </c>
      <c r="J851" s="9">
        <v>55</v>
      </c>
      <c r="K851" s="9">
        <v>15</v>
      </c>
    </row>
    <row r="852" spans="1:11" x14ac:dyDescent="0.4">
      <c r="A852" s="9" t="s">
        <v>315</v>
      </c>
      <c r="B852" s="9" t="s">
        <v>41</v>
      </c>
      <c r="C852" s="9">
        <v>19</v>
      </c>
      <c r="D852" s="9" t="s">
        <v>686</v>
      </c>
      <c r="E852" s="9" t="s">
        <v>3815</v>
      </c>
      <c r="F852" s="9" t="s">
        <v>1650</v>
      </c>
      <c r="G852" s="9">
        <v>32129</v>
      </c>
      <c r="H852" s="9" t="s">
        <v>3800</v>
      </c>
      <c r="I852" s="9">
        <v>165</v>
      </c>
      <c r="J852" s="9">
        <v>141</v>
      </c>
      <c r="K852" s="9">
        <v>7</v>
      </c>
    </row>
    <row r="853" spans="1:11" x14ac:dyDescent="0.4">
      <c r="A853" s="9" t="s">
        <v>315</v>
      </c>
      <c r="B853" s="9" t="s">
        <v>41</v>
      </c>
      <c r="C853" s="9">
        <v>20</v>
      </c>
      <c r="D853" s="9" t="s">
        <v>686</v>
      </c>
      <c r="E853" s="9" t="s">
        <v>3818</v>
      </c>
      <c r="F853" s="9" t="s">
        <v>3820</v>
      </c>
      <c r="G853" s="9">
        <v>32914</v>
      </c>
      <c r="H853" s="9" t="s">
        <v>1358</v>
      </c>
      <c r="I853" s="9">
        <v>184</v>
      </c>
      <c r="J853" s="9">
        <v>159</v>
      </c>
      <c r="K853" s="9">
        <v>4</v>
      </c>
    </row>
    <row r="854" spans="1:11" x14ac:dyDescent="0.4">
      <c r="A854" s="9" t="s">
        <v>315</v>
      </c>
      <c r="B854" s="9" t="s">
        <v>41</v>
      </c>
      <c r="C854" s="9">
        <v>21</v>
      </c>
      <c r="D854" s="9" t="s">
        <v>686</v>
      </c>
      <c r="E854" s="9" t="s">
        <v>3822</v>
      </c>
      <c r="F854" s="9" t="s">
        <v>3824</v>
      </c>
      <c r="G854" s="9">
        <v>35092</v>
      </c>
      <c r="H854" s="9" t="s">
        <v>3825</v>
      </c>
      <c r="I854" s="9">
        <v>160</v>
      </c>
      <c r="J854" s="9">
        <v>56</v>
      </c>
      <c r="K854" s="9">
        <v>5</v>
      </c>
    </row>
    <row r="855" spans="1:11" x14ac:dyDescent="0.4">
      <c r="A855" s="9" t="s">
        <v>315</v>
      </c>
      <c r="B855" s="9" t="s">
        <v>41</v>
      </c>
      <c r="C855" s="9">
        <v>22</v>
      </c>
      <c r="D855" s="9" t="s">
        <v>664</v>
      </c>
      <c r="E855" s="9" t="s">
        <v>3827</v>
      </c>
      <c r="F855" s="9" t="s">
        <v>3829</v>
      </c>
      <c r="G855" s="9">
        <v>34693</v>
      </c>
      <c r="H855" s="9" t="s">
        <v>3830</v>
      </c>
      <c r="I855" s="9">
        <v>191</v>
      </c>
      <c r="J855" s="9">
        <v>48</v>
      </c>
      <c r="K855" s="9">
        <v>0</v>
      </c>
    </row>
    <row r="856" spans="1:11" x14ac:dyDescent="0.4">
      <c r="A856" s="9" t="s">
        <v>315</v>
      </c>
      <c r="B856" s="9" t="s">
        <v>41</v>
      </c>
      <c r="C856" s="9">
        <v>23</v>
      </c>
      <c r="D856" s="9" t="s">
        <v>669</v>
      </c>
      <c r="E856" s="9" t="s">
        <v>3831</v>
      </c>
      <c r="F856" s="9" t="s">
        <v>3833</v>
      </c>
      <c r="G856" s="9">
        <v>35106</v>
      </c>
      <c r="H856" s="9" t="s">
        <v>1852</v>
      </c>
      <c r="I856" s="9">
        <v>185</v>
      </c>
      <c r="J856" s="9">
        <v>94</v>
      </c>
      <c r="K856" s="9">
        <v>9</v>
      </c>
    </row>
    <row r="857" spans="1:11" x14ac:dyDescent="0.4">
      <c r="A857" s="9" t="s">
        <v>315</v>
      </c>
      <c r="B857" s="9" t="s">
        <v>41</v>
      </c>
      <c r="C857" s="9">
        <v>24</v>
      </c>
      <c r="D857" s="9" t="s">
        <v>691</v>
      </c>
      <c r="E857" s="9" t="s">
        <v>3835</v>
      </c>
      <c r="F857" s="9" t="s">
        <v>3837</v>
      </c>
      <c r="G857" s="9">
        <v>37063</v>
      </c>
      <c r="H857" s="9" t="s">
        <v>3809</v>
      </c>
      <c r="I857" s="9">
        <v>185</v>
      </c>
      <c r="J857" s="9">
        <v>11</v>
      </c>
      <c r="K857" s="9">
        <v>0</v>
      </c>
    </row>
    <row r="858" spans="1:11" x14ac:dyDescent="0.4">
      <c r="A858" s="9" t="s">
        <v>315</v>
      </c>
      <c r="B858" s="9" t="s">
        <v>41</v>
      </c>
      <c r="C858" s="9">
        <v>25</v>
      </c>
      <c r="D858" s="9" t="s">
        <v>669</v>
      </c>
      <c r="E858" s="9" t="s">
        <v>3839</v>
      </c>
      <c r="F858" s="9" t="s">
        <v>3841</v>
      </c>
      <c r="G858" s="9">
        <v>33697</v>
      </c>
      <c r="H858" s="9" t="s">
        <v>3842</v>
      </c>
      <c r="I858" s="9">
        <v>190</v>
      </c>
      <c r="J858" s="9">
        <v>50</v>
      </c>
      <c r="K858" s="9">
        <v>2</v>
      </c>
    </row>
    <row r="859" spans="1:11" x14ac:dyDescent="0.4">
      <c r="A859" s="9" t="s">
        <v>315</v>
      </c>
      <c r="B859" s="9" t="s">
        <v>41</v>
      </c>
      <c r="C859" s="9">
        <v>26</v>
      </c>
      <c r="D859" s="9" t="s">
        <v>669</v>
      </c>
      <c r="E859" s="9" t="s">
        <v>3844</v>
      </c>
      <c r="F859" s="9" t="s">
        <v>3387</v>
      </c>
      <c r="G859" s="9">
        <v>36039</v>
      </c>
      <c r="H859" s="9" t="s">
        <v>3846</v>
      </c>
      <c r="I859" s="9">
        <v>171</v>
      </c>
      <c r="J859" s="9">
        <v>18</v>
      </c>
      <c r="K859" s="9">
        <v>0</v>
      </c>
    </row>
    <row r="860" spans="1:11" x14ac:dyDescent="0.4">
      <c r="A860" s="9" t="s">
        <v>320</v>
      </c>
      <c r="B860" s="9" t="s">
        <v>47</v>
      </c>
      <c r="C860" s="9">
        <v>1</v>
      </c>
      <c r="D860" s="9" t="s">
        <v>664</v>
      </c>
      <c r="E860" s="9" t="s">
        <v>3848</v>
      </c>
      <c r="F860" s="9" t="s">
        <v>1555</v>
      </c>
      <c r="G860" s="9">
        <v>32231</v>
      </c>
      <c r="H860" s="9" t="s">
        <v>3850</v>
      </c>
      <c r="I860" s="9">
        <v>191</v>
      </c>
      <c r="J860" s="9">
        <v>31</v>
      </c>
      <c r="K860" s="9">
        <v>0</v>
      </c>
    </row>
    <row r="861" spans="1:11" x14ac:dyDescent="0.4">
      <c r="A861" s="9" t="s">
        <v>320</v>
      </c>
      <c r="B861" s="9" t="s">
        <v>47</v>
      </c>
      <c r="C861" s="9">
        <v>2</v>
      </c>
      <c r="D861" s="9" t="s">
        <v>669</v>
      </c>
      <c r="E861" s="9" t="s">
        <v>3852</v>
      </c>
      <c r="F861" s="9" t="s">
        <v>3854</v>
      </c>
      <c r="G861" s="9">
        <v>33345</v>
      </c>
      <c r="H861" s="9" t="s">
        <v>3850</v>
      </c>
      <c r="I861" s="9">
        <v>189</v>
      </c>
      <c r="J861" s="9">
        <v>13</v>
      </c>
      <c r="K861" s="9">
        <v>1</v>
      </c>
    </row>
    <row r="862" spans="1:11" x14ac:dyDescent="0.4">
      <c r="A862" s="9" t="s">
        <v>320</v>
      </c>
      <c r="B862" s="9" t="s">
        <v>47</v>
      </c>
      <c r="C862" s="9">
        <v>3</v>
      </c>
      <c r="D862" s="9" t="s">
        <v>669</v>
      </c>
      <c r="E862" s="9" t="s">
        <v>3856</v>
      </c>
      <c r="F862" s="9" t="s">
        <v>3858</v>
      </c>
      <c r="G862" s="9">
        <v>35425</v>
      </c>
      <c r="H862" s="9" t="s">
        <v>1735</v>
      </c>
      <c r="I862" s="9">
        <v>190</v>
      </c>
      <c r="J862" s="9">
        <v>36</v>
      </c>
      <c r="K862" s="9">
        <v>3</v>
      </c>
    </row>
    <row r="863" spans="1:11" x14ac:dyDescent="0.4">
      <c r="A863" s="9" t="s">
        <v>320</v>
      </c>
      <c r="B863" s="9" t="s">
        <v>47</v>
      </c>
      <c r="C863" s="9">
        <v>4</v>
      </c>
      <c r="D863" s="9" t="s">
        <v>669</v>
      </c>
      <c r="E863" s="9" t="s">
        <v>3860</v>
      </c>
      <c r="F863" s="9" t="s">
        <v>3862</v>
      </c>
      <c r="G863" s="9">
        <v>36678</v>
      </c>
      <c r="H863" s="9" t="s">
        <v>3379</v>
      </c>
      <c r="I863" s="9">
        <v>187</v>
      </c>
      <c r="J863" s="9">
        <v>17</v>
      </c>
      <c r="K863" s="9">
        <v>0</v>
      </c>
    </row>
    <row r="864" spans="1:11" x14ac:dyDescent="0.4">
      <c r="A864" s="9" t="s">
        <v>320</v>
      </c>
      <c r="B864" s="9" t="s">
        <v>47</v>
      </c>
      <c r="C864" s="9">
        <v>5</v>
      </c>
      <c r="D864" s="9" t="s">
        <v>669</v>
      </c>
      <c r="E864" s="9" t="s">
        <v>3864</v>
      </c>
      <c r="F864" s="9" t="s">
        <v>3866</v>
      </c>
      <c r="G864" s="9">
        <v>33473</v>
      </c>
      <c r="H864" s="9" t="s">
        <v>1197</v>
      </c>
      <c r="I864" s="9">
        <v>188</v>
      </c>
      <c r="J864" s="9">
        <v>48</v>
      </c>
      <c r="K864" s="9">
        <v>2</v>
      </c>
    </row>
    <row r="865" spans="1:11" x14ac:dyDescent="0.4">
      <c r="A865" s="9" t="s">
        <v>320</v>
      </c>
      <c r="B865" s="9" t="s">
        <v>47</v>
      </c>
      <c r="C865" s="9">
        <v>6</v>
      </c>
      <c r="D865" s="9" t="s">
        <v>669</v>
      </c>
      <c r="E865" s="9" t="s">
        <v>3868</v>
      </c>
      <c r="F865" s="9" t="s">
        <v>3870</v>
      </c>
      <c r="G865" s="9">
        <v>34009</v>
      </c>
      <c r="H865" s="9" t="s">
        <v>2180</v>
      </c>
      <c r="I865" s="9">
        <v>184</v>
      </c>
      <c r="J865" s="9">
        <v>71</v>
      </c>
      <c r="K865" s="9">
        <v>3</v>
      </c>
    </row>
    <row r="866" spans="1:11" x14ac:dyDescent="0.4">
      <c r="A866" s="9" t="s">
        <v>320</v>
      </c>
      <c r="B866" s="9" t="s">
        <v>47</v>
      </c>
      <c r="C866" s="9">
        <v>7</v>
      </c>
      <c r="D866" s="9" t="s">
        <v>686</v>
      </c>
      <c r="E866" s="9" t="s">
        <v>3872</v>
      </c>
      <c r="F866" s="9" t="s">
        <v>3874</v>
      </c>
      <c r="G866" s="9">
        <v>36403</v>
      </c>
      <c r="H866" s="9" t="s">
        <v>1543</v>
      </c>
      <c r="I866" s="9">
        <v>178</v>
      </c>
      <c r="J866" s="9">
        <v>29</v>
      </c>
      <c r="K866" s="9">
        <v>1</v>
      </c>
    </row>
    <row r="867" spans="1:11" x14ac:dyDescent="0.4">
      <c r="A867" s="9" t="s">
        <v>320</v>
      </c>
      <c r="B867" s="9" t="s">
        <v>47</v>
      </c>
      <c r="C867" s="9">
        <v>8</v>
      </c>
      <c r="D867" s="9" t="s">
        <v>686</v>
      </c>
      <c r="E867" s="9" t="s">
        <v>3876</v>
      </c>
      <c r="F867" s="9" t="s">
        <v>3878</v>
      </c>
      <c r="G867" s="9">
        <v>37707</v>
      </c>
      <c r="H867" s="9" t="s">
        <v>981</v>
      </c>
      <c r="I867" s="9">
        <v>183</v>
      </c>
      <c r="J867" s="9">
        <v>24</v>
      </c>
      <c r="K867" s="9">
        <v>3</v>
      </c>
    </row>
    <row r="868" spans="1:11" x14ac:dyDescent="0.4">
      <c r="A868" s="9" t="s">
        <v>320</v>
      </c>
      <c r="B868" s="9" t="s">
        <v>47</v>
      </c>
      <c r="C868" s="9">
        <v>9</v>
      </c>
      <c r="D868" s="9" t="s">
        <v>691</v>
      </c>
      <c r="E868" s="9" t="s">
        <v>3880</v>
      </c>
      <c r="F868" s="9" t="s">
        <v>3882</v>
      </c>
      <c r="G868" s="9">
        <v>35128</v>
      </c>
      <c r="H868" s="9" t="s">
        <v>3656</v>
      </c>
      <c r="I868" s="9">
        <v>180</v>
      </c>
      <c r="J868" s="9">
        <v>48</v>
      </c>
      <c r="K868" s="9">
        <v>7</v>
      </c>
    </row>
    <row r="869" spans="1:11" x14ac:dyDescent="0.4">
      <c r="A869" s="9" t="s">
        <v>320</v>
      </c>
      <c r="B869" s="9" t="s">
        <v>47</v>
      </c>
      <c r="C869" s="9">
        <v>10</v>
      </c>
      <c r="D869" s="9" t="s">
        <v>686</v>
      </c>
      <c r="E869" s="9" t="s">
        <v>3884</v>
      </c>
      <c r="F869" s="9" t="s">
        <v>3886</v>
      </c>
      <c r="G869" s="9">
        <v>34375</v>
      </c>
      <c r="H869" s="9" t="s">
        <v>3887</v>
      </c>
      <c r="I869" s="9">
        <v>178</v>
      </c>
      <c r="J869" s="9">
        <v>76</v>
      </c>
      <c r="K869" s="9">
        <v>10</v>
      </c>
    </row>
    <row r="870" spans="1:11" x14ac:dyDescent="0.4">
      <c r="A870" s="9" t="s">
        <v>320</v>
      </c>
      <c r="B870" s="9" t="s">
        <v>47</v>
      </c>
      <c r="C870" s="9">
        <v>11</v>
      </c>
      <c r="D870" s="9" t="s">
        <v>686</v>
      </c>
      <c r="E870" s="9" t="s">
        <v>3889</v>
      </c>
      <c r="F870" s="9" t="s">
        <v>3889</v>
      </c>
      <c r="G870" s="9">
        <v>37064</v>
      </c>
      <c r="H870" s="9" t="s">
        <v>1543</v>
      </c>
      <c r="I870" s="9">
        <v>175</v>
      </c>
      <c r="J870" s="9">
        <v>3</v>
      </c>
      <c r="K870" s="9">
        <v>0</v>
      </c>
    </row>
    <row r="871" spans="1:11" x14ac:dyDescent="0.4">
      <c r="A871" s="9" t="s">
        <v>320</v>
      </c>
      <c r="B871" s="9" t="s">
        <v>47</v>
      </c>
      <c r="C871" s="9">
        <v>12</v>
      </c>
      <c r="D871" s="9" t="s">
        <v>664</v>
      </c>
      <c r="E871" s="9" t="s">
        <v>3892</v>
      </c>
      <c r="F871" s="9" t="s">
        <v>3894</v>
      </c>
      <c r="G871" s="9">
        <v>36688</v>
      </c>
      <c r="H871" s="9" t="s">
        <v>3895</v>
      </c>
      <c r="I871" s="9">
        <v>190</v>
      </c>
      <c r="J871" s="9">
        <v>6</v>
      </c>
      <c r="K871" s="9">
        <v>0</v>
      </c>
    </row>
    <row r="872" spans="1:11" x14ac:dyDescent="0.4">
      <c r="A872" s="9" t="s">
        <v>320</v>
      </c>
      <c r="B872" s="9" t="s">
        <v>47</v>
      </c>
      <c r="C872" s="9">
        <v>13</v>
      </c>
      <c r="D872" s="9" t="s">
        <v>669</v>
      </c>
      <c r="E872" s="9" t="s">
        <v>3897</v>
      </c>
      <c r="F872" s="9" t="s">
        <v>3899</v>
      </c>
      <c r="G872" s="9">
        <v>35266</v>
      </c>
      <c r="H872" s="9" t="s">
        <v>3900</v>
      </c>
      <c r="I872" s="9">
        <v>192</v>
      </c>
      <c r="J872" s="9">
        <v>2</v>
      </c>
      <c r="K872" s="9">
        <v>0</v>
      </c>
    </row>
    <row r="873" spans="1:11" x14ac:dyDescent="0.4">
      <c r="A873" s="9" t="s">
        <v>320</v>
      </c>
      <c r="B873" s="9" t="s">
        <v>47</v>
      </c>
      <c r="C873" s="9">
        <v>14</v>
      </c>
      <c r="D873" s="9" t="s">
        <v>686</v>
      </c>
      <c r="E873" s="9" t="s">
        <v>3902</v>
      </c>
      <c r="F873" s="9" t="s">
        <v>3904</v>
      </c>
      <c r="G873" s="9">
        <v>35196</v>
      </c>
      <c r="H873" s="9" t="s">
        <v>3905</v>
      </c>
      <c r="I873" s="9">
        <v>166</v>
      </c>
      <c r="J873" s="9">
        <v>33</v>
      </c>
      <c r="K873" s="9">
        <v>0</v>
      </c>
    </row>
    <row r="874" spans="1:11" x14ac:dyDescent="0.4">
      <c r="A874" s="9" t="s">
        <v>320</v>
      </c>
      <c r="B874" s="9" t="s">
        <v>47</v>
      </c>
      <c r="C874" s="9">
        <v>15</v>
      </c>
      <c r="D874" s="9" t="s">
        <v>669</v>
      </c>
      <c r="E874" s="9" t="s">
        <v>3906</v>
      </c>
      <c r="F874" s="9" t="s">
        <v>3908</v>
      </c>
      <c r="G874" s="9">
        <v>34095</v>
      </c>
      <c r="H874" s="9" t="s">
        <v>1543</v>
      </c>
      <c r="I874" s="9">
        <v>179</v>
      </c>
      <c r="J874" s="9">
        <v>89</v>
      </c>
      <c r="K874" s="9">
        <v>4</v>
      </c>
    </row>
    <row r="875" spans="1:11" x14ac:dyDescent="0.4">
      <c r="A875" s="9" t="s">
        <v>320</v>
      </c>
      <c r="B875" s="9" t="s">
        <v>47</v>
      </c>
      <c r="C875" s="9">
        <v>16</v>
      </c>
      <c r="D875" s="9" t="s">
        <v>686</v>
      </c>
      <c r="E875" s="9" t="s">
        <v>3910</v>
      </c>
      <c r="F875" s="9" t="s">
        <v>3912</v>
      </c>
      <c r="G875" s="9">
        <v>37083</v>
      </c>
      <c r="H875" s="9" t="s">
        <v>3913</v>
      </c>
      <c r="I875" s="9">
        <v>180</v>
      </c>
      <c r="J875" s="9">
        <v>19</v>
      </c>
      <c r="K875" s="9">
        <v>1</v>
      </c>
    </row>
    <row r="876" spans="1:11" x14ac:dyDescent="0.4">
      <c r="A876" s="9" t="s">
        <v>320</v>
      </c>
      <c r="B876" s="9" t="s">
        <v>47</v>
      </c>
      <c r="C876" s="9">
        <v>17</v>
      </c>
      <c r="D876" s="9" t="s">
        <v>691</v>
      </c>
      <c r="E876" s="9" t="s">
        <v>3915</v>
      </c>
      <c r="F876" s="9" t="s">
        <v>3917</v>
      </c>
      <c r="G876" s="9">
        <v>34710</v>
      </c>
      <c r="H876" s="9" t="s">
        <v>2253</v>
      </c>
      <c r="I876" s="9">
        <v>165</v>
      </c>
      <c r="J876" s="9">
        <v>33</v>
      </c>
      <c r="K876" s="9">
        <v>6</v>
      </c>
    </row>
    <row r="877" spans="1:11" x14ac:dyDescent="0.4">
      <c r="A877" s="9" t="s">
        <v>320</v>
      </c>
      <c r="B877" s="9" t="s">
        <v>47</v>
      </c>
      <c r="C877" s="9">
        <v>18</v>
      </c>
      <c r="D877" s="9" t="s">
        <v>691</v>
      </c>
      <c r="E877" s="9" t="s">
        <v>3919</v>
      </c>
      <c r="F877" s="9" t="s">
        <v>3921</v>
      </c>
      <c r="G877" s="9">
        <v>34866</v>
      </c>
      <c r="H877" s="9" t="s">
        <v>3922</v>
      </c>
      <c r="I877" s="9">
        <v>188</v>
      </c>
      <c r="J877" s="9">
        <v>15</v>
      </c>
      <c r="K877" s="9">
        <v>1</v>
      </c>
    </row>
    <row r="878" spans="1:11" x14ac:dyDescent="0.4">
      <c r="A878" s="9" t="s">
        <v>320</v>
      </c>
      <c r="B878" s="9" t="s">
        <v>47</v>
      </c>
      <c r="C878" s="9">
        <v>19</v>
      </c>
      <c r="D878" s="9" t="s">
        <v>691</v>
      </c>
      <c r="E878" s="9" t="s">
        <v>3924</v>
      </c>
      <c r="F878" s="9" t="s">
        <v>3926</v>
      </c>
      <c r="G878" s="9">
        <v>38009</v>
      </c>
      <c r="H878" s="9" t="s">
        <v>1011</v>
      </c>
      <c r="I878" s="9">
        <v>168</v>
      </c>
      <c r="J878" s="9">
        <v>32</v>
      </c>
      <c r="K878" s="9">
        <v>4</v>
      </c>
    </row>
    <row r="879" spans="1:11" x14ac:dyDescent="0.4">
      <c r="A879" s="9" t="s">
        <v>320</v>
      </c>
      <c r="B879" s="9" t="s">
        <v>47</v>
      </c>
      <c r="C879" s="9">
        <v>20</v>
      </c>
      <c r="D879" s="9" t="s">
        <v>686</v>
      </c>
      <c r="E879" s="9" t="s">
        <v>3928</v>
      </c>
      <c r="F879" s="9" t="s">
        <v>3930</v>
      </c>
      <c r="G879" s="9">
        <v>36704</v>
      </c>
      <c r="H879" s="9" t="s">
        <v>1435</v>
      </c>
      <c r="I879" s="9">
        <v>173</v>
      </c>
      <c r="J879" s="9">
        <v>17</v>
      </c>
      <c r="K879" s="9">
        <v>0</v>
      </c>
    </row>
    <row r="880" spans="1:11" x14ac:dyDescent="0.4">
      <c r="A880" s="9" t="s">
        <v>320</v>
      </c>
      <c r="B880" s="9" t="s">
        <v>47</v>
      </c>
      <c r="C880" s="9">
        <v>21</v>
      </c>
      <c r="D880" s="9" t="s">
        <v>691</v>
      </c>
      <c r="E880" s="9" t="s">
        <v>3932</v>
      </c>
      <c r="F880" s="9" t="s">
        <v>3933</v>
      </c>
      <c r="G880" s="9">
        <v>33428</v>
      </c>
      <c r="H880" s="9" t="s">
        <v>1580</v>
      </c>
      <c r="I880" s="9">
        <v>185</v>
      </c>
      <c r="J880" s="9">
        <v>23</v>
      </c>
      <c r="K880" s="9">
        <v>2</v>
      </c>
    </row>
    <row r="881" spans="1:11" x14ac:dyDescent="0.4">
      <c r="A881" s="9" t="s">
        <v>320</v>
      </c>
      <c r="B881" s="9" t="s">
        <v>47</v>
      </c>
      <c r="C881" s="9">
        <v>22</v>
      </c>
      <c r="D881" s="9" t="s">
        <v>664</v>
      </c>
      <c r="E881" s="9" t="s">
        <v>3935</v>
      </c>
      <c r="F881" s="9" t="s">
        <v>3937</v>
      </c>
      <c r="G881" s="9">
        <v>34080</v>
      </c>
      <c r="H881" s="9" t="s">
        <v>3938</v>
      </c>
      <c r="I881" s="9">
        <v>191</v>
      </c>
      <c r="J881" s="9">
        <v>1</v>
      </c>
      <c r="K881" s="9">
        <v>0</v>
      </c>
    </row>
    <row r="882" spans="1:11" x14ac:dyDescent="0.4">
      <c r="A882" s="9" t="s">
        <v>320</v>
      </c>
      <c r="B882" s="9" t="s">
        <v>47</v>
      </c>
      <c r="C882" s="9">
        <v>23</v>
      </c>
      <c r="D882" s="9" t="s">
        <v>686</v>
      </c>
      <c r="E882" s="9" t="s">
        <v>3940</v>
      </c>
      <c r="F882" s="9" t="s">
        <v>3941</v>
      </c>
      <c r="G882" s="9">
        <v>37298</v>
      </c>
      <c r="H882" s="9" t="s">
        <v>3887</v>
      </c>
      <c r="I882" s="9">
        <v>175</v>
      </c>
      <c r="J882" s="9">
        <v>15</v>
      </c>
      <c r="K882" s="9">
        <v>3</v>
      </c>
    </row>
    <row r="883" spans="1:11" x14ac:dyDescent="0.4">
      <c r="A883" s="9" t="s">
        <v>320</v>
      </c>
      <c r="B883" s="9" t="s">
        <v>47</v>
      </c>
      <c r="C883" s="9">
        <v>24</v>
      </c>
      <c r="D883" s="9" t="s">
        <v>686</v>
      </c>
      <c r="E883" s="9" t="s">
        <v>3943</v>
      </c>
      <c r="F883" s="9" t="s">
        <v>3945</v>
      </c>
      <c r="G883" s="9">
        <v>37155</v>
      </c>
      <c r="H883" s="9" t="s">
        <v>3946</v>
      </c>
      <c r="I883" s="9">
        <v>189</v>
      </c>
      <c r="J883" s="9">
        <v>2</v>
      </c>
      <c r="K883" s="9">
        <v>1</v>
      </c>
    </row>
    <row r="884" spans="1:11" x14ac:dyDescent="0.4">
      <c r="A884" s="9" t="s">
        <v>320</v>
      </c>
      <c r="B884" s="9" t="s">
        <v>47</v>
      </c>
      <c r="C884" s="9">
        <v>25</v>
      </c>
      <c r="D884" s="9" t="s">
        <v>691</v>
      </c>
      <c r="E884" s="9" t="s">
        <v>3948</v>
      </c>
      <c r="F884" s="9" t="s">
        <v>3950</v>
      </c>
      <c r="G884" s="9">
        <v>36386</v>
      </c>
      <c r="H884" s="9" t="s">
        <v>3951</v>
      </c>
      <c r="I884" s="9">
        <v>185</v>
      </c>
      <c r="J884" s="9">
        <v>5</v>
      </c>
      <c r="K884" s="9">
        <v>0</v>
      </c>
    </row>
    <row r="885" spans="1:11" x14ac:dyDescent="0.4">
      <c r="A885" s="9" t="s">
        <v>320</v>
      </c>
      <c r="B885" s="9" t="s">
        <v>47</v>
      </c>
      <c r="C885" s="9">
        <v>26</v>
      </c>
      <c r="D885" s="9" t="s">
        <v>669</v>
      </c>
      <c r="E885" s="9" t="s">
        <v>3953</v>
      </c>
      <c r="F885" s="9" t="s">
        <v>3955</v>
      </c>
      <c r="G885" s="9">
        <v>38559</v>
      </c>
      <c r="H885" s="9" t="s">
        <v>3956</v>
      </c>
      <c r="I885" s="9">
        <v>173</v>
      </c>
      <c r="J885" s="9">
        <v>2</v>
      </c>
      <c r="K885" s="9">
        <v>1</v>
      </c>
    </row>
    <row r="886" spans="1:11" x14ac:dyDescent="0.4">
      <c r="A886" s="9" t="s">
        <v>299</v>
      </c>
      <c r="B886" s="9" t="s">
        <v>25</v>
      </c>
      <c r="C886" s="9">
        <v>1</v>
      </c>
      <c r="D886" s="9" t="s">
        <v>664</v>
      </c>
      <c r="E886" s="9" t="s">
        <v>3958</v>
      </c>
      <c r="F886" s="9" t="s">
        <v>3958</v>
      </c>
      <c r="G886" s="9">
        <v>36422</v>
      </c>
      <c r="H886" s="9" t="s">
        <v>1807</v>
      </c>
      <c r="I886" s="9">
        <v>188</v>
      </c>
      <c r="J886" s="9">
        <v>43</v>
      </c>
      <c r="K886" s="9">
        <v>0</v>
      </c>
    </row>
    <row r="887" spans="1:11" x14ac:dyDescent="0.4">
      <c r="A887" s="9" t="s">
        <v>299</v>
      </c>
      <c r="B887" s="9" t="s">
        <v>25</v>
      </c>
      <c r="C887" s="9">
        <v>2</v>
      </c>
      <c r="D887" s="9" t="s">
        <v>669</v>
      </c>
      <c r="E887" s="9" t="s">
        <v>3961</v>
      </c>
      <c r="F887" s="9" t="s">
        <v>3963</v>
      </c>
      <c r="G887" s="9">
        <v>34289</v>
      </c>
      <c r="H887" s="9" t="s">
        <v>1239</v>
      </c>
      <c r="I887" s="9">
        <v>179</v>
      </c>
      <c r="J887" s="9">
        <v>50</v>
      </c>
      <c r="K887" s="9">
        <v>0</v>
      </c>
    </row>
    <row r="888" spans="1:11" x14ac:dyDescent="0.4">
      <c r="A888" s="9" t="s">
        <v>299</v>
      </c>
      <c r="B888" s="9" t="s">
        <v>25</v>
      </c>
      <c r="C888" s="9">
        <v>3</v>
      </c>
      <c r="D888" s="9" t="s">
        <v>669</v>
      </c>
      <c r="E888" s="9" t="s">
        <v>3965</v>
      </c>
      <c r="F888" s="9" t="s">
        <v>3967</v>
      </c>
      <c r="G888" s="9">
        <v>35564</v>
      </c>
      <c r="H888" s="9" t="s">
        <v>727</v>
      </c>
      <c r="I888" s="9">
        <v>187</v>
      </c>
      <c r="J888" s="9">
        <v>76</v>
      </c>
      <c r="K888" s="9">
        <v>3</v>
      </c>
    </row>
    <row r="889" spans="1:11" x14ac:dyDescent="0.4">
      <c r="A889" s="9" t="s">
        <v>299</v>
      </c>
      <c r="B889" s="9" t="s">
        <v>25</v>
      </c>
      <c r="C889" s="9">
        <v>4</v>
      </c>
      <c r="D889" s="9" t="s">
        <v>669</v>
      </c>
      <c r="E889" s="9" t="s">
        <v>3969</v>
      </c>
      <c r="F889" s="9" t="s">
        <v>3971</v>
      </c>
      <c r="G889" s="9">
        <v>37392</v>
      </c>
      <c r="H889" s="9" t="s">
        <v>1083</v>
      </c>
      <c r="I889" s="9">
        <v>187</v>
      </c>
      <c r="J889" s="9">
        <v>5</v>
      </c>
      <c r="K889" s="9">
        <v>0</v>
      </c>
    </row>
    <row r="890" spans="1:11" x14ac:dyDescent="0.4">
      <c r="A890" s="9" t="s">
        <v>299</v>
      </c>
      <c r="B890" s="9" t="s">
        <v>25</v>
      </c>
      <c r="C890" s="9">
        <v>5</v>
      </c>
      <c r="D890" s="9" t="s">
        <v>669</v>
      </c>
      <c r="E890" s="9" t="s">
        <v>3973</v>
      </c>
      <c r="F890" s="9" t="s">
        <v>3975</v>
      </c>
      <c r="G890" s="9">
        <v>36237</v>
      </c>
      <c r="H890" s="9" t="s">
        <v>1007</v>
      </c>
      <c r="I890" s="9">
        <v>184</v>
      </c>
      <c r="J890" s="9">
        <v>35</v>
      </c>
      <c r="K890" s="9">
        <v>3</v>
      </c>
    </row>
    <row r="891" spans="1:11" x14ac:dyDescent="0.4">
      <c r="A891" s="9" t="s">
        <v>299</v>
      </c>
      <c r="B891" s="9" t="s">
        <v>25</v>
      </c>
      <c r="C891" s="9">
        <v>6</v>
      </c>
      <c r="D891" s="9" t="s">
        <v>686</v>
      </c>
      <c r="E891" s="9" t="s">
        <v>3977</v>
      </c>
      <c r="F891" s="9" t="s">
        <v>3979</v>
      </c>
      <c r="G891" s="9">
        <v>36034</v>
      </c>
      <c r="H891" s="9" t="s">
        <v>727</v>
      </c>
      <c r="I891" s="9">
        <v>183</v>
      </c>
      <c r="J891" s="9">
        <v>20</v>
      </c>
      <c r="K891" s="9">
        <v>2</v>
      </c>
    </row>
    <row r="892" spans="1:11" x14ac:dyDescent="0.4">
      <c r="A892" s="9" t="s">
        <v>299</v>
      </c>
      <c r="B892" s="9" t="s">
        <v>25</v>
      </c>
      <c r="C892" s="9">
        <v>7</v>
      </c>
      <c r="D892" s="9" t="s">
        <v>691</v>
      </c>
      <c r="E892" s="9" t="s">
        <v>3981</v>
      </c>
      <c r="F892" s="9" t="s">
        <v>3983</v>
      </c>
      <c r="G892" s="9">
        <v>31083</v>
      </c>
      <c r="H892" s="9" t="s">
        <v>3984</v>
      </c>
      <c r="I892" s="9">
        <v>185</v>
      </c>
      <c r="J892" s="9">
        <v>228</v>
      </c>
      <c r="K892" s="9">
        <v>143</v>
      </c>
    </row>
    <row r="893" spans="1:11" x14ac:dyDescent="0.4">
      <c r="A893" s="9" t="s">
        <v>299</v>
      </c>
      <c r="B893" s="9" t="s">
        <v>25</v>
      </c>
      <c r="C893" s="9">
        <v>8</v>
      </c>
      <c r="D893" s="9" t="s">
        <v>686</v>
      </c>
      <c r="E893" s="9" t="s">
        <v>3986</v>
      </c>
      <c r="F893" s="9" t="s">
        <v>3988</v>
      </c>
      <c r="G893" s="9">
        <v>34585</v>
      </c>
      <c r="H893" s="9" t="s">
        <v>1007</v>
      </c>
      <c r="I893" s="9">
        <v>183</v>
      </c>
      <c r="J893" s="9">
        <v>89</v>
      </c>
      <c r="K893" s="9">
        <v>29</v>
      </c>
    </row>
    <row r="894" spans="1:11" x14ac:dyDescent="0.4">
      <c r="A894" s="9" t="s">
        <v>299</v>
      </c>
      <c r="B894" s="9" t="s">
        <v>25</v>
      </c>
      <c r="C894" s="9">
        <v>9</v>
      </c>
      <c r="D894" s="9" t="s">
        <v>691</v>
      </c>
      <c r="E894" s="9" t="s">
        <v>3990</v>
      </c>
      <c r="F894" s="9" t="s">
        <v>3992</v>
      </c>
      <c r="G894" s="9">
        <v>37062</v>
      </c>
      <c r="H894" s="9" t="s">
        <v>1165</v>
      </c>
      <c r="I894" s="9">
        <v>185</v>
      </c>
      <c r="J894" s="9">
        <v>25</v>
      </c>
      <c r="K894" s="9">
        <v>10</v>
      </c>
    </row>
    <row r="895" spans="1:11" x14ac:dyDescent="0.4">
      <c r="A895" s="9" t="s">
        <v>299</v>
      </c>
      <c r="B895" s="9" t="s">
        <v>25</v>
      </c>
      <c r="C895" s="9">
        <v>10</v>
      </c>
      <c r="D895" s="9" t="s">
        <v>686</v>
      </c>
      <c r="E895" s="9" t="s">
        <v>3994</v>
      </c>
      <c r="F895" s="9" t="s">
        <v>3996</v>
      </c>
      <c r="G895" s="9">
        <v>34556</v>
      </c>
      <c r="H895" s="9" t="s">
        <v>727</v>
      </c>
      <c r="I895" s="9">
        <v>173</v>
      </c>
      <c r="J895" s="9">
        <v>109</v>
      </c>
      <c r="K895" s="9">
        <v>14</v>
      </c>
    </row>
    <row r="896" spans="1:11" x14ac:dyDescent="0.4">
      <c r="A896" s="9" t="s">
        <v>299</v>
      </c>
      <c r="B896" s="9" t="s">
        <v>25</v>
      </c>
      <c r="C896" s="9">
        <v>11</v>
      </c>
      <c r="D896" s="9" t="s">
        <v>691</v>
      </c>
      <c r="E896" s="9" t="s">
        <v>3998</v>
      </c>
      <c r="F896" s="9" t="s">
        <v>4000</v>
      </c>
      <c r="G896" s="9">
        <v>36474</v>
      </c>
      <c r="H896" s="9" t="s">
        <v>3984</v>
      </c>
      <c r="I896" s="9">
        <v>179</v>
      </c>
      <c r="J896" s="9">
        <v>54</v>
      </c>
      <c r="K896" s="9">
        <v>12</v>
      </c>
    </row>
    <row r="897" spans="1:11" x14ac:dyDescent="0.4">
      <c r="A897" s="9" t="s">
        <v>299</v>
      </c>
      <c r="B897" s="9" t="s">
        <v>25</v>
      </c>
      <c r="C897" s="9">
        <v>12</v>
      </c>
      <c r="D897" s="9" t="s">
        <v>664</v>
      </c>
      <c r="E897" s="9" t="s">
        <v>4002</v>
      </c>
      <c r="F897" s="9" t="s">
        <v>4004</v>
      </c>
      <c r="G897" s="9">
        <v>33986</v>
      </c>
      <c r="H897" s="9" t="s">
        <v>2068</v>
      </c>
      <c r="I897" s="9">
        <v>192</v>
      </c>
      <c r="J897" s="9">
        <v>5</v>
      </c>
      <c r="K897" s="9">
        <v>0</v>
      </c>
    </row>
    <row r="898" spans="1:11" x14ac:dyDescent="0.4">
      <c r="A898" s="9" t="s">
        <v>299</v>
      </c>
      <c r="B898" s="9" t="s">
        <v>25</v>
      </c>
      <c r="C898" s="9">
        <v>13</v>
      </c>
      <c r="D898" s="9" t="s">
        <v>669</v>
      </c>
      <c r="E898" s="9" t="s">
        <v>4006</v>
      </c>
      <c r="F898" s="9" t="s">
        <v>4006</v>
      </c>
      <c r="G898" s="9">
        <v>37831</v>
      </c>
      <c r="H898" s="9" t="s">
        <v>1274</v>
      </c>
      <c r="I898" s="9">
        <v>188</v>
      </c>
      <c r="J898" s="9">
        <v>13</v>
      </c>
      <c r="K898" s="9">
        <v>1</v>
      </c>
    </row>
    <row r="899" spans="1:11" x14ac:dyDescent="0.4">
      <c r="A899" s="9" t="s">
        <v>299</v>
      </c>
      <c r="B899" s="9" t="s">
        <v>25</v>
      </c>
      <c r="C899" s="9">
        <v>14</v>
      </c>
      <c r="D899" s="9" t="s">
        <v>669</v>
      </c>
      <c r="E899" s="9" t="s">
        <v>4009</v>
      </c>
      <c r="F899" s="9" t="s">
        <v>4010</v>
      </c>
      <c r="G899" s="9">
        <v>37128</v>
      </c>
      <c r="H899" s="9" t="s">
        <v>970</v>
      </c>
      <c r="I899" s="9">
        <v>185</v>
      </c>
      <c r="J899" s="9">
        <v>22</v>
      </c>
      <c r="K899" s="9">
        <v>2</v>
      </c>
    </row>
    <row r="900" spans="1:11" x14ac:dyDescent="0.4">
      <c r="A900" s="9" t="s">
        <v>299</v>
      </c>
      <c r="B900" s="9" t="s">
        <v>25</v>
      </c>
      <c r="C900" s="9">
        <v>15</v>
      </c>
      <c r="D900" s="9" t="s">
        <v>686</v>
      </c>
      <c r="E900" s="9" t="s">
        <v>4012</v>
      </c>
      <c r="F900" s="9" t="s">
        <v>4014</v>
      </c>
      <c r="G900" s="9">
        <v>38257</v>
      </c>
      <c r="H900" s="9" t="s">
        <v>1165</v>
      </c>
      <c r="I900" s="9">
        <v>171</v>
      </c>
      <c r="J900" s="9">
        <v>22</v>
      </c>
      <c r="K900" s="9">
        <v>3</v>
      </c>
    </row>
    <row r="901" spans="1:11" x14ac:dyDescent="0.4">
      <c r="A901" s="9" t="s">
        <v>299</v>
      </c>
      <c r="B901" s="9" t="s">
        <v>25</v>
      </c>
      <c r="C901" s="9">
        <v>16</v>
      </c>
      <c r="D901" s="9" t="s">
        <v>691</v>
      </c>
      <c r="E901" s="9" t="s">
        <v>4016</v>
      </c>
      <c r="F901" s="9" t="s">
        <v>4018</v>
      </c>
      <c r="G901" s="9">
        <v>36523</v>
      </c>
      <c r="H901" s="9" t="s">
        <v>970</v>
      </c>
      <c r="I901" s="9">
        <v>184</v>
      </c>
      <c r="J901" s="9">
        <v>18</v>
      </c>
      <c r="K901" s="9">
        <v>3</v>
      </c>
    </row>
    <row r="902" spans="1:11" x14ac:dyDescent="0.4">
      <c r="A902" s="9" t="s">
        <v>299</v>
      </c>
      <c r="B902" s="9" t="s">
        <v>25</v>
      </c>
      <c r="C902" s="9">
        <v>17</v>
      </c>
      <c r="D902" s="9" t="s">
        <v>691</v>
      </c>
      <c r="E902" s="9" t="s">
        <v>4020</v>
      </c>
      <c r="F902" s="9" t="s">
        <v>4022</v>
      </c>
      <c r="G902" s="9">
        <v>36321</v>
      </c>
      <c r="H902" s="9" t="s">
        <v>1023</v>
      </c>
      <c r="I902" s="9">
        <v>188</v>
      </c>
      <c r="J902" s="9">
        <v>44</v>
      </c>
      <c r="K902" s="9">
        <v>5</v>
      </c>
    </row>
    <row r="903" spans="1:11" x14ac:dyDescent="0.4">
      <c r="A903" s="9" t="s">
        <v>299</v>
      </c>
      <c r="B903" s="9" t="s">
        <v>25</v>
      </c>
      <c r="C903" s="9">
        <v>18</v>
      </c>
      <c r="D903" s="9" t="s">
        <v>691</v>
      </c>
      <c r="E903" s="9" t="s">
        <v>4024</v>
      </c>
      <c r="F903" s="9" t="s">
        <v>4026</v>
      </c>
      <c r="G903" s="9">
        <v>36594</v>
      </c>
      <c r="H903" s="9" t="s">
        <v>1554</v>
      </c>
      <c r="I903" s="9">
        <v>174</v>
      </c>
      <c r="J903" s="9">
        <v>25</v>
      </c>
      <c r="K903" s="9">
        <v>3</v>
      </c>
    </row>
    <row r="904" spans="1:11" x14ac:dyDescent="0.4">
      <c r="A904" s="9" t="s">
        <v>299</v>
      </c>
      <c r="B904" s="9" t="s">
        <v>25</v>
      </c>
      <c r="C904" s="9">
        <v>19</v>
      </c>
      <c r="D904" s="9" t="s">
        <v>691</v>
      </c>
      <c r="E904" s="9" t="s">
        <v>4028</v>
      </c>
      <c r="F904" s="9" t="s">
        <v>4030</v>
      </c>
      <c r="G904" s="9">
        <v>35398</v>
      </c>
      <c r="H904" s="9" t="s">
        <v>1890</v>
      </c>
      <c r="I904" s="9">
        <v>179</v>
      </c>
      <c r="J904" s="9">
        <v>34</v>
      </c>
      <c r="K904" s="9">
        <v>8</v>
      </c>
    </row>
    <row r="905" spans="1:11" x14ac:dyDescent="0.4">
      <c r="A905" s="9" t="s">
        <v>299</v>
      </c>
      <c r="B905" s="9" t="s">
        <v>25</v>
      </c>
      <c r="C905" s="9">
        <v>20</v>
      </c>
      <c r="D905" s="9" t="s">
        <v>669</v>
      </c>
      <c r="E905" s="9" t="s">
        <v>4032</v>
      </c>
      <c r="F905" s="9" t="s">
        <v>4033</v>
      </c>
      <c r="G905" s="9">
        <v>34481</v>
      </c>
      <c r="H905" s="9" t="s">
        <v>1193</v>
      </c>
      <c r="I905" s="9">
        <v>173</v>
      </c>
      <c r="J905" s="9">
        <v>68</v>
      </c>
      <c r="K905" s="9">
        <v>12</v>
      </c>
    </row>
    <row r="906" spans="1:11" x14ac:dyDescent="0.4">
      <c r="A906" s="9" t="s">
        <v>299</v>
      </c>
      <c r="B906" s="9" t="s">
        <v>25</v>
      </c>
      <c r="C906" s="9">
        <v>21</v>
      </c>
      <c r="D906" s="9" t="s">
        <v>686</v>
      </c>
      <c r="E906" s="9" t="s">
        <v>4035</v>
      </c>
      <c r="F906" s="9" t="s">
        <v>4037</v>
      </c>
      <c r="G906" s="9">
        <v>35502</v>
      </c>
      <c r="H906" s="9" t="s">
        <v>2475</v>
      </c>
      <c r="I906" s="9">
        <v>183</v>
      </c>
      <c r="J906" s="9">
        <v>67</v>
      </c>
      <c r="K906" s="9">
        <v>1</v>
      </c>
    </row>
    <row r="907" spans="1:11" x14ac:dyDescent="0.4">
      <c r="A907" s="9" t="s">
        <v>299</v>
      </c>
      <c r="B907" s="9" t="s">
        <v>25</v>
      </c>
      <c r="C907" s="9">
        <v>22</v>
      </c>
      <c r="D907" s="9" t="s">
        <v>664</v>
      </c>
      <c r="E907" s="9" t="s">
        <v>4039</v>
      </c>
      <c r="F907" s="9" t="s">
        <v>4039</v>
      </c>
      <c r="G907" s="9">
        <v>34372</v>
      </c>
      <c r="H907" s="9" t="s">
        <v>970</v>
      </c>
      <c r="I907" s="9">
        <v>191</v>
      </c>
      <c r="J907" s="9">
        <v>3</v>
      </c>
      <c r="K907" s="9">
        <v>0</v>
      </c>
    </row>
    <row r="908" spans="1:11" x14ac:dyDescent="0.4">
      <c r="A908" s="9" t="s">
        <v>299</v>
      </c>
      <c r="B908" s="9" t="s">
        <v>25</v>
      </c>
      <c r="C908" s="9">
        <v>23</v>
      </c>
      <c r="D908" s="9" t="s">
        <v>686</v>
      </c>
      <c r="E908" s="9" t="s">
        <v>4042</v>
      </c>
      <c r="F908" s="9" t="s">
        <v>4042</v>
      </c>
      <c r="G908" s="9">
        <v>36569</v>
      </c>
      <c r="H908" s="9" t="s">
        <v>1165</v>
      </c>
      <c r="I908" s="9">
        <v>170</v>
      </c>
      <c r="J908" s="9">
        <v>38</v>
      </c>
      <c r="K908" s="9">
        <v>0</v>
      </c>
    </row>
    <row r="909" spans="1:11" x14ac:dyDescent="0.4">
      <c r="A909" s="9" t="s">
        <v>299</v>
      </c>
      <c r="B909" s="9" t="s">
        <v>25</v>
      </c>
      <c r="C909" s="9">
        <v>24</v>
      </c>
      <c r="D909" s="9" t="s">
        <v>669</v>
      </c>
      <c r="E909" s="9" t="s">
        <v>4045</v>
      </c>
      <c r="F909" s="9" t="s">
        <v>4047</v>
      </c>
      <c r="G909" s="9">
        <v>36857</v>
      </c>
      <c r="H909" s="9" t="s">
        <v>1638</v>
      </c>
      <c r="I909" s="9">
        <v>185</v>
      </c>
      <c r="J909" s="9">
        <v>6</v>
      </c>
      <c r="K909" s="9">
        <v>0</v>
      </c>
    </row>
    <row r="910" spans="1:11" x14ac:dyDescent="0.4">
      <c r="A910" s="9" t="s">
        <v>299</v>
      </c>
      <c r="B910" s="9" t="s">
        <v>25</v>
      </c>
      <c r="C910" s="9">
        <v>25</v>
      </c>
      <c r="D910" s="9" t="s">
        <v>669</v>
      </c>
      <c r="E910" s="9" t="s">
        <v>4049</v>
      </c>
      <c r="F910" s="9" t="s">
        <v>4051</v>
      </c>
      <c r="G910" s="9">
        <v>37426</v>
      </c>
      <c r="H910" s="9" t="s">
        <v>1165</v>
      </c>
      <c r="I910" s="9">
        <v>177</v>
      </c>
      <c r="J910" s="9">
        <v>44</v>
      </c>
      <c r="K910" s="9">
        <v>1</v>
      </c>
    </row>
    <row r="911" spans="1:11" x14ac:dyDescent="0.4">
      <c r="A911" s="9" t="s">
        <v>299</v>
      </c>
      <c r="B911" s="9" t="s">
        <v>25</v>
      </c>
      <c r="C911" s="9">
        <v>26</v>
      </c>
      <c r="D911" s="9" t="s">
        <v>691</v>
      </c>
      <c r="E911" s="9" t="s">
        <v>4053</v>
      </c>
      <c r="F911" s="9" t="s">
        <v>4055</v>
      </c>
      <c r="G911" s="9">
        <v>37604</v>
      </c>
      <c r="H911" s="9" t="s">
        <v>1204</v>
      </c>
      <c r="I911" s="9">
        <v>166</v>
      </c>
      <c r="J911" s="9">
        <v>17</v>
      </c>
      <c r="K911" s="9">
        <v>4</v>
      </c>
    </row>
    <row r="912" spans="1:11" x14ac:dyDescent="0.4">
      <c r="A912" s="9" t="s">
        <v>283</v>
      </c>
      <c r="B912" s="9" t="s">
        <v>9</v>
      </c>
      <c r="C912" s="9">
        <v>1</v>
      </c>
      <c r="D912" s="9" t="s">
        <v>664</v>
      </c>
      <c r="E912" s="9" t="s">
        <v>4057</v>
      </c>
      <c r="F912" s="9" t="s">
        <v>4059</v>
      </c>
      <c r="G912" s="9">
        <v>36561</v>
      </c>
      <c r="H912" s="9" t="s">
        <v>4060</v>
      </c>
      <c r="I912" s="9">
        <v>185</v>
      </c>
      <c r="J912" s="9">
        <v>6</v>
      </c>
      <c r="K912" s="9">
        <v>0</v>
      </c>
    </row>
    <row r="913" spans="1:11" x14ac:dyDescent="0.4">
      <c r="A913" s="9" t="s">
        <v>283</v>
      </c>
      <c r="B913" s="9" t="s">
        <v>9</v>
      </c>
      <c r="C913" s="9">
        <v>2</v>
      </c>
      <c r="D913" s="9" t="s">
        <v>669</v>
      </c>
      <c r="E913" s="9" t="s">
        <v>4061</v>
      </c>
      <c r="F913" s="9" t="s">
        <v>4063</v>
      </c>
      <c r="G913" s="9">
        <v>33091</v>
      </c>
      <c r="H913" s="9" t="s">
        <v>4064</v>
      </c>
      <c r="I913" s="9">
        <v>180</v>
      </c>
      <c r="J913" s="9">
        <v>105</v>
      </c>
      <c r="K913" s="9">
        <v>3</v>
      </c>
    </row>
    <row r="914" spans="1:11" x14ac:dyDescent="0.4">
      <c r="A914" s="9" t="s">
        <v>283</v>
      </c>
      <c r="B914" s="9" t="s">
        <v>9</v>
      </c>
      <c r="C914" s="9">
        <v>3</v>
      </c>
      <c r="D914" s="9" t="s">
        <v>669</v>
      </c>
      <c r="E914" s="9" t="s">
        <v>4066</v>
      </c>
      <c r="F914" s="9" t="s">
        <v>4068</v>
      </c>
      <c r="G914" s="9">
        <v>33057</v>
      </c>
      <c r="H914" s="9" t="s">
        <v>2289</v>
      </c>
      <c r="I914" s="9">
        <v>179</v>
      </c>
      <c r="J914" s="9">
        <v>25</v>
      </c>
      <c r="K914" s="9">
        <v>1</v>
      </c>
    </row>
    <row r="915" spans="1:11" x14ac:dyDescent="0.4">
      <c r="A915" s="9" t="s">
        <v>283</v>
      </c>
      <c r="B915" s="9" t="s">
        <v>9</v>
      </c>
      <c r="C915" s="9">
        <v>4</v>
      </c>
      <c r="D915" s="9" t="s">
        <v>669</v>
      </c>
      <c r="E915" s="9" t="s">
        <v>4070</v>
      </c>
      <c r="F915" s="9" t="s">
        <v>4072</v>
      </c>
      <c r="G915" s="9">
        <v>35786</v>
      </c>
      <c r="H915" s="9" t="s">
        <v>4073</v>
      </c>
      <c r="I915" s="9">
        <v>178</v>
      </c>
      <c r="J915" s="9">
        <v>4</v>
      </c>
      <c r="K915" s="9">
        <v>0</v>
      </c>
    </row>
    <row r="916" spans="1:11" x14ac:dyDescent="0.4">
      <c r="A916" s="9" t="s">
        <v>283</v>
      </c>
      <c r="B916" s="9" t="s">
        <v>9</v>
      </c>
      <c r="C916" s="9">
        <v>5</v>
      </c>
      <c r="D916" s="9" t="s">
        <v>669</v>
      </c>
      <c r="E916" s="9" t="s">
        <v>4075</v>
      </c>
      <c r="F916" s="9" t="s">
        <v>4077</v>
      </c>
      <c r="G916" s="9">
        <v>37307</v>
      </c>
      <c r="H916" s="9" t="s">
        <v>4060</v>
      </c>
      <c r="I916" s="9">
        <v>181</v>
      </c>
      <c r="J916" s="9">
        <v>32</v>
      </c>
      <c r="K916" s="9">
        <v>1</v>
      </c>
    </row>
    <row r="917" spans="1:11" x14ac:dyDescent="0.4">
      <c r="A917" s="9" t="s">
        <v>283</v>
      </c>
      <c r="B917" s="9" t="s">
        <v>9</v>
      </c>
      <c r="C917" s="9">
        <v>6</v>
      </c>
      <c r="D917" s="9" t="s">
        <v>686</v>
      </c>
      <c r="E917" s="9" t="s">
        <v>4079</v>
      </c>
      <c r="F917" s="9" t="s">
        <v>4081</v>
      </c>
      <c r="G917" s="9">
        <v>32874</v>
      </c>
      <c r="H917" s="9" t="s">
        <v>4060</v>
      </c>
      <c r="I917" s="9">
        <v>179</v>
      </c>
      <c r="J917" s="9">
        <v>119</v>
      </c>
      <c r="K917" s="9">
        <v>11</v>
      </c>
    </row>
    <row r="918" spans="1:11" x14ac:dyDescent="0.4">
      <c r="A918" s="9" t="s">
        <v>283</v>
      </c>
      <c r="B918" s="9" t="s">
        <v>9</v>
      </c>
      <c r="C918" s="9">
        <v>7</v>
      </c>
      <c r="D918" s="9" t="s">
        <v>691</v>
      </c>
      <c r="E918" s="9" t="s">
        <v>4082</v>
      </c>
      <c r="F918" s="9" t="s">
        <v>4084</v>
      </c>
      <c r="G918" s="9">
        <v>34000</v>
      </c>
      <c r="H918" s="9" t="s">
        <v>4060</v>
      </c>
      <c r="I918" s="9">
        <v>179</v>
      </c>
      <c r="J918" s="9">
        <v>68</v>
      </c>
      <c r="K918" s="9">
        <v>9</v>
      </c>
    </row>
    <row r="919" spans="1:11" x14ac:dyDescent="0.4">
      <c r="A919" s="9" t="s">
        <v>283</v>
      </c>
      <c r="B919" s="9" t="s">
        <v>9</v>
      </c>
      <c r="C919" s="9">
        <v>8</v>
      </c>
      <c r="D919" s="9" t="s">
        <v>691</v>
      </c>
      <c r="E919" s="9" t="s">
        <v>4086</v>
      </c>
      <c r="F919" s="9" t="s">
        <v>4088</v>
      </c>
      <c r="G919" s="9">
        <v>34565</v>
      </c>
      <c r="H919" s="9" t="s">
        <v>745</v>
      </c>
      <c r="I919" s="9">
        <v>180</v>
      </c>
      <c r="J919" s="9">
        <v>16</v>
      </c>
      <c r="K919" s="9">
        <v>0</v>
      </c>
    </row>
    <row r="920" spans="1:11" x14ac:dyDescent="0.4">
      <c r="A920" s="9" t="s">
        <v>283</v>
      </c>
      <c r="B920" s="9" t="s">
        <v>9</v>
      </c>
      <c r="C920" s="9">
        <v>9</v>
      </c>
      <c r="D920" s="9" t="s">
        <v>691</v>
      </c>
      <c r="E920" s="9" t="s">
        <v>4090</v>
      </c>
      <c r="F920" s="9" t="s">
        <v>4092</v>
      </c>
      <c r="G920" s="9">
        <v>34323</v>
      </c>
      <c r="H920" s="9" t="s">
        <v>4093</v>
      </c>
      <c r="I920" s="9">
        <v>192</v>
      </c>
      <c r="J920" s="9">
        <v>67</v>
      </c>
      <c r="K920" s="9">
        <v>16</v>
      </c>
    </row>
    <row r="921" spans="1:11" x14ac:dyDescent="0.4">
      <c r="A921" s="9" t="s">
        <v>283</v>
      </c>
      <c r="B921" s="9" t="s">
        <v>9</v>
      </c>
      <c r="C921" s="9">
        <v>10</v>
      </c>
      <c r="D921" s="9" t="s">
        <v>691</v>
      </c>
      <c r="E921" s="9" t="s">
        <v>4094</v>
      </c>
      <c r="F921" s="9" t="s">
        <v>4096</v>
      </c>
      <c r="G921" s="9">
        <v>33218</v>
      </c>
      <c r="H921" s="9" t="s">
        <v>4064</v>
      </c>
      <c r="I921" s="9">
        <v>174</v>
      </c>
      <c r="J921" s="9">
        <v>186</v>
      </c>
      <c r="K921" s="9">
        <v>41</v>
      </c>
    </row>
    <row r="922" spans="1:11" x14ac:dyDescent="0.4">
      <c r="A922" s="9" t="s">
        <v>283</v>
      </c>
      <c r="B922" s="9" t="s">
        <v>9</v>
      </c>
      <c r="C922" s="9">
        <v>11</v>
      </c>
      <c r="D922" s="9" t="s">
        <v>691</v>
      </c>
      <c r="E922" s="9" t="s">
        <v>4097</v>
      </c>
      <c r="F922" s="9" t="s">
        <v>4099</v>
      </c>
      <c r="G922" s="9">
        <v>35387</v>
      </c>
      <c r="H922" s="9" t="s">
        <v>4064</v>
      </c>
      <c r="I922" s="9">
        <v>176</v>
      </c>
      <c r="J922" s="9">
        <v>125</v>
      </c>
      <c r="K922" s="9">
        <v>39</v>
      </c>
    </row>
    <row r="923" spans="1:11" x14ac:dyDescent="0.4">
      <c r="A923" s="9" t="s">
        <v>283</v>
      </c>
      <c r="B923" s="9" t="s">
        <v>9</v>
      </c>
      <c r="C923" s="9">
        <v>12</v>
      </c>
      <c r="D923" s="9" t="s">
        <v>686</v>
      </c>
      <c r="E923" s="9" t="s">
        <v>4100</v>
      </c>
      <c r="F923" s="9" t="s">
        <v>4102</v>
      </c>
      <c r="G923" s="9">
        <v>33132</v>
      </c>
      <c r="H923" s="9" t="s">
        <v>745</v>
      </c>
      <c r="I923" s="9">
        <v>190</v>
      </c>
      <c r="J923" s="9">
        <v>118</v>
      </c>
      <c r="K923" s="9">
        <v>5</v>
      </c>
    </row>
    <row r="924" spans="1:11" x14ac:dyDescent="0.4">
      <c r="A924" s="9" t="s">
        <v>283</v>
      </c>
      <c r="B924" s="9" t="s">
        <v>9</v>
      </c>
      <c r="C924" s="9">
        <v>13</v>
      </c>
      <c r="D924" s="9" t="s">
        <v>669</v>
      </c>
      <c r="E924" s="9" t="s">
        <v>4104</v>
      </c>
      <c r="F924" s="9" t="s">
        <v>4106</v>
      </c>
      <c r="G924" s="9">
        <v>38422</v>
      </c>
      <c r="H924" s="9" t="s">
        <v>4093</v>
      </c>
      <c r="I924" s="9">
        <v>181</v>
      </c>
      <c r="J924" s="9">
        <v>6</v>
      </c>
      <c r="K924" s="9">
        <v>0</v>
      </c>
    </row>
    <row r="925" spans="1:11" x14ac:dyDescent="0.4">
      <c r="A925" s="9" t="s">
        <v>283</v>
      </c>
      <c r="B925" s="9" t="s">
        <v>9</v>
      </c>
      <c r="C925" s="9">
        <v>14</v>
      </c>
      <c r="D925" s="9" t="s">
        <v>669</v>
      </c>
      <c r="E925" s="9" t="s">
        <v>4108</v>
      </c>
      <c r="F925" s="9" t="s">
        <v>4110</v>
      </c>
      <c r="G925" s="9">
        <v>36397</v>
      </c>
      <c r="H925" s="9" t="s">
        <v>4111</v>
      </c>
      <c r="I925" s="9">
        <v>188</v>
      </c>
      <c r="J925" s="9">
        <v>68</v>
      </c>
      <c r="K925" s="9">
        <v>3</v>
      </c>
    </row>
    <row r="926" spans="1:11" x14ac:dyDescent="0.4">
      <c r="A926" s="9" t="s">
        <v>283</v>
      </c>
      <c r="B926" s="9" t="s">
        <v>9</v>
      </c>
      <c r="C926" s="9">
        <v>15</v>
      </c>
      <c r="D926" s="9" t="s">
        <v>691</v>
      </c>
      <c r="E926" s="9" t="s">
        <v>4112</v>
      </c>
      <c r="F926" s="9" t="s">
        <v>4114</v>
      </c>
      <c r="G926" s="9">
        <v>36378</v>
      </c>
      <c r="H926" s="9" t="s">
        <v>2289</v>
      </c>
      <c r="I926" s="9">
        <v>171</v>
      </c>
      <c r="J926" s="9">
        <v>39</v>
      </c>
      <c r="K926" s="9">
        <v>3</v>
      </c>
    </row>
    <row r="927" spans="1:11" x14ac:dyDescent="0.4">
      <c r="A927" s="9" t="s">
        <v>283</v>
      </c>
      <c r="B927" s="9" t="s">
        <v>9</v>
      </c>
      <c r="C927" s="9">
        <v>16</v>
      </c>
      <c r="D927" s="9" t="s">
        <v>669</v>
      </c>
      <c r="E927" s="9" t="s">
        <v>4115</v>
      </c>
      <c r="F927" s="9" t="s">
        <v>4117</v>
      </c>
      <c r="G927" s="9">
        <v>33063</v>
      </c>
      <c r="H927" s="9" t="s">
        <v>4064</v>
      </c>
      <c r="I927" s="9">
        <v>185</v>
      </c>
      <c r="J927" s="9">
        <v>116</v>
      </c>
      <c r="K927" s="9">
        <v>20</v>
      </c>
    </row>
    <row r="928" spans="1:11" x14ac:dyDescent="0.4">
      <c r="A928" s="9" t="s">
        <v>283</v>
      </c>
      <c r="B928" s="9" t="s">
        <v>9</v>
      </c>
      <c r="C928" s="9">
        <v>17</v>
      </c>
      <c r="D928" s="9" t="s">
        <v>686</v>
      </c>
      <c r="E928" s="9" t="s">
        <v>4118</v>
      </c>
      <c r="F928" s="9" t="s">
        <v>4120</v>
      </c>
      <c r="G928" s="9">
        <v>36791</v>
      </c>
      <c r="H928" s="9" t="s">
        <v>4093</v>
      </c>
      <c r="I928" s="9">
        <v>175</v>
      </c>
      <c r="J928" s="9">
        <v>13</v>
      </c>
      <c r="K928" s="9">
        <v>1</v>
      </c>
    </row>
    <row r="929" spans="1:11" x14ac:dyDescent="0.4">
      <c r="A929" s="9" t="s">
        <v>283</v>
      </c>
      <c r="B929" s="9" t="s">
        <v>9</v>
      </c>
      <c r="C929" s="9">
        <v>18</v>
      </c>
      <c r="D929" s="9" t="s">
        <v>669</v>
      </c>
      <c r="E929" s="9" t="s">
        <v>4122</v>
      </c>
      <c r="F929" s="9" t="s">
        <v>4124</v>
      </c>
      <c r="G929" s="9">
        <v>35162</v>
      </c>
      <c r="H929" s="9" t="s">
        <v>745</v>
      </c>
      <c r="I929" s="9">
        <v>178</v>
      </c>
      <c r="J929" s="9">
        <v>17</v>
      </c>
      <c r="K929" s="9">
        <v>0</v>
      </c>
    </row>
    <row r="930" spans="1:11" x14ac:dyDescent="0.4">
      <c r="A930" s="9" t="s">
        <v>283</v>
      </c>
      <c r="B930" s="9" t="s">
        <v>9</v>
      </c>
      <c r="C930" s="9">
        <v>19</v>
      </c>
      <c r="D930" s="9" t="s">
        <v>691</v>
      </c>
      <c r="E930" s="9" t="s">
        <v>4126</v>
      </c>
      <c r="F930" s="9" t="s">
        <v>4128</v>
      </c>
      <c r="G930" s="9">
        <v>35296</v>
      </c>
      <c r="H930" s="9" t="s">
        <v>745</v>
      </c>
      <c r="I930" s="9">
        <v>180</v>
      </c>
      <c r="J930" s="9">
        <v>115</v>
      </c>
      <c r="K930" s="9">
        <v>55</v>
      </c>
    </row>
    <row r="931" spans="1:11" x14ac:dyDescent="0.4">
      <c r="A931" s="9" t="s">
        <v>283</v>
      </c>
      <c r="B931" s="9" t="s">
        <v>9</v>
      </c>
      <c r="C931" s="9">
        <v>20</v>
      </c>
      <c r="D931" s="9" t="s">
        <v>686</v>
      </c>
      <c r="E931" s="9" t="s">
        <v>4130</v>
      </c>
      <c r="F931" s="9" t="s">
        <v>4132</v>
      </c>
      <c r="G931" s="9">
        <v>33994</v>
      </c>
      <c r="H931" s="9" t="s">
        <v>4073</v>
      </c>
      <c r="I931" s="9">
        <v>171</v>
      </c>
      <c r="J931" s="9">
        <v>48</v>
      </c>
      <c r="K931" s="9">
        <v>0</v>
      </c>
    </row>
    <row r="932" spans="1:11" x14ac:dyDescent="0.4">
      <c r="A932" s="9" t="s">
        <v>283</v>
      </c>
      <c r="B932" s="9" t="s">
        <v>9</v>
      </c>
      <c r="C932" s="9">
        <v>21</v>
      </c>
      <c r="D932" s="9" t="s">
        <v>664</v>
      </c>
      <c r="E932" s="9" t="s">
        <v>4134</v>
      </c>
      <c r="F932" s="9" t="s">
        <v>4136</v>
      </c>
      <c r="G932" s="9">
        <v>36274</v>
      </c>
      <c r="H932" s="9" t="s">
        <v>745</v>
      </c>
      <c r="I932" s="9">
        <v>186</v>
      </c>
      <c r="J932" s="9">
        <v>8</v>
      </c>
      <c r="K932" s="9">
        <v>0</v>
      </c>
    </row>
    <row r="933" spans="1:11" x14ac:dyDescent="0.4">
      <c r="A933" s="9" t="s">
        <v>283</v>
      </c>
      <c r="B933" s="9" t="s">
        <v>9</v>
      </c>
      <c r="C933" s="9">
        <v>22</v>
      </c>
      <c r="D933" s="9" t="s">
        <v>664</v>
      </c>
      <c r="E933" s="9" t="s">
        <v>4137</v>
      </c>
      <c r="F933" s="9" t="s">
        <v>4139</v>
      </c>
      <c r="G933" s="9">
        <v>35840</v>
      </c>
      <c r="H933" s="9" t="s">
        <v>4064</v>
      </c>
      <c r="I933" s="9">
        <v>180</v>
      </c>
      <c r="J933" s="9">
        <v>52</v>
      </c>
      <c r="K933" s="9">
        <v>0</v>
      </c>
    </row>
    <row r="934" spans="1:11" x14ac:dyDescent="0.4">
      <c r="A934" s="9" t="s">
        <v>283</v>
      </c>
      <c r="B934" s="9" t="s">
        <v>9</v>
      </c>
      <c r="C934" s="9">
        <v>23</v>
      </c>
      <c r="D934" s="9" t="s">
        <v>686</v>
      </c>
      <c r="E934" s="9" t="s">
        <v>4140</v>
      </c>
      <c r="F934" s="9" t="s">
        <v>4142</v>
      </c>
      <c r="G934" s="9">
        <v>35360</v>
      </c>
      <c r="H934" s="9" t="s">
        <v>2289</v>
      </c>
      <c r="I934" s="9">
        <v>168</v>
      </c>
      <c r="J934" s="9">
        <v>51</v>
      </c>
      <c r="K934" s="9">
        <v>0</v>
      </c>
    </row>
    <row r="935" spans="1:11" x14ac:dyDescent="0.4">
      <c r="A935" s="9" t="s">
        <v>283</v>
      </c>
      <c r="B935" s="9" t="s">
        <v>9</v>
      </c>
      <c r="C935" s="9">
        <v>24</v>
      </c>
      <c r="D935" s="9" t="s">
        <v>691</v>
      </c>
      <c r="E935" s="9" t="s">
        <v>4143</v>
      </c>
      <c r="F935" s="9" t="s">
        <v>4145</v>
      </c>
      <c r="G935" s="9">
        <v>38884</v>
      </c>
      <c r="H935" s="9" t="s">
        <v>745</v>
      </c>
      <c r="I935" s="9">
        <v>166</v>
      </c>
      <c r="J935" s="9">
        <v>3</v>
      </c>
      <c r="K935" s="9">
        <v>0</v>
      </c>
    </row>
    <row r="936" spans="1:11" x14ac:dyDescent="0.4">
      <c r="A936" s="9" t="s">
        <v>283</v>
      </c>
      <c r="B936" s="9" t="s">
        <v>9</v>
      </c>
      <c r="C936" s="9">
        <v>25</v>
      </c>
      <c r="D936" s="9" t="s">
        <v>669</v>
      </c>
      <c r="E936" s="9" t="s">
        <v>4147</v>
      </c>
      <c r="F936" s="9" t="s">
        <v>4149</v>
      </c>
      <c r="G936" s="9">
        <v>37848</v>
      </c>
      <c r="H936" s="9" t="s">
        <v>4073</v>
      </c>
      <c r="I936" s="9">
        <v>182</v>
      </c>
      <c r="J936" s="9">
        <v>8</v>
      </c>
      <c r="K936" s="9">
        <v>0</v>
      </c>
    </row>
    <row r="937" spans="1:11" x14ac:dyDescent="0.4">
      <c r="A937" s="9" t="s">
        <v>283</v>
      </c>
      <c r="B937" s="9" t="s">
        <v>9</v>
      </c>
      <c r="C937" s="9">
        <v>26</v>
      </c>
      <c r="D937" s="9" t="s">
        <v>691</v>
      </c>
      <c r="E937" s="9" t="s">
        <v>4151</v>
      </c>
      <c r="F937" s="9" t="s">
        <v>4153</v>
      </c>
      <c r="G937" s="9">
        <v>37554</v>
      </c>
      <c r="H937" s="9" t="s">
        <v>4154</v>
      </c>
      <c r="I937" s="9">
        <v>180</v>
      </c>
      <c r="J937" s="9">
        <v>10</v>
      </c>
      <c r="K937" s="9">
        <v>0</v>
      </c>
    </row>
    <row r="938" spans="1:11" x14ac:dyDescent="0.4">
      <c r="A938" s="9" t="s">
        <v>352</v>
      </c>
      <c r="B938" s="9" t="s">
        <v>15</v>
      </c>
      <c r="C938" s="9">
        <v>1</v>
      </c>
      <c r="D938" s="9" t="s">
        <v>664</v>
      </c>
      <c r="E938" s="9" t="s">
        <v>4155</v>
      </c>
      <c r="F938" s="9" t="s">
        <v>4157</v>
      </c>
      <c r="G938" s="9">
        <v>36656</v>
      </c>
      <c r="H938" s="9" t="s">
        <v>3984</v>
      </c>
      <c r="I938" s="9">
        <v>186</v>
      </c>
      <c r="J938" s="9">
        <v>24</v>
      </c>
      <c r="K938" s="9">
        <v>0</v>
      </c>
    </row>
    <row r="939" spans="1:11" x14ac:dyDescent="0.4">
      <c r="A939" s="9" t="s">
        <v>352</v>
      </c>
      <c r="B939" s="9" t="s">
        <v>15</v>
      </c>
      <c r="C939" s="9">
        <v>2</v>
      </c>
      <c r="D939" s="9" t="s">
        <v>669</v>
      </c>
      <c r="E939" s="9" t="s">
        <v>4158</v>
      </c>
      <c r="F939" s="9" t="s">
        <v>4160</v>
      </c>
      <c r="G939" s="9">
        <v>36435</v>
      </c>
      <c r="H939" s="9" t="s">
        <v>695</v>
      </c>
      <c r="I939" s="9">
        <v>169</v>
      </c>
      <c r="J939" s="9">
        <v>21</v>
      </c>
      <c r="K939" s="9">
        <v>0</v>
      </c>
    </row>
    <row r="940" spans="1:11" x14ac:dyDescent="0.4">
      <c r="A940" s="9" t="s">
        <v>352</v>
      </c>
      <c r="B940" s="9" t="s">
        <v>15</v>
      </c>
      <c r="C940" s="9">
        <v>3</v>
      </c>
      <c r="D940" s="9" t="s">
        <v>669</v>
      </c>
      <c r="E940" s="9" t="s">
        <v>4161</v>
      </c>
      <c r="F940" s="9" t="s">
        <v>4163</v>
      </c>
      <c r="G940" s="9">
        <v>35179</v>
      </c>
      <c r="H940" s="9" t="s">
        <v>2475</v>
      </c>
      <c r="I940" s="9">
        <v>177</v>
      </c>
      <c r="J940" s="9">
        <v>24</v>
      </c>
      <c r="K940" s="9">
        <v>1</v>
      </c>
    </row>
    <row r="941" spans="1:11" x14ac:dyDescent="0.4">
      <c r="A941" s="9" t="s">
        <v>352</v>
      </c>
      <c r="B941" s="9" t="s">
        <v>15</v>
      </c>
      <c r="C941" s="9">
        <v>4</v>
      </c>
      <c r="D941" s="9" t="s">
        <v>669</v>
      </c>
      <c r="E941" s="9" t="s">
        <v>4164</v>
      </c>
      <c r="F941" s="9" t="s">
        <v>4166</v>
      </c>
      <c r="G941" s="9">
        <v>35445</v>
      </c>
      <c r="H941" s="9" t="s">
        <v>3984</v>
      </c>
      <c r="I941" s="9">
        <v>185</v>
      </c>
      <c r="J941" s="9">
        <v>44</v>
      </c>
      <c r="K941" s="9">
        <v>1</v>
      </c>
    </row>
    <row r="942" spans="1:11" x14ac:dyDescent="0.4">
      <c r="A942" s="9" t="s">
        <v>352</v>
      </c>
      <c r="B942" s="9" t="s">
        <v>15</v>
      </c>
      <c r="C942" s="9">
        <v>5</v>
      </c>
      <c r="D942" s="9" t="s">
        <v>669</v>
      </c>
      <c r="E942" s="9" t="s">
        <v>4167</v>
      </c>
      <c r="F942" s="9" t="s">
        <v>4169</v>
      </c>
      <c r="G942" s="9">
        <v>36200</v>
      </c>
      <c r="H942" s="9" t="s">
        <v>2475</v>
      </c>
      <c r="I942" s="9">
        <v>183</v>
      </c>
      <c r="J942" s="9">
        <v>54</v>
      </c>
      <c r="K942" s="9">
        <v>1</v>
      </c>
    </row>
    <row r="943" spans="1:11" x14ac:dyDescent="0.4">
      <c r="A943" s="9" t="s">
        <v>352</v>
      </c>
      <c r="B943" s="9" t="s">
        <v>15</v>
      </c>
      <c r="C943" s="9">
        <v>6</v>
      </c>
      <c r="D943" s="9" t="s">
        <v>686</v>
      </c>
      <c r="E943" s="9" t="s">
        <v>4170</v>
      </c>
      <c r="F943" s="9" t="s">
        <v>4172</v>
      </c>
      <c r="G943" s="9">
        <v>36148</v>
      </c>
      <c r="H943" s="9" t="s">
        <v>2475</v>
      </c>
      <c r="I943" s="9">
        <v>178</v>
      </c>
      <c r="J943" s="9">
        <v>47</v>
      </c>
      <c r="K943" s="9">
        <v>1</v>
      </c>
    </row>
    <row r="944" spans="1:11" x14ac:dyDescent="0.4">
      <c r="A944" s="9" t="s">
        <v>352</v>
      </c>
      <c r="B944" s="9" t="s">
        <v>15</v>
      </c>
      <c r="C944" s="9">
        <v>7</v>
      </c>
      <c r="D944" s="9" t="s">
        <v>686</v>
      </c>
      <c r="E944" s="9" t="s">
        <v>4174</v>
      </c>
      <c r="F944" s="9" t="s">
        <v>4176</v>
      </c>
      <c r="G944" s="9">
        <v>37792</v>
      </c>
      <c r="H944" s="9" t="s">
        <v>2621</v>
      </c>
      <c r="I944" s="9">
        <v>175</v>
      </c>
      <c r="J944" s="9">
        <v>37</v>
      </c>
      <c r="K944" s="9">
        <v>6</v>
      </c>
    </row>
    <row r="945" spans="1:11" x14ac:dyDescent="0.4">
      <c r="A945" s="9" t="s">
        <v>352</v>
      </c>
      <c r="B945" s="9" t="s">
        <v>15</v>
      </c>
      <c r="C945" s="9">
        <v>8</v>
      </c>
      <c r="D945" s="9" t="s">
        <v>691</v>
      </c>
      <c r="E945" s="9" t="s">
        <v>4178</v>
      </c>
      <c r="F945" s="9" t="s">
        <v>4180</v>
      </c>
      <c r="G945" s="9">
        <v>37025</v>
      </c>
      <c r="H945" s="9" t="s">
        <v>3984</v>
      </c>
      <c r="I945" s="9">
        <v>173</v>
      </c>
      <c r="J945" s="9">
        <v>26</v>
      </c>
      <c r="K945" s="9">
        <v>0</v>
      </c>
    </row>
    <row r="946" spans="1:11" x14ac:dyDescent="0.4">
      <c r="A946" s="9" t="s">
        <v>352</v>
      </c>
      <c r="B946" s="9" t="s">
        <v>15</v>
      </c>
      <c r="C946" s="9">
        <v>9</v>
      </c>
      <c r="D946" s="9" t="s">
        <v>691</v>
      </c>
      <c r="E946" s="9" t="s">
        <v>4181</v>
      </c>
      <c r="F946" s="9" t="s">
        <v>4183</v>
      </c>
      <c r="G946" s="9">
        <v>36660</v>
      </c>
      <c r="H946" s="9" t="s">
        <v>695</v>
      </c>
      <c r="I946" s="9">
        <v>185</v>
      </c>
      <c r="J946" s="9">
        <v>72</v>
      </c>
      <c r="K946" s="9">
        <v>16</v>
      </c>
    </row>
    <row r="947" spans="1:11" x14ac:dyDescent="0.4">
      <c r="A947" s="9" t="s">
        <v>352</v>
      </c>
      <c r="B947" s="9" t="s">
        <v>15</v>
      </c>
      <c r="C947" s="9">
        <v>10</v>
      </c>
      <c r="D947" s="9" t="s">
        <v>691</v>
      </c>
      <c r="E947" s="9" t="s">
        <v>4185</v>
      </c>
      <c r="F947" s="9" t="s">
        <v>4187</v>
      </c>
      <c r="G947" s="9">
        <v>33469</v>
      </c>
      <c r="H947" s="9" t="s">
        <v>2475</v>
      </c>
      <c r="I947" s="9">
        <v>173</v>
      </c>
      <c r="J947" s="9">
        <v>111</v>
      </c>
      <c r="K947" s="9">
        <v>27</v>
      </c>
    </row>
    <row r="948" spans="1:11" x14ac:dyDescent="0.4">
      <c r="A948" s="9" t="s">
        <v>352</v>
      </c>
      <c r="B948" s="9" t="s">
        <v>15</v>
      </c>
      <c r="C948" s="9">
        <v>11</v>
      </c>
      <c r="D948" s="9" t="s">
        <v>691</v>
      </c>
      <c r="E948" s="9" t="s">
        <v>4188</v>
      </c>
      <c r="F948" s="9" t="s">
        <v>4190</v>
      </c>
      <c r="G948" s="9">
        <v>34274</v>
      </c>
      <c r="H948" s="9" t="s">
        <v>699</v>
      </c>
      <c r="I948" s="9">
        <v>184</v>
      </c>
      <c r="J948" s="9">
        <v>59</v>
      </c>
      <c r="K948" s="9">
        <v>17</v>
      </c>
    </row>
    <row r="949" spans="1:11" x14ac:dyDescent="0.4">
      <c r="A949" s="9" t="s">
        <v>352</v>
      </c>
      <c r="B949" s="9" t="s">
        <v>15</v>
      </c>
      <c r="C949" s="9">
        <v>12</v>
      </c>
      <c r="D949" s="9" t="s">
        <v>669</v>
      </c>
      <c r="E949" s="9" t="s">
        <v>4191</v>
      </c>
      <c r="F949" s="9" t="s">
        <v>4193</v>
      </c>
      <c r="G949" s="9">
        <v>36359</v>
      </c>
      <c r="H949" s="9" t="s">
        <v>1782</v>
      </c>
      <c r="I949" s="9">
        <v>172</v>
      </c>
      <c r="J949" s="9">
        <v>55</v>
      </c>
      <c r="K949" s="9">
        <v>1</v>
      </c>
    </row>
    <row r="950" spans="1:11" x14ac:dyDescent="0.4">
      <c r="A950" s="9" t="s">
        <v>352</v>
      </c>
      <c r="B950" s="9" t="s">
        <v>15</v>
      </c>
      <c r="C950" s="9">
        <v>13</v>
      </c>
      <c r="D950" s="9" t="s">
        <v>669</v>
      </c>
      <c r="E950" s="9" t="s">
        <v>4195</v>
      </c>
      <c r="F950" s="9" t="s">
        <v>4197</v>
      </c>
      <c r="G950" s="9">
        <v>36419</v>
      </c>
      <c r="H950" s="9" t="s">
        <v>3984</v>
      </c>
      <c r="I950" s="9">
        <v>173</v>
      </c>
      <c r="J950" s="9">
        <v>27</v>
      </c>
      <c r="K950" s="9">
        <v>0</v>
      </c>
    </row>
    <row r="951" spans="1:11" x14ac:dyDescent="0.4">
      <c r="A951" s="9" t="s">
        <v>352</v>
      </c>
      <c r="B951" s="9" t="s">
        <v>15</v>
      </c>
      <c r="C951" s="9">
        <v>14</v>
      </c>
      <c r="D951" s="9" t="s">
        <v>669</v>
      </c>
      <c r="E951" s="9" t="s">
        <v>4199</v>
      </c>
      <c r="F951" s="9" t="s">
        <v>4201</v>
      </c>
      <c r="G951" s="9">
        <v>33873</v>
      </c>
      <c r="H951" s="9" t="s">
        <v>699</v>
      </c>
      <c r="I951" s="9">
        <v>179</v>
      </c>
      <c r="J951" s="9">
        <v>21</v>
      </c>
      <c r="K951" s="9">
        <v>2</v>
      </c>
    </row>
    <row r="952" spans="1:11" x14ac:dyDescent="0.4">
      <c r="A952" s="9" t="s">
        <v>352</v>
      </c>
      <c r="B952" s="9" t="s">
        <v>15</v>
      </c>
      <c r="C952" s="9">
        <v>15</v>
      </c>
      <c r="D952" s="9" t="s">
        <v>686</v>
      </c>
      <c r="E952" s="9" t="s">
        <v>4203</v>
      </c>
      <c r="F952" s="9" t="s">
        <v>4205</v>
      </c>
      <c r="G952" s="9">
        <v>35293</v>
      </c>
      <c r="H952" s="9" t="s">
        <v>3984</v>
      </c>
      <c r="I952" s="9">
        <v>175</v>
      </c>
      <c r="J952" s="9">
        <v>42</v>
      </c>
      <c r="K952" s="9">
        <v>0</v>
      </c>
    </row>
    <row r="953" spans="1:11" x14ac:dyDescent="0.4">
      <c r="A953" s="9" t="s">
        <v>352</v>
      </c>
      <c r="B953" s="9" t="s">
        <v>15</v>
      </c>
      <c r="C953" s="9">
        <v>16</v>
      </c>
      <c r="D953" s="9" t="s">
        <v>686</v>
      </c>
      <c r="E953" s="9" t="s">
        <v>4206</v>
      </c>
      <c r="F953" s="9" t="s">
        <v>4208</v>
      </c>
      <c r="G953" s="9">
        <v>37206</v>
      </c>
      <c r="H953" s="9" t="s">
        <v>695</v>
      </c>
      <c r="I953" s="9">
        <v>180</v>
      </c>
      <c r="J953" s="9">
        <v>12</v>
      </c>
      <c r="K953" s="9">
        <v>0</v>
      </c>
    </row>
    <row r="954" spans="1:11" x14ac:dyDescent="0.4">
      <c r="A954" s="9" t="s">
        <v>352</v>
      </c>
      <c r="B954" s="9" t="s">
        <v>15</v>
      </c>
      <c r="C954" s="9">
        <v>17</v>
      </c>
      <c r="D954" s="9" t="s">
        <v>691</v>
      </c>
      <c r="E954" s="9" t="s">
        <v>4210</v>
      </c>
      <c r="F954" s="9" t="s">
        <v>4212</v>
      </c>
      <c r="G954" s="9">
        <v>36838</v>
      </c>
      <c r="H954" s="9" t="s">
        <v>4213</v>
      </c>
      <c r="I954" s="9">
        <v>171</v>
      </c>
      <c r="J954" s="9">
        <v>7</v>
      </c>
      <c r="K954" s="9">
        <v>0</v>
      </c>
    </row>
    <row r="955" spans="1:11" x14ac:dyDescent="0.4">
      <c r="A955" s="9" t="s">
        <v>352</v>
      </c>
      <c r="B955" s="9" t="s">
        <v>15</v>
      </c>
      <c r="C955" s="9">
        <v>18</v>
      </c>
      <c r="D955" s="9" t="s">
        <v>686</v>
      </c>
      <c r="E955" s="9" t="s">
        <v>4215</v>
      </c>
      <c r="F955" s="9" t="s">
        <v>4217</v>
      </c>
      <c r="G955" s="9">
        <v>35036</v>
      </c>
      <c r="H955" s="9" t="s">
        <v>4218</v>
      </c>
      <c r="I955" s="9">
        <v>178</v>
      </c>
      <c r="J955" s="9">
        <v>3</v>
      </c>
      <c r="K955" s="9">
        <v>0</v>
      </c>
    </row>
    <row r="956" spans="1:11" x14ac:dyDescent="0.4">
      <c r="A956" s="9" t="s">
        <v>352</v>
      </c>
      <c r="B956" s="9" t="s">
        <v>15</v>
      </c>
      <c r="C956" s="9">
        <v>19</v>
      </c>
      <c r="D956" s="9" t="s">
        <v>691</v>
      </c>
      <c r="E956" s="9" t="s">
        <v>4219</v>
      </c>
      <c r="F956" s="9" t="s">
        <v>4221</v>
      </c>
      <c r="G956" s="9">
        <v>36416</v>
      </c>
      <c r="H956" s="9" t="s">
        <v>3984</v>
      </c>
      <c r="I956" s="9">
        <v>186</v>
      </c>
      <c r="J956" s="9">
        <v>52</v>
      </c>
      <c r="K956" s="9">
        <v>13</v>
      </c>
    </row>
    <row r="957" spans="1:11" x14ac:dyDescent="0.4">
      <c r="A957" s="9" t="s">
        <v>352</v>
      </c>
      <c r="B957" s="9" t="s">
        <v>15</v>
      </c>
      <c r="C957" s="9">
        <v>20</v>
      </c>
      <c r="D957" s="9" t="s">
        <v>691</v>
      </c>
      <c r="E957" s="9" t="s">
        <v>4222</v>
      </c>
      <c r="F957" s="9" t="s">
        <v>4224</v>
      </c>
      <c r="G957" s="9">
        <v>34624</v>
      </c>
      <c r="H957" s="9" t="s">
        <v>2475</v>
      </c>
      <c r="I957" s="9">
        <v>172</v>
      </c>
      <c r="J957" s="9">
        <v>7</v>
      </c>
      <c r="K957" s="9">
        <v>2</v>
      </c>
    </row>
    <row r="958" spans="1:11" x14ac:dyDescent="0.4">
      <c r="A958" s="9" t="s">
        <v>352</v>
      </c>
      <c r="B958" s="9" t="s">
        <v>15</v>
      </c>
      <c r="C958" s="9">
        <v>21</v>
      </c>
      <c r="D958" s="9" t="s">
        <v>664</v>
      </c>
      <c r="E958" s="9" t="s">
        <v>4225</v>
      </c>
      <c r="F958" s="9" t="s">
        <v>4227</v>
      </c>
      <c r="G958" s="9">
        <v>33521</v>
      </c>
      <c r="H958" s="9" t="s">
        <v>4228</v>
      </c>
      <c r="I958" s="9">
        <v>185</v>
      </c>
      <c r="J958" s="9">
        <v>65</v>
      </c>
      <c r="K958" s="9">
        <v>0</v>
      </c>
    </row>
    <row r="959" spans="1:11" x14ac:dyDescent="0.4">
      <c r="A959" s="9" t="s">
        <v>352</v>
      </c>
      <c r="B959" s="9" t="s">
        <v>15</v>
      </c>
      <c r="C959" s="9">
        <v>22</v>
      </c>
      <c r="D959" s="9" t="s">
        <v>664</v>
      </c>
      <c r="E959" s="9" t="s">
        <v>4229</v>
      </c>
      <c r="F959" s="9" t="s">
        <v>4231</v>
      </c>
      <c r="G959" s="9">
        <v>33366</v>
      </c>
      <c r="H959" s="9" t="s">
        <v>2621</v>
      </c>
      <c r="I959" s="9">
        <v>178</v>
      </c>
      <c r="J959" s="9">
        <v>9</v>
      </c>
      <c r="K959" s="9">
        <v>0</v>
      </c>
    </row>
    <row r="960" spans="1:11" x14ac:dyDescent="0.4">
      <c r="A960" s="9" t="s">
        <v>352</v>
      </c>
      <c r="B960" s="9" t="s">
        <v>15</v>
      </c>
      <c r="C960" s="9">
        <v>23</v>
      </c>
      <c r="D960" s="9" t="s">
        <v>686</v>
      </c>
      <c r="E960" s="9" t="s">
        <v>4232</v>
      </c>
      <c r="F960" s="9" t="s">
        <v>4234</v>
      </c>
      <c r="G960" s="9">
        <v>34599</v>
      </c>
      <c r="H960" s="9" t="s">
        <v>2475</v>
      </c>
      <c r="I960" s="9">
        <v>191</v>
      </c>
      <c r="J960" s="9">
        <v>79</v>
      </c>
      <c r="K960" s="9">
        <v>8</v>
      </c>
    </row>
    <row r="961" spans="1:11" x14ac:dyDescent="0.4">
      <c r="A961" s="9" t="s">
        <v>352</v>
      </c>
      <c r="B961" s="9" t="s">
        <v>15</v>
      </c>
      <c r="C961" s="9">
        <v>24</v>
      </c>
      <c r="D961" s="9" t="s">
        <v>669</v>
      </c>
      <c r="E961" s="9" t="s">
        <v>4235</v>
      </c>
      <c r="F961" s="9" t="s">
        <v>4237</v>
      </c>
      <c r="G961" s="9">
        <v>36576</v>
      </c>
      <c r="H961" s="9" t="s">
        <v>2475</v>
      </c>
      <c r="I961" s="9">
        <v>177</v>
      </c>
      <c r="J961" s="9">
        <v>13</v>
      </c>
      <c r="K961" s="9">
        <v>0</v>
      </c>
    </row>
    <row r="962" spans="1:11" x14ac:dyDescent="0.4">
      <c r="A962" s="9" t="s">
        <v>352</v>
      </c>
      <c r="B962" s="9" t="s">
        <v>15</v>
      </c>
      <c r="C962" s="9">
        <v>25</v>
      </c>
      <c r="D962" s="9" t="s">
        <v>669</v>
      </c>
      <c r="E962" s="9" t="s">
        <v>4239</v>
      </c>
      <c r="F962" s="9" t="s">
        <v>4241</v>
      </c>
      <c r="G962" s="9">
        <v>37093</v>
      </c>
      <c r="H962" s="9" t="s">
        <v>2621</v>
      </c>
      <c r="I962" s="9">
        <v>184</v>
      </c>
      <c r="J962" s="9">
        <v>8</v>
      </c>
      <c r="K962" s="9">
        <v>0</v>
      </c>
    </row>
    <row r="963" spans="1:11" x14ac:dyDescent="0.4">
      <c r="A963" s="9" t="s">
        <v>352</v>
      </c>
      <c r="B963" s="9" t="s">
        <v>15</v>
      </c>
      <c r="C963" s="9">
        <v>26</v>
      </c>
      <c r="D963" s="9" t="s">
        <v>669</v>
      </c>
      <c r="E963" s="9" t="s">
        <v>4243</v>
      </c>
      <c r="F963" s="9" t="s">
        <v>4245</v>
      </c>
      <c r="G963" s="9">
        <v>37479</v>
      </c>
      <c r="H963" s="9" t="s">
        <v>2621</v>
      </c>
      <c r="I963" s="9">
        <v>170</v>
      </c>
      <c r="J963" s="9">
        <v>8</v>
      </c>
      <c r="K963" s="9">
        <v>0</v>
      </c>
    </row>
    <row r="964" spans="1:11" x14ac:dyDescent="0.4">
      <c r="A964" s="9" t="s">
        <v>305</v>
      </c>
      <c r="B964" s="9" t="s">
        <v>31</v>
      </c>
      <c r="C964" s="9">
        <v>1</v>
      </c>
      <c r="D964" s="9" t="s">
        <v>664</v>
      </c>
      <c r="E964" s="9" t="s">
        <v>4247</v>
      </c>
      <c r="F964" s="9" t="s">
        <v>4249</v>
      </c>
      <c r="G964" s="9">
        <v>35086</v>
      </c>
      <c r="H964" s="9" t="s">
        <v>1846</v>
      </c>
      <c r="I964" s="9">
        <v>196</v>
      </c>
      <c r="J964" s="9">
        <v>22</v>
      </c>
      <c r="K964" s="9">
        <v>0</v>
      </c>
    </row>
    <row r="965" spans="1:11" x14ac:dyDescent="0.4">
      <c r="A965" s="9" t="s">
        <v>305</v>
      </c>
      <c r="B965" s="9" t="s">
        <v>31</v>
      </c>
      <c r="C965" s="9">
        <v>2</v>
      </c>
      <c r="D965" s="9" t="s">
        <v>669</v>
      </c>
      <c r="E965" s="9" t="s">
        <v>4250</v>
      </c>
      <c r="F965" s="9" t="s">
        <v>4252</v>
      </c>
      <c r="G965" s="9">
        <v>37417</v>
      </c>
      <c r="H965" s="9" t="s">
        <v>1248</v>
      </c>
      <c r="I965" s="9">
        <v>185</v>
      </c>
      <c r="J965" s="9">
        <v>21</v>
      </c>
      <c r="K965" s="9">
        <v>0</v>
      </c>
    </row>
    <row r="966" spans="1:11" x14ac:dyDescent="0.4">
      <c r="A966" s="9" t="s">
        <v>305</v>
      </c>
      <c r="B966" s="9" t="s">
        <v>31</v>
      </c>
      <c r="C966" s="9">
        <v>3</v>
      </c>
      <c r="D966" s="9" t="s">
        <v>669</v>
      </c>
      <c r="E966" s="9" t="s">
        <v>4253</v>
      </c>
      <c r="F966" s="9" t="s">
        <v>4255</v>
      </c>
      <c r="G966" s="9">
        <v>34404</v>
      </c>
      <c r="H966" s="9" t="s">
        <v>1153</v>
      </c>
      <c r="I966" s="9">
        <v>178</v>
      </c>
      <c r="J966" s="9">
        <v>94</v>
      </c>
      <c r="K966" s="9">
        <v>4</v>
      </c>
    </row>
    <row r="967" spans="1:11" x14ac:dyDescent="0.4">
      <c r="A967" s="9" t="s">
        <v>305</v>
      </c>
      <c r="B967" s="9" t="s">
        <v>31</v>
      </c>
      <c r="C967" s="9">
        <v>4</v>
      </c>
      <c r="D967" s="9" t="s">
        <v>686</v>
      </c>
      <c r="E967" s="9" t="s">
        <v>4256</v>
      </c>
      <c r="F967" s="9" t="s">
        <v>4258</v>
      </c>
      <c r="G967" s="9">
        <v>35407</v>
      </c>
      <c r="H967" s="9" t="s">
        <v>988</v>
      </c>
      <c r="I967" s="9">
        <v>193</v>
      </c>
      <c r="J967" s="9">
        <v>70</v>
      </c>
      <c r="K967" s="9">
        <v>15</v>
      </c>
    </row>
    <row r="968" spans="1:11" x14ac:dyDescent="0.4">
      <c r="A968" s="9" t="s">
        <v>305</v>
      </c>
      <c r="B968" s="9" t="s">
        <v>31</v>
      </c>
      <c r="C968" s="9">
        <v>5</v>
      </c>
      <c r="D968" s="9" t="s">
        <v>669</v>
      </c>
      <c r="E968" s="9" t="s">
        <v>4259</v>
      </c>
      <c r="F968" s="9" t="s">
        <v>4261</v>
      </c>
      <c r="G968" s="9">
        <v>33562</v>
      </c>
      <c r="H968" s="9" t="s">
        <v>4262</v>
      </c>
      <c r="I968" s="9">
        <v>188</v>
      </c>
      <c r="J968" s="9">
        <v>68</v>
      </c>
      <c r="K968" s="9">
        <v>2</v>
      </c>
    </row>
    <row r="969" spans="1:11" x14ac:dyDescent="0.4">
      <c r="A969" s="9" t="s">
        <v>305</v>
      </c>
      <c r="B969" s="9" t="s">
        <v>31</v>
      </c>
      <c r="C969" s="9">
        <v>6</v>
      </c>
      <c r="D969" s="9" t="s">
        <v>669</v>
      </c>
      <c r="E969" s="9" t="s">
        <v>4263</v>
      </c>
      <c r="F969" s="9" t="s">
        <v>4265</v>
      </c>
      <c r="G969" s="9">
        <v>35586</v>
      </c>
      <c r="H969" s="9" t="s">
        <v>1382</v>
      </c>
      <c r="I969" s="9">
        <v>180</v>
      </c>
      <c r="J969" s="9">
        <v>56</v>
      </c>
      <c r="K969" s="9">
        <v>2</v>
      </c>
    </row>
    <row r="970" spans="1:11" x14ac:dyDescent="0.4">
      <c r="A970" s="9" t="s">
        <v>305</v>
      </c>
      <c r="B970" s="9" t="s">
        <v>31</v>
      </c>
      <c r="C970" s="9">
        <v>7</v>
      </c>
      <c r="D970" s="9" t="s">
        <v>686</v>
      </c>
      <c r="E970" s="9" t="s">
        <v>4266</v>
      </c>
      <c r="F970" s="9" t="s">
        <v>4267</v>
      </c>
      <c r="G970" s="9">
        <v>34625</v>
      </c>
      <c r="H970" s="9" t="s">
        <v>992</v>
      </c>
      <c r="I970" s="9">
        <v>178</v>
      </c>
      <c r="J970" s="9">
        <v>86</v>
      </c>
      <c r="K970" s="9">
        <v>20</v>
      </c>
    </row>
    <row r="971" spans="1:11" x14ac:dyDescent="0.4">
      <c r="A971" s="9" t="s">
        <v>305</v>
      </c>
      <c r="B971" s="9" t="s">
        <v>31</v>
      </c>
      <c r="C971" s="9">
        <v>8</v>
      </c>
      <c r="D971" s="9" t="s">
        <v>686</v>
      </c>
      <c r="E971" s="9" t="s">
        <v>4268</v>
      </c>
      <c r="F971" s="9" t="s">
        <v>4270</v>
      </c>
      <c r="G971" s="9">
        <v>39160</v>
      </c>
      <c r="H971" s="9" t="s">
        <v>1007</v>
      </c>
      <c r="I971" s="9">
        <v>183</v>
      </c>
      <c r="J971" s="9">
        <v>2</v>
      </c>
      <c r="K971" s="9">
        <v>0</v>
      </c>
    </row>
    <row r="972" spans="1:11" x14ac:dyDescent="0.4">
      <c r="A972" s="9" t="s">
        <v>305</v>
      </c>
      <c r="B972" s="9" t="s">
        <v>31</v>
      </c>
      <c r="C972" s="9">
        <v>9</v>
      </c>
      <c r="D972" s="9" t="s">
        <v>691</v>
      </c>
      <c r="E972" s="9" t="s">
        <v>4271</v>
      </c>
      <c r="F972" s="9" t="s">
        <v>4273</v>
      </c>
      <c r="G972" s="9">
        <v>34979</v>
      </c>
      <c r="H972" s="9" t="s">
        <v>4274</v>
      </c>
      <c r="I972" s="9">
        <v>188</v>
      </c>
      <c r="J972" s="9">
        <v>51</v>
      </c>
      <c r="K972" s="9">
        <v>10</v>
      </c>
    </row>
    <row r="973" spans="1:11" x14ac:dyDescent="0.4">
      <c r="A973" s="9" t="s">
        <v>305</v>
      </c>
      <c r="B973" s="9" t="s">
        <v>31</v>
      </c>
      <c r="C973" s="9">
        <v>10</v>
      </c>
      <c r="D973" s="9" t="s">
        <v>691</v>
      </c>
      <c r="E973" s="9" t="s">
        <v>4275</v>
      </c>
      <c r="F973" s="9" t="s">
        <v>4277</v>
      </c>
      <c r="G973" s="9">
        <v>35259</v>
      </c>
      <c r="H973" s="9" t="s">
        <v>1914</v>
      </c>
      <c r="I973" s="9">
        <v>175</v>
      </c>
      <c r="J973" s="9">
        <v>47</v>
      </c>
      <c r="K973" s="9">
        <v>13</v>
      </c>
    </row>
    <row r="974" spans="1:11" x14ac:dyDescent="0.4">
      <c r="A974" s="9" t="s">
        <v>305</v>
      </c>
      <c r="B974" s="9" t="s">
        <v>31</v>
      </c>
      <c r="C974" s="9">
        <v>11</v>
      </c>
      <c r="D974" s="9" t="s">
        <v>686</v>
      </c>
      <c r="E974" s="9" t="s">
        <v>4278</v>
      </c>
      <c r="F974" s="9" t="s">
        <v>4280</v>
      </c>
      <c r="G974" s="9">
        <v>34752</v>
      </c>
      <c r="H974" s="9" t="s">
        <v>1252</v>
      </c>
      <c r="I974" s="9">
        <v>178</v>
      </c>
      <c r="J974" s="9">
        <v>68</v>
      </c>
      <c r="K974" s="9">
        <v>10</v>
      </c>
    </row>
    <row r="975" spans="1:11" x14ac:dyDescent="0.4">
      <c r="A975" s="9" t="s">
        <v>305</v>
      </c>
      <c r="B975" s="9" t="s">
        <v>31</v>
      </c>
      <c r="C975" s="9">
        <v>12</v>
      </c>
      <c r="D975" s="9" t="s">
        <v>664</v>
      </c>
      <c r="E975" s="9" t="s">
        <v>4281</v>
      </c>
      <c r="F975" s="9" t="s">
        <v>4283</v>
      </c>
      <c r="G975" s="9">
        <v>35087</v>
      </c>
      <c r="H975" s="9" t="s">
        <v>1048</v>
      </c>
      <c r="I975" s="9">
        <v>184</v>
      </c>
      <c r="J975" s="9">
        <v>3</v>
      </c>
      <c r="K975" s="9">
        <v>0</v>
      </c>
    </row>
    <row r="976" spans="1:11" x14ac:dyDescent="0.4">
      <c r="A976" s="9" t="s">
        <v>305</v>
      </c>
      <c r="B976" s="9" t="s">
        <v>31</v>
      </c>
      <c r="C976" s="9">
        <v>13</v>
      </c>
      <c r="D976" s="9" t="s">
        <v>669</v>
      </c>
      <c r="E976" s="9" t="s">
        <v>4284</v>
      </c>
      <c r="F976" s="9" t="s">
        <v>4286</v>
      </c>
      <c r="G976" s="9">
        <v>34826</v>
      </c>
      <c r="H976" s="9" t="s">
        <v>4213</v>
      </c>
      <c r="I976" s="9">
        <v>192</v>
      </c>
      <c r="J976" s="9">
        <v>38</v>
      </c>
      <c r="K976" s="9">
        <v>3</v>
      </c>
    </row>
    <row r="977" spans="1:11" x14ac:dyDescent="0.4">
      <c r="A977" s="9" t="s">
        <v>305</v>
      </c>
      <c r="B977" s="9" t="s">
        <v>31</v>
      </c>
      <c r="C977" s="9">
        <v>14</v>
      </c>
      <c r="D977" s="9" t="s">
        <v>691</v>
      </c>
      <c r="E977" s="9" t="s">
        <v>4287</v>
      </c>
      <c r="F977" s="9" t="s">
        <v>4289</v>
      </c>
      <c r="G977" s="9">
        <v>35257</v>
      </c>
      <c r="H977" s="9" t="s">
        <v>1411</v>
      </c>
      <c r="I977" s="9">
        <v>188</v>
      </c>
      <c r="J977" s="9">
        <v>3</v>
      </c>
      <c r="K977" s="9">
        <v>0</v>
      </c>
    </row>
    <row r="978" spans="1:11" x14ac:dyDescent="0.4">
      <c r="A978" s="9" t="s">
        <v>305</v>
      </c>
      <c r="B978" s="9" t="s">
        <v>31</v>
      </c>
      <c r="C978" s="9">
        <v>15</v>
      </c>
      <c r="D978" s="9" t="s">
        <v>669</v>
      </c>
      <c r="E978" s="9" t="s">
        <v>4290</v>
      </c>
      <c r="F978" s="9" t="s">
        <v>839</v>
      </c>
      <c r="G978" s="9">
        <v>35333</v>
      </c>
      <c r="H978" s="9" t="s">
        <v>1048</v>
      </c>
      <c r="I978" s="9">
        <v>186</v>
      </c>
      <c r="J978" s="9">
        <v>24</v>
      </c>
      <c r="K978" s="9">
        <v>2</v>
      </c>
    </row>
    <row r="979" spans="1:11" x14ac:dyDescent="0.4">
      <c r="A979" s="9" t="s">
        <v>305</v>
      </c>
      <c r="B979" s="9" t="s">
        <v>31</v>
      </c>
      <c r="C979" s="9">
        <v>16</v>
      </c>
      <c r="D979" s="9" t="s">
        <v>669</v>
      </c>
      <c r="E979" s="9" t="s">
        <v>4292</v>
      </c>
      <c r="F979" s="9" t="s">
        <v>4294</v>
      </c>
      <c r="G979" s="9">
        <v>35053</v>
      </c>
      <c r="H979" s="9" t="s">
        <v>3603</v>
      </c>
      <c r="I979" s="9">
        <v>188</v>
      </c>
      <c r="J979" s="9">
        <v>4</v>
      </c>
      <c r="K979" s="9">
        <v>0</v>
      </c>
    </row>
    <row r="980" spans="1:11" x14ac:dyDescent="0.4">
      <c r="A980" s="9" t="s">
        <v>305</v>
      </c>
      <c r="B980" s="9" t="s">
        <v>31</v>
      </c>
      <c r="C980" s="9">
        <v>17</v>
      </c>
      <c r="D980" s="9" t="s">
        <v>691</v>
      </c>
      <c r="E980" s="9" t="s">
        <v>4295</v>
      </c>
      <c r="F980" s="9" t="s">
        <v>4297</v>
      </c>
      <c r="G980" s="9">
        <v>38667</v>
      </c>
      <c r="H980" s="9" t="s">
        <v>1252</v>
      </c>
      <c r="I980" s="9">
        <v>173</v>
      </c>
      <c r="J980" s="9">
        <v>14</v>
      </c>
      <c r="K980" s="9">
        <v>1</v>
      </c>
    </row>
    <row r="981" spans="1:11" x14ac:dyDescent="0.4">
      <c r="A981" s="9" t="s">
        <v>305</v>
      </c>
      <c r="B981" s="9" t="s">
        <v>31</v>
      </c>
      <c r="C981" s="9">
        <v>18</v>
      </c>
      <c r="D981" s="9" t="s">
        <v>691</v>
      </c>
      <c r="E981" s="9" t="s">
        <v>4299</v>
      </c>
      <c r="F981" s="9" t="s">
        <v>4301</v>
      </c>
      <c r="G981" s="9">
        <v>36206</v>
      </c>
      <c r="H981" s="9" t="s">
        <v>4302</v>
      </c>
      <c r="I981" s="9">
        <v>191</v>
      </c>
      <c r="J981" s="9">
        <v>10</v>
      </c>
      <c r="K981" s="9">
        <v>1</v>
      </c>
    </row>
    <row r="982" spans="1:11" x14ac:dyDescent="0.4">
      <c r="A982" s="9" t="s">
        <v>305</v>
      </c>
      <c r="B982" s="9" t="s">
        <v>31</v>
      </c>
      <c r="C982" s="9">
        <v>19</v>
      </c>
      <c r="D982" s="9" t="s">
        <v>686</v>
      </c>
      <c r="E982" s="9" t="s">
        <v>4303</v>
      </c>
      <c r="F982" s="9" t="s">
        <v>4305</v>
      </c>
      <c r="G982" s="9">
        <v>36396</v>
      </c>
      <c r="H982" s="9" t="s">
        <v>1575</v>
      </c>
      <c r="I982" s="9">
        <v>181</v>
      </c>
      <c r="J982" s="9">
        <v>24</v>
      </c>
      <c r="K982" s="9">
        <v>1</v>
      </c>
    </row>
    <row r="983" spans="1:11" x14ac:dyDescent="0.4">
      <c r="A983" s="9" t="s">
        <v>305</v>
      </c>
      <c r="B983" s="9" t="s">
        <v>31</v>
      </c>
      <c r="C983" s="9">
        <v>20</v>
      </c>
      <c r="D983" s="9" t="s">
        <v>691</v>
      </c>
      <c r="E983" s="9" t="s">
        <v>4306</v>
      </c>
      <c r="F983" s="9" t="s">
        <v>4308</v>
      </c>
      <c r="G983" s="9">
        <v>34921</v>
      </c>
      <c r="H983" s="9" t="s">
        <v>823</v>
      </c>
      <c r="I983" s="9">
        <v>185</v>
      </c>
      <c r="J983" s="9">
        <v>20</v>
      </c>
      <c r="K983" s="9">
        <v>7</v>
      </c>
    </row>
    <row r="984" spans="1:11" x14ac:dyDescent="0.4">
      <c r="A984" s="9" t="s">
        <v>305</v>
      </c>
      <c r="B984" s="9" t="s">
        <v>31</v>
      </c>
      <c r="C984" s="9">
        <v>21</v>
      </c>
      <c r="D984" s="9" t="s">
        <v>664</v>
      </c>
      <c r="E984" s="9" t="s">
        <v>4309</v>
      </c>
      <c r="F984" s="9" t="s">
        <v>2392</v>
      </c>
      <c r="G984" s="9">
        <v>30316</v>
      </c>
      <c r="H984" s="9" t="s">
        <v>823</v>
      </c>
      <c r="I984" s="9">
        <v>193</v>
      </c>
      <c r="J984" s="9">
        <v>84</v>
      </c>
      <c r="K984" s="9">
        <v>0</v>
      </c>
    </row>
    <row r="985" spans="1:11" x14ac:dyDescent="0.4">
      <c r="A985" s="9" t="s">
        <v>305</v>
      </c>
      <c r="B985" s="9" t="s">
        <v>31</v>
      </c>
      <c r="C985" s="9">
        <v>22</v>
      </c>
      <c r="D985" s="9" t="s">
        <v>669</v>
      </c>
      <c r="E985" s="9" t="s">
        <v>4311</v>
      </c>
      <c r="F985" s="9" t="s">
        <v>4313</v>
      </c>
      <c r="G985" s="9">
        <v>37180</v>
      </c>
      <c r="H985" s="9" t="s">
        <v>2341</v>
      </c>
      <c r="I985" s="9">
        <v>183</v>
      </c>
      <c r="J985" s="9">
        <v>26</v>
      </c>
      <c r="K985" s="9">
        <v>1</v>
      </c>
    </row>
    <row r="986" spans="1:11" x14ac:dyDescent="0.4">
      <c r="A986" s="9" t="s">
        <v>305</v>
      </c>
      <c r="B986" s="9" t="s">
        <v>31</v>
      </c>
      <c r="C986" s="9">
        <v>23</v>
      </c>
      <c r="D986" s="9" t="s">
        <v>686</v>
      </c>
      <c r="E986" s="9" t="s">
        <v>4314</v>
      </c>
      <c r="F986" s="9" t="s">
        <v>4316</v>
      </c>
      <c r="G986" s="9">
        <v>33611</v>
      </c>
      <c r="H986" s="9" t="s">
        <v>803</v>
      </c>
      <c r="I986" s="9">
        <v>183</v>
      </c>
      <c r="J986" s="9">
        <v>58</v>
      </c>
      <c r="K986" s="9">
        <v>3</v>
      </c>
    </row>
    <row r="987" spans="1:11" x14ac:dyDescent="0.4">
      <c r="A987" s="9" t="s">
        <v>305</v>
      </c>
      <c r="B987" s="9" t="s">
        <v>31</v>
      </c>
      <c r="C987" s="9">
        <v>24</v>
      </c>
      <c r="D987" s="9" t="s">
        <v>669</v>
      </c>
      <c r="E987" s="9" t="s">
        <v>4317</v>
      </c>
      <c r="F987" s="9" t="s">
        <v>4319</v>
      </c>
      <c r="G987" s="9">
        <v>36115</v>
      </c>
      <c r="H987" s="9" t="s">
        <v>1382</v>
      </c>
      <c r="I987" s="9">
        <v>178</v>
      </c>
      <c r="J987" s="9">
        <v>27</v>
      </c>
      <c r="K987" s="9">
        <v>1</v>
      </c>
    </row>
    <row r="988" spans="1:11" x14ac:dyDescent="0.4">
      <c r="A988" s="9" t="s">
        <v>305</v>
      </c>
      <c r="B988" s="9" t="s">
        <v>31</v>
      </c>
      <c r="C988" s="9">
        <v>25</v>
      </c>
      <c r="D988" s="9" t="s">
        <v>691</v>
      </c>
      <c r="E988" s="9" t="s">
        <v>4320</v>
      </c>
      <c r="F988" s="9" t="s">
        <v>4322</v>
      </c>
      <c r="G988" s="9">
        <v>38877</v>
      </c>
      <c r="H988" s="9" t="s">
        <v>1739</v>
      </c>
      <c r="I988" s="9">
        <v>180</v>
      </c>
      <c r="J988" s="9">
        <v>3</v>
      </c>
      <c r="K988" s="9">
        <v>1</v>
      </c>
    </row>
    <row r="989" spans="1:11" x14ac:dyDescent="0.4">
      <c r="A989" s="9" t="s">
        <v>305</v>
      </c>
      <c r="B989" s="9" t="s">
        <v>31</v>
      </c>
      <c r="C989" s="9">
        <v>26</v>
      </c>
      <c r="D989" s="9" t="s">
        <v>669</v>
      </c>
      <c r="E989" s="9" t="s">
        <v>4323</v>
      </c>
      <c r="F989" s="9" t="s">
        <v>4325</v>
      </c>
      <c r="G989" s="9">
        <v>35381</v>
      </c>
      <c r="H989" s="9" t="s">
        <v>1876</v>
      </c>
      <c r="I989" s="9">
        <v>189</v>
      </c>
      <c r="J989" s="9">
        <v>50</v>
      </c>
      <c r="K989" s="9">
        <v>1</v>
      </c>
    </row>
    <row r="990" spans="1:11" x14ac:dyDescent="0.4">
      <c r="A990" s="9" t="s">
        <v>318</v>
      </c>
      <c r="B990" s="9" t="s">
        <v>45</v>
      </c>
      <c r="C990" s="9">
        <v>1</v>
      </c>
      <c r="D990" s="9" t="s">
        <v>664</v>
      </c>
      <c r="E990" s="9" t="s">
        <v>4326</v>
      </c>
      <c r="F990" s="9" t="s">
        <v>4328</v>
      </c>
      <c r="G990" s="9">
        <v>36480</v>
      </c>
      <c r="H990" s="9" t="s">
        <v>723</v>
      </c>
      <c r="I990" s="9">
        <v>188</v>
      </c>
      <c r="J990" s="9">
        <v>2</v>
      </c>
      <c r="K990" s="9">
        <v>0</v>
      </c>
    </row>
    <row r="991" spans="1:11" x14ac:dyDescent="0.4">
      <c r="A991" s="9" t="s">
        <v>318</v>
      </c>
      <c r="B991" s="9" t="s">
        <v>45</v>
      </c>
      <c r="C991" s="9">
        <v>2</v>
      </c>
      <c r="D991" s="9" t="s">
        <v>669</v>
      </c>
      <c r="E991" s="9" t="s">
        <v>4330</v>
      </c>
      <c r="F991" s="9" t="s">
        <v>4332</v>
      </c>
      <c r="G991" s="9">
        <v>38593</v>
      </c>
      <c r="H991" s="9" t="s">
        <v>1554</v>
      </c>
      <c r="I991" s="9">
        <v>194</v>
      </c>
      <c r="J991" s="9">
        <v>8</v>
      </c>
      <c r="K991" s="9">
        <v>0</v>
      </c>
    </row>
    <row r="992" spans="1:11" x14ac:dyDescent="0.4">
      <c r="A992" s="9" t="s">
        <v>318</v>
      </c>
      <c r="B992" s="9" t="s">
        <v>45</v>
      </c>
      <c r="C992" s="9">
        <v>3</v>
      </c>
      <c r="D992" s="9" t="s">
        <v>669</v>
      </c>
      <c r="E992" s="9" t="s">
        <v>4333</v>
      </c>
      <c r="F992" s="9" t="s">
        <v>4335</v>
      </c>
      <c r="G992" s="9">
        <v>33409</v>
      </c>
      <c r="H992" s="9" t="s">
        <v>2475</v>
      </c>
      <c r="I992" s="9">
        <v>186</v>
      </c>
      <c r="J992" s="9">
        <v>104</v>
      </c>
      <c r="K992" s="9">
        <v>2</v>
      </c>
    </row>
    <row r="993" spans="1:11" x14ac:dyDescent="0.4">
      <c r="A993" s="9" t="s">
        <v>318</v>
      </c>
      <c r="B993" s="9" t="s">
        <v>45</v>
      </c>
      <c r="C993" s="9">
        <v>4</v>
      </c>
      <c r="D993" s="9" t="s">
        <v>669</v>
      </c>
      <c r="E993" s="9" t="s">
        <v>4336</v>
      </c>
      <c r="F993" s="9" t="s">
        <v>4338</v>
      </c>
      <c r="G993" s="9">
        <v>33759</v>
      </c>
      <c r="H993" s="9" t="s">
        <v>2001</v>
      </c>
      <c r="I993" s="9">
        <v>192</v>
      </c>
      <c r="J993" s="9">
        <v>25</v>
      </c>
      <c r="K993" s="9">
        <v>4</v>
      </c>
    </row>
    <row r="994" spans="1:11" x14ac:dyDescent="0.4">
      <c r="A994" s="9" t="s">
        <v>318</v>
      </c>
      <c r="B994" s="9" t="s">
        <v>45</v>
      </c>
      <c r="C994" s="9">
        <v>5</v>
      </c>
      <c r="D994" s="9" t="s">
        <v>686</v>
      </c>
      <c r="E994" s="9" t="s">
        <v>4339</v>
      </c>
      <c r="F994" s="9" t="s">
        <v>4341</v>
      </c>
      <c r="G994" s="9">
        <v>32777</v>
      </c>
      <c r="H994" s="9" t="s">
        <v>2341</v>
      </c>
      <c r="I994" s="9">
        <v>174</v>
      </c>
      <c r="J994" s="9">
        <v>132</v>
      </c>
      <c r="K994" s="9">
        <v>7</v>
      </c>
    </row>
    <row r="995" spans="1:11" x14ac:dyDescent="0.4">
      <c r="A995" s="9" t="s">
        <v>318</v>
      </c>
      <c r="B995" s="9" t="s">
        <v>45</v>
      </c>
      <c r="C995" s="9">
        <v>6</v>
      </c>
      <c r="D995" s="9" t="s">
        <v>686</v>
      </c>
      <c r="E995" s="9" t="s">
        <v>4342</v>
      </c>
      <c r="F995" s="9" t="s">
        <v>4344</v>
      </c>
      <c r="G995" s="9">
        <v>34409</v>
      </c>
      <c r="H995" s="9" t="s">
        <v>2593</v>
      </c>
      <c r="I995" s="9">
        <v>186</v>
      </c>
      <c r="J995" s="9">
        <v>30</v>
      </c>
      <c r="K995" s="9">
        <v>0</v>
      </c>
    </row>
    <row r="996" spans="1:11" x14ac:dyDescent="0.4">
      <c r="A996" s="9" t="s">
        <v>318</v>
      </c>
      <c r="B996" s="9" t="s">
        <v>45</v>
      </c>
      <c r="C996" s="9">
        <v>7</v>
      </c>
      <c r="D996" s="9" t="s">
        <v>691</v>
      </c>
      <c r="E996" s="9" t="s">
        <v>4346</v>
      </c>
      <c r="F996" s="9" t="s">
        <v>4348</v>
      </c>
      <c r="G996" s="9">
        <v>38602</v>
      </c>
      <c r="H996" s="9" t="s">
        <v>1532</v>
      </c>
      <c r="I996" s="9">
        <v>185</v>
      </c>
      <c r="J996" s="9">
        <v>5</v>
      </c>
      <c r="K996" s="9">
        <v>0</v>
      </c>
    </row>
    <row r="997" spans="1:11" x14ac:dyDescent="0.4">
      <c r="A997" s="9" t="s">
        <v>318</v>
      </c>
      <c r="B997" s="9" t="s">
        <v>45</v>
      </c>
      <c r="C997" s="9">
        <v>8</v>
      </c>
      <c r="D997" s="9" t="s">
        <v>686</v>
      </c>
      <c r="E997" s="9" t="s">
        <v>4350</v>
      </c>
      <c r="F997" s="9" t="s">
        <v>4352</v>
      </c>
      <c r="G997" s="9">
        <v>37987</v>
      </c>
      <c r="H997" s="9" t="s">
        <v>1820</v>
      </c>
      <c r="I997" s="9">
        <v>174</v>
      </c>
      <c r="J997" s="9">
        <v>45</v>
      </c>
      <c r="K997" s="9">
        <v>7</v>
      </c>
    </row>
    <row r="998" spans="1:11" x14ac:dyDescent="0.4">
      <c r="A998" s="9" t="s">
        <v>318</v>
      </c>
      <c r="B998" s="9" t="s">
        <v>45</v>
      </c>
      <c r="C998" s="9">
        <v>9</v>
      </c>
      <c r="D998" s="9" t="s">
        <v>691</v>
      </c>
      <c r="E998" s="9" t="s">
        <v>4354</v>
      </c>
      <c r="F998" s="9" t="s">
        <v>4356</v>
      </c>
      <c r="G998" s="9">
        <v>36608</v>
      </c>
      <c r="H998" s="9" t="s">
        <v>4357</v>
      </c>
      <c r="I998" s="9">
        <v>178</v>
      </c>
      <c r="J998" s="9">
        <v>23</v>
      </c>
      <c r="K998" s="9">
        <v>2</v>
      </c>
    </row>
    <row r="999" spans="1:11" x14ac:dyDescent="0.4">
      <c r="A999" s="9" t="s">
        <v>318</v>
      </c>
      <c r="B999" s="9" t="s">
        <v>45</v>
      </c>
      <c r="C999" s="9">
        <v>10</v>
      </c>
      <c r="D999" s="9" t="s">
        <v>691</v>
      </c>
      <c r="E999" s="9" t="s">
        <v>4359</v>
      </c>
      <c r="F999" s="9" t="s">
        <v>4361</v>
      </c>
      <c r="G999" s="9">
        <v>33704</v>
      </c>
      <c r="H999" s="9" t="s">
        <v>3984</v>
      </c>
      <c r="I999" s="9">
        <v>175</v>
      </c>
      <c r="J999" s="9">
        <v>128</v>
      </c>
      <c r="K999" s="9">
        <v>55</v>
      </c>
    </row>
    <row r="1000" spans="1:11" x14ac:dyDescent="0.4">
      <c r="A1000" s="9" t="s">
        <v>318</v>
      </c>
      <c r="B1000" s="9" t="s">
        <v>45</v>
      </c>
      <c r="C1000" s="9">
        <v>11</v>
      </c>
      <c r="D1000" s="9" t="s">
        <v>691</v>
      </c>
      <c r="E1000" s="9" t="s">
        <v>4363</v>
      </c>
      <c r="F1000" s="9" t="s">
        <v>4364</v>
      </c>
      <c r="G1000" s="9">
        <v>37062</v>
      </c>
      <c r="H1000" s="9" t="s">
        <v>944</v>
      </c>
      <c r="I1000" s="9">
        <v>187</v>
      </c>
      <c r="J1000" s="9">
        <v>33</v>
      </c>
      <c r="K1000" s="9">
        <v>8</v>
      </c>
    </row>
    <row r="1001" spans="1:11" x14ac:dyDescent="0.4">
      <c r="A1001" s="9" t="s">
        <v>318</v>
      </c>
      <c r="B1001" s="9" t="s">
        <v>45</v>
      </c>
      <c r="C1001" s="9">
        <v>12</v>
      </c>
      <c r="D1001" s="9" t="s">
        <v>691</v>
      </c>
      <c r="E1001" s="9" t="s">
        <v>4366</v>
      </c>
      <c r="F1001" s="9" t="s">
        <v>4368</v>
      </c>
      <c r="G1001" s="9">
        <v>35087</v>
      </c>
      <c r="H1001" s="9" t="s">
        <v>4369</v>
      </c>
      <c r="I1001" s="9">
        <v>190</v>
      </c>
      <c r="J1001" s="9">
        <v>19</v>
      </c>
      <c r="K1001" s="9">
        <v>4</v>
      </c>
    </row>
    <row r="1002" spans="1:11" x14ac:dyDescent="0.4">
      <c r="A1002" s="9" t="s">
        <v>318</v>
      </c>
      <c r="B1002" s="9" t="s">
        <v>45</v>
      </c>
      <c r="C1002" s="9">
        <v>13</v>
      </c>
      <c r="D1002" s="9" t="s">
        <v>691</v>
      </c>
      <c r="E1002" s="9" t="s">
        <v>4371</v>
      </c>
      <c r="F1002" s="9" t="s">
        <v>4370</v>
      </c>
      <c r="G1002" s="9">
        <v>36591</v>
      </c>
      <c r="H1002" s="9" t="s">
        <v>2341</v>
      </c>
      <c r="I1002" s="9">
        <v>180</v>
      </c>
      <c r="J1002" s="9">
        <v>41</v>
      </c>
      <c r="K1002" s="9">
        <v>4</v>
      </c>
    </row>
    <row r="1003" spans="1:11" x14ac:dyDescent="0.4">
      <c r="A1003" s="9" t="s">
        <v>318</v>
      </c>
      <c r="B1003" s="9" t="s">
        <v>45</v>
      </c>
      <c r="C1003" s="9">
        <v>14</v>
      </c>
      <c r="D1003" s="9" t="s">
        <v>669</v>
      </c>
      <c r="E1003" s="9" t="s">
        <v>4373</v>
      </c>
      <c r="F1003" s="9" t="s">
        <v>4375</v>
      </c>
      <c r="G1003" s="9">
        <v>36389</v>
      </c>
      <c r="H1003" s="9" t="s">
        <v>1664</v>
      </c>
      <c r="I1003" s="9">
        <v>184</v>
      </c>
      <c r="J1003" s="9">
        <v>31</v>
      </c>
      <c r="K1003" s="9">
        <v>0</v>
      </c>
    </row>
    <row r="1004" spans="1:11" x14ac:dyDescent="0.4">
      <c r="A1004" s="9" t="s">
        <v>318</v>
      </c>
      <c r="B1004" s="9" t="s">
        <v>45</v>
      </c>
      <c r="C1004" s="9">
        <v>15</v>
      </c>
      <c r="D1004" s="9" t="s">
        <v>669</v>
      </c>
      <c r="E1004" s="9" t="s">
        <v>4376</v>
      </c>
      <c r="F1004" s="9" t="s">
        <v>4378</v>
      </c>
      <c r="G1004" s="9">
        <v>36216</v>
      </c>
      <c r="H1004" s="9" t="s">
        <v>1820</v>
      </c>
      <c r="I1004" s="9">
        <v>173</v>
      </c>
      <c r="J1004" s="9">
        <v>62</v>
      </c>
      <c r="K1004" s="9">
        <v>2</v>
      </c>
    </row>
    <row r="1005" spans="1:11" x14ac:dyDescent="0.4">
      <c r="A1005" s="9" t="s">
        <v>318</v>
      </c>
      <c r="B1005" s="9" t="s">
        <v>45</v>
      </c>
      <c r="C1005" s="9">
        <v>16</v>
      </c>
      <c r="D1005" s="9" t="s">
        <v>664</v>
      </c>
      <c r="E1005" s="9" t="s">
        <v>4379</v>
      </c>
      <c r="F1005" s="9" t="s">
        <v>4381</v>
      </c>
      <c r="G1005" s="9">
        <v>33664</v>
      </c>
      <c r="H1005" s="9" t="s">
        <v>695</v>
      </c>
      <c r="I1005" s="9">
        <v>194</v>
      </c>
      <c r="J1005" s="9">
        <v>58</v>
      </c>
      <c r="K1005" s="9">
        <v>0</v>
      </c>
    </row>
    <row r="1006" spans="1:11" x14ac:dyDescent="0.4">
      <c r="A1006" s="9" t="s">
        <v>318</v>
      </c>
      <c r="B1006" s="9" t="s">
        <v>45</v>
      </c>
      <c r="C1006" s="9">
        <v>17</v>
      </c>
      <c r="D1006" s="9" t="s">
        <v>686</v>
      </c>
      <c r="E1006" s="9" t="s">
        <v>4382</v>
      </c>
      <c r="F1006" s="9" t="s">
        <v>4384</v>
      </c>
      <c r="G1006" s="9">
        <v>37513</v>
      </c>
      <c r="H1006" s="9" t="s">
        <v>879</v>
      </c>
      <c r="I1006" s="9">
        <v>185</v>
      </c>
      <c r="J1006" s="9">
        <v>40</v>
      </c>
      <c r="K1006" s="9">
        <v>4</v>
      </c>
    </row>
    <row r="1007" spans="1:11" x14ac:dyDescent="0.4">
      <c r="A1007" s="9" t="s">
        <v>318</v>
      </c>
      <c r="B1007" s="9" t="s">
        <v>45</v>
      </c>
      <c r="C1007" s="9">
        <v>18</v>
      </c>
      <c r="D1007" s="9" t="s">
        <v>691</v>
      </c>
      <c r="E1007" s="9" t="s">
        <v>4385</v>
      </c>
      <c r="F1007" s="9" t="s">
        <v>4387</v>
      </c>
      <c r="G1007" s="9">
        <v>35851</v>
      </c>
      <c r="H1007" s="9" t="s">
        <v>1570</v>
      </c>
      <c r="I1007" s="9">
        <v>185</v>
      </c>
      <c r="J1007" s="9">
        <v>84</v>
      </c>
      <c r="K1007" s="9">
        <v>19</v>
      </c>
    </row>
    <row r="1008" spans="1:11" x14ac:dyDescent="0.4">
      <c r="A1008" s="9" t="s">
        <v>318</v>
      </c>
      <c r="B1008" s="9" t="s">
        <v>45</v>
      </c>
      <c r="C1008" s="9">
        <v>19</v>
      </c>
      <c r="D1008" s="9" t="s">
        <v>669</v>
      </c>
      <c r="E1008" s="9" t="s">
        <v>4388</v>
      </c>
      <c r="F1008" s="9" t="s">
        <v>4390</v>
      </c>
      <c r="G1008" s="9">
        <v>35132</v>
      </c>
      <c r="H1008" s="9" t="s">
        <v>1225</v>
      </c>
      <c r="I1008" s="9">
        <v>190</v>
      </c>
      <c r="J1008" s="9">
        <v>32</v>
      </c>
      <c r="K1008" s="9">
        <v>0</v>
      </c>
    </row>
    <row r="1009" spans="1:11" x14ac:dyDescent="0.4">
      <c r="A1009" s="9" t="s">
        <v>318</v>
      </c>
      <c r="B1009" s="9" t="s">
        <v>45</v>
      </c>
      <c r="C1009" s="9">
        <v>20</v>
      </c>
      <c r="D1009" s="9" t="s">
        <v>691</v>
      </c>
      <c r="E1009" s="9" t="s">
        <v>4392</v>
      </c>
      <c r="F1009" s="9" t="s">
        <v>4393</v>
      </c>
      <c r="G1009" s="9">
        <v>39471</v>
      </c>
      <c r="H1009" s="9" t="s">
        <v>1165</v>
      </c>
      <c r="I1009" s="9">
        <v>175</v>
      </c>
      <c r="J1009" s="9">
        <v>11</v>
      </c>
      <c r="K1009" s="9">
        <v>3</v>
      </c>
    </row>
    <row r="1010" spans="1:11" x14ac:dyDescent="0.4">
      <c r="A1010" s="9" t="s">
        <v>318</v>
      </c>
      <c r="B1010" s="9" t="s">
        <v>45</v>
      </c>
      <c r="C1010" s="9">
        <v>21</v>
      </c>
      <c r="D1010" s="9" t="s">
        <v>686</v>
      </c>
      <c r="E1010" s="9" t="s">
        <v>4395</v>
      </c>
      <c r="F1010" s="9" t="s">
        <v>4397</v>
      </c>
      <c r="G1010" s="9">
        <v>37989</v>
      </c>
      <c r="H1010" s="9" t="s">
        <v>1735</v>
      </c>
      <c r="I1010" s="9">
        <v>178</v>
      </c>
      <c r="J1010" s="9">
        <v>21</v>
      </c>
      <c r="K1010" s="9">
        <v>4</v>
      </c>
    </row>
    <row r="1011" spans="1:11" x14ac:dyDescent="0.4">
      <c r="A1011" s="9" t="s">
        <v>318</v>
      </c>
      <c r="B1011" s="9" t="s">
        <v>45</v>
      </c>
      <c r="C1011" s="9">
        <v>22</v>
      </c>
      <c r="D1011" s="9" t="s">
        <v>686</v>
      </c>
      <c r="E1011" s="9" t="s">
        <v>4399</v>
      </c>
      <c r="F1011" s="9" t="s">
        <v>4401</v>
      </c>
      <c r="G1011" s="9">
        <v>39447</v>
      </c>
      <c r="H1011" s="9" t="s">
        <v>944</v>
      </c>
      <c r="I1011" s="9">
        <v>180</v>
      </c>
      <c r="J1011" s="9">
        <v>1</v>
      </c>
      <c r="K1011" s="9">
        <v>0</v>
      </c>
    </row>
    <row r="1012" spans="1:11" x14ac:dyDescent="0.4">
      <c r="A1012" s="9" t="s">
        <v>318</v>
      </c>
      <c r="B1012" s="9" t="s">
        <v>45</v>
      </c>
      <c r="C1012" s="9">
        <v>23</v>
      </c>
      <c r="D1012" s="9" t="s">
        <v>664</v>
      </c>
      <c r="E1012" s="9" t="s">
        <v>4402</v>
      </c>
      <c r="F1012" s="9" t="s">
        <v>4404</v>
      </c>
      <c r="G1012" s="9">
        <v>34142</v>
      </c>
      <c r="H1012" s="9" t="s">
        <v>1683</v>
      </c>
      <c r="I1012" s="9">
        <v>197</v>
      </c>
      <c r="J1012" s="9">
        <v>5</v>
      </c>
      <c r="K1012" s="9">
        <v>0</v>
      </c>
    </row>
    <row r="1013" spans="1:11" x14ac:dyDescent="0.4">
      <c r="A1013" s="9" t="s">
        <v>318</v>
      </c>
      <c r="B1013" s="9" t="s">
        <v>45</v>
      </c>
      <c r="C1013" s="9">
        <v>24</v>
      </c>
      <c r="D1013" s="9" t="s">
        <v>669</v>
      </c>
      <c r="E1013" s="9" t="s">
        <v>4405</v>
      </c>
      <c r="F1013" s="9" t="s">
        <v>4407</v>
      </c>
      <c r="G1013" s="9">
        <v>38134</v>
      </c>
      <c r="H1013" s="9" t="s">
        <v>723</v>
      </c>
      <c r="I1013" s="9">
        <v>187</v>
      </c>
      <c r="J1013" s="9">
        <v>7</v>
      </c>
      <c r="K1013" s="9">
        <v>0</v>
      </c>
    </row>
    <row r="1014" spans="1:11" x14ac:dyDescent="0.4">
      <c r="A1014" s="9" t="s">
        <v>318</v>
      </c>
      <c r="B1014" s="9" t="s">
        <v>45</v>
      </c>
      <c r="C1014" s="9">
        <v>25</v>
      </c>
      <c r="D1014" s="9" t="s">
        <v>669</v>
      </c>
      <c r="E1014" s="9" t="s">
        <v>4408</v>
      </c>
      <c r="F1014" s="9" t="s">
        <v>4329</v>
      </c>
      <c r="G1014" s="9">
        <v>38350</v>
      </c>
      <c r="H1014" s="9" t="s">
        <v>1687</v>
      </c>
      <c r="I1014" s="9">
        <v>177</v>
      </c>
      <c r="J1014" s="9">
        <v>20</v>
      </c>
      <c r="K1014" s="9">
        <v>1</v>
      </c>
    </row>
    <row r="1015" spans="1:11" x14ac:dyDescent="0.4">
      <c r="A1015" s="9" t="s">
        <v>318</v>
      </c>
      <c r="B1015" s="9" t="s">
        <v>45</v>
      </c>
      <c r="C1015" s="9">
        <v>26</v>
      </c>
      <c r="D1015" s="9" t="s">
        <v>686</v>
      </c>
      <c r="E1015" s="9" t="s">
        <v>4410</v>
      </c>
      <c r="F1015" s="9" t="s">
        <v>4072</v>
      </c>
      <c r="G1015" s="9">
        <v>36184</v>
      </c>
      <c r="H1015" s="9" t="s">
        <v>1274</v>
      </c>
      <c r="I1015" s="9">
        <v>189</v>
      </c>
      <c r="J1015" s="9">
        <v>42</v>
      </c>
      <c r="K1015" s="9">
        <v>5</v>
      </c>
    </row>
    <row r="1016" spans="1:11" x14ac:dyDescent="0.4">
      <c r="A1016" s="9" t="s">
        <v>289</v>
      </c>
      <c r="B1016" s="9" t="s">
        <v>43</v>
      </c>
      <c r="C1016" s="9">
        <v>1</v>
      </c>
      <c r="D1016" s="9" t="s">
        <v>664</v>
      </c>
      <c r="E1016" s="9" t="s">
        <v>4412</v>
      </c>
      <c r="F1016" s="9" t="s">
        <v>2643</v>
      </c>
      <c r="G1016" s="9">
        <v>33624</v>
      </c>
      <c r="H1016" s="9" t="s">
        <v>4414</v>
      </c>
      <c r="I1016" s="9">
        <v>184</v>
      </c>
      <c r="J1016" s="9">
        <v>62</v>
      </c>
      <c r="K1016" s="9">
        <v>0</v>
      </c>
    </row>
    <row r="1017" spans="1:11" x14ac:dyDescent="0.4">
      <c r="A1017" s="9" t="s">
        <v>289</v>
      </c>
      <c r="B1017" s="9" t="s">
        <v>43</v>
      </c>
      <c r="C1017" s="9">
        <v>2</v>
      </c>
      <c r="D1017" s="9" t="s">
        <v>669</v>
      </c>
      <c r="E1017" s="9" t="s">
        <v>4415</v>
      </c>
      <c r="F1017" s="9" t="s">
        <v>4417</v>
      </c>
      <c r="G1017" s="9">
        <v>36174</v>
      </c>
      <c r="H1017" s="9" t="s">
        <v>4418</v>
      </c>
      <c r="I1017" s="9">
        <v>189</v>
      </c>
      <c r="J1017" s="9">
        <v>3</v>
      </c>
      <c r="K1017" s="9">
        <v>0</v>
      </c>
    </row>
    <row r="1018" spans="1:11" x14ac:dyDescent="0.4">
      <c r="A1018" s="9" t="s">
        <v>289</v>
      </c>
      <c r="B1018" s="9" t="s">
        <v>43</v>
      </c>
      <c r="C1018" s="9">
        <v>3</v>
      </c>
      <c r="D1018" s="9" t="s">
        <v>669</v>
      </c>
      <c r="E1018" s="9" t="s">
        <v>4419</v>
      </c>
      <c r="F1018" s="9" t="s">
        <v>4421</v>
      </c>
      <c r="G1018" s="9">
        <v>38022</v>
      </c>
      <c r="H1018" s="9" t="s">
        <v>4414</v>
      </c>
      <c r="I1018" s="9">
        <v>183</v>
      </c>
      <c r="J1018" s="9">
        <v>5</v>
      </c>
      <c r="K1018" s="9">
        <v>0</v>
      </c>
    </row>
    <row r="1019" spans="1:11" x14ac:dyDescent="0.4">
      <c r="A1019" s="9" t="s">
        <v>289</v>
      </c>
      <c r="B1019" s="9" t="s">
        <v>43</v>
      </c>
      <c r="C1019" s="9">
        <v>4</v>
      </c>
      <c r="D1019" s="9" t="s">
        <v>686</v>
      </c>
      <c r="E1019" s="9" t="s">
        <v>4422</v>
      </c>
      <c r="F1019" s="9" t="s">
        <v>4424</v>
      </c>
      <c r="G1019" s="9">
        <v>35454</v>
      </c>
      <c r="H1019" s="9" t="s">
        <v>4414</v>
      </c>
      <c r="I1019" s="9">
        <v>177</v>
      </c>
      <c r="J1019" s="9">
        <v>51</v>
      </c>
      <c r="K1019" s="9">
        <v>9</v>
      </c>
    </row>
    <row r="1020" spans="1:11" x14ac:dyDescent="0.4">
      <c r="A1020" s="9" t="s">
        <v>289</v>
      </c>
      <c r="B1020" s="9" t="s">
        <v>43</v>
      </c>
      <c r="C1020" s="9">
        <v>5</v>
      </c>
      <c r="D1020" s="9" t="s">
        <v>686</v>
      </c>
      <c r="E1020" s="9" t="s">
        <v>4425</v>
      </c>
      <c r="F1020" s="9" t="s">
        <v>4427</v>
      </c>
      <c r="G1020" s="9">
        <v>36591</v>
      </c>
      <c r="H1020" s="9" t="s">
        <v>4428</v>
      </c>
      <c r="I1020" s="9">
        <v>179</v>
      </c>
      <c r="J1020" s="9">
        <v>15</v>
      </c>
      <c r="K1020" s="9">
        <v>3</v>
      </c>
    </row>
    <row r="1021" spans="1:11" x14ac:dyDescent="0.4">
      <c r="A1021" s="9" t="s">
        <v>289</v>
      </c>
      <c r="B1021" s="9" t="s">
        <v>43</v>
      </c>
      <c r="C1021" s="9">
        <v>6</v>
      </c>
      <c r="D1021" s="9" t="s">
        <v>669</v>
      </c>
      <c r="E1021" s="9" t="s">
        <v>4429</v>
      </c>
      <c r="F1021" s="9" t="s">
        <v>4431</v>
      </c>
      <c r="G1021" s="9">
        <v>34902</v>
      </c>
      <c r="H1021" s="9" t="s">
        <v>4414</v>
      </c>
      <c r="I1021" s="9">
        <v>171</v>
      </c>
      <c r="J1021" s="9">
        <v>44</v>
      </c>
      <c r="K1021" s="9">
        <v>3</v>
      </c>
    </row>
    <row r="1022" spans="1:11" x14ac:dyDescent="0.4">
      <c r="A1022" s="9" t="s">
        <v>289</v>
      </c>
      <c r="B1022" s="9" t="s">
        <v>43</v>
      </c>
      <c r="C1022" s="9">
        <v>7</v>
      </c>
      <c r="D1022" s="9" t="s">
        <v>691</v>
      </c>
      <c r="E1022" s="9" t="s">
        <v>4432</v>
      </c>
      <c r="F1022" s="9" t="s">
        <v>4434</v>
      </c>
      <c r="G1022" s="9">
        <v>37128</v>
      </c>
      <c r="H1022" s="9" t="s">
        <v>4428</v>
      </c>
      <c r="I1022" s="9">
        <v>171</v>
      </c>
      <c r="J1022" s="9">
        <v>26</v>
      </c>
      <c r="K1022" s="9">
        <v>8</v>
      </c>
    </row>
    <row r="1023" spans="1:11" x14ac:dyDescent="0.4">
      <c r="A1023" s="9" t="s">
        <v>289</v>
      </c>
      <c r="B1023" s="9" t="s">
        <v>43</v>
      </c>
      <c r="C1023" s="9">
        <v>8</v>
      </c>
      <c r="D1023" s="9" t="s">
        <v>691</v>
      </c>
      <c r="E1023" s="9" t="s">
        <v>4435</v>
      </c>
      <c r="F1023" s="9" t="s">
        <v>4437</v>
      </c>
      <c r="G1023" s="9">
        <v>36801</v>
      </c>
      <c r="H1023" s="9" t="s">
        <v>4428</v>
      </c>
      <c r="I1023" s="9">
        <v>169</v>
      </c>
      <c r="J1023" s="9">
        <v>10</v>
      </c>
      <c r="K1023" s="9">
        <v>1</v>
      </c>
    </row>
    <row r="1024" spans="1:11" x14ac:dyDescent="0.4">
      <c r="A1024" s="9" t="s">
        <v>289</v>
      </c>
      <c r="B1024" s="9" t="s">
        <v>43</v>
      </c>
      <c r="C1024" s="9">
        <v>9</v>
      </c>
      <c r="D1024" s="9" t="s">
        <v>691</v>
      </c>
      <c r="E1024" s="9" t="s">
        <v>4438</v>
      </c>
      <c r="F1024" s="9" t="s">
        <v>4440</v>
      </c>
      <c r="G1024" s="9">
        <v>36772</v>
      </c>
      <c r="H1024" s="9" t="s">
        <v>1696</v>
      </c>
      <c r="I1024" s="9">
        <v>185</v>
      </c>
      <c r="J1024" s="9">
        <v>27</v>
      </c>
      <c r="K1024" s="9">
        <v>10</v>
      </c>
    </row>
    <row r="1025" spans="1:11" x14ac:dyDescent="0.4">
      <c r="A1025" s="9" t="s">
        <v>289</v>
      </c>
      <c r="B1025" s="9" t="s">
        <v>43</v>
      </c>
      <c r="C1025" s="9">
        <v>10</v>
      </c>
      <c r="D1025" s="9" t="s">
        <v>691</v>
      </c>
      <c r="E1025" s="9" t="s">
        <v>4441</v>
      </c>
      <c r="F1025" s="9" t="s">
        <v>4443</v>
      </c>
      <c r="G1025" s="9">
        <v>38283</v>
      </c>
      <c r="H1025" s="9" t="s">
        <v>4428</v>
      </c>
      <c r="I1025" s="9">
        <v>168</v>
      </c>
      <c r="J1025" s="9">
        <v>13</v>
      </c>
      <c r="K1025" s="9">
        <v>0</v>
      </c>
    </row>
    <row r="1026" spans="1:11" x14ac:dyDescent="0.4">
      <c r="A1026" s="9" t="s">
        <v>289</v>
      </c>
      <c r="B1026" s="9" t="s">
        <v>43</v>
      </c>
      <c r="C1026" s="9">
        <v>11</v>
      </c>
      <c r="D1026" s="9" t="s">
        <v>686</v>
      </c>
      <c r="E1026" s="9" t="s">
        <v>4444</v>
      </c>
      <c r="F1026" s="9" t="s">
        <v>4446</v>
      </c>
      <c r="G1026" s="9">
        <v>32723</v>
      </c>
      <c r="H1026" s="9" t="s">
        <v>4414</v>
      </c>
      <c r="I1026" s="9">
        <v>178</v>
      </c>
      <c r="J1026" s="9">
        <v>54</v>
      </c>
      <c r="K1026" s="9">
        <v>12</v>
      </c>
    </row>
    <row r="1027" spans="1:11" x14ac:dyDescent="0.4">
      <c r="A1027" s="9" t="s">
        <v>289</v>
      </c>
      <c r="B1027" s="9" t="s">
        <v>43</v>
      </c>
      <c r="C1027" s="9">
        <v>12</v>
      </c>
      <c r="D1027" s="9" t="s">
        <v>691</v>
      </c>
      <c r="E1027" s="9" t="s">
        <v>4447</v>
      </c>
      <c r="F1027" s="9" t="s">
        <v>4449</v>
      </c>
      <c r="G1027" s="9">
        <v>37936</v>
      </c>
      <c r="H1027" s="9" t="s">
        <v>3333</v>
      </c>
      <c r="I1027" s="9">
        <v>178</v>
      </c>
      <c r="J1027" s="9">
        <v>10</v>
      </c>
      <c r="K1027" s="9">
        <v>1</v>
      </c>
    </row>
    <row r="1028" spans="1:11" x14ac:dyDescent="0.4">
      <c r="A1028" s="9" t="s">
        <v>289</v>
      </c>
      <c r="B1028" s="9" t="s">
        <v>43</v>
      </c>
      <c r="C1028" s="9">
        <v>13</v>
      </c>
      <c r="D1028" s="9" t="s">
        <v>686</v>
      </c>
      <c r="E1028" s="9" t="s">
        <v>4450</v>
      </c>
      <c r="F1028" s="9" t="s">
        <v>4452</v>
      </c>
      <c r="G1028" s="9">
        <v>36222</v>
      </c>
      <c r="H1028" s="9" t="s">
        <v>4453</v>
      </c>
      <c r="I1028" s="9">
        <v>197</v>
      </c>
      <c r="J1028" s="9">
        <v>28</v>
      </c>
      <c r="K1028" s="9">
        <v>1</v>
      </c>
    </row>
    <row r="1029" spans="1:11" x14ac:dyDescent="0.4">
      <c r="A1029" s="9" t="s">
        <v>289</v>
      </c>
      <c r="B1029" s="9" t="s">
        <v>43</v>
      </c>
      <c r="C1029" s="9">
        <v>14</v>
      </c>
      <c r="D1029" s="9" t="s">
        <v>669</v>
      </c>
      <c r="E1029" s="9" t="s">
        <v>4454</v>
      </c>
      <c r="F1029" s="9" t="s">
        <v>4456</v>
      </c>
      <c r="G1029" s="9">
        <v>38614</v>
      </c>
      <c r="H1029" s="9" t="s">
        <v>1395</v>
      </c>
      <c r="I1029" s="9">
        <v>177</v>
      </c>
      <c r="J1029" s="9">
        <v>10</v>
      </c>
      <c r="K1029" s="9">
        <v>1</v>
      </c>
    </row>
    <row r="1030" spans="1:11" x14ac:dyDescent="0.4">
      <c r="A1030" s="9" t="s">
        <v>289</v>
      </c>
      <c r="B1030" s="9" t="s">
        <v>43</v>
      </c>
      <c r="C1030" s="9">
        <v>15</v>
      </c>
      <c r="D1030" s="9" t="s">
        <v>691</v>
      </c>
      <c r="E1030" s="9" t="s">
        <v>4457</v>
      </c>
      <c r="F1030" s="9" t="s">
        <v>4459</v>
      </c>
      <c r="G1030" s="9">
        <v>35052</v>
      </c>
      <c r="H1030" s="9" t="s">
        <v>4414</v>
      </c>
      <c r="I1030" s="9">
        <v>174</v>
      </c>
      <c r="J1030" s="9">
        <v>14</v>
      </c>
      <c r="K1030" s="9">
        <v>4</v>
      </c>
    </row>
    <row r="1031" spans="1:11" x14ac:dyDescent="0.4">
      <c r="A1031" s="9" t="s">
        <v>289</v>
      </c>
      <c r="B1031" s="9" t="s">
        <v>43</v>
      </c>
      <c r="C1031" s="9">
        <v>16</v>
      </c>
      <c r="D1031" s="9" t="s">
        <v>664</v>
      </c>
      <c r="E1031" s="9" t="s">
        <v>4460</v>
      </c>
      <c r="F1031" s="9" t="s">
        <v>4462</v>
      </c>
      <c r="G1031" s="9">
        <v>35413</v>
      </c>
      <c r="H1031" s="9" t="s">
        <v>4428</v>
      </c>
      <c r="I1031" s="9">
        <v>186</v>
      </c>
      <c r="J1031" s="9">
        <v>4</v>
      </c>
      <c r="K1031" s="9">
        <v>0</v>
      </c>
    </row>
    <row r="1032" spans="1:11" x14ac:dyDescent="0.4">
      <c r="A1032" s="9" t="s">
        <v>289</v>
      </c>
      <c r="B1032" s="9" t="s">
        <v>43</v>
      </c>
      <c r="C1032" s="9">
        <v>17</v>
      </c>
      <c r="D1032" s="9" t="s">
        <v>691</v>
      </c>
      <c r="E1032" s="9" t="s">
        <v>4463</v>
      </c>
      <c r="F1032" s="9" t="s">
        <v>4465</v>
      </c>
      <c r="G1032" s="9">
        <v>36682</v>
      </c>
      <c r="H1032" s="9" t="s">
        <v>4428</v>
      </c>
      <c r="I1032" s="9">
        <v>183</v>
      </c>
      <c r="J1032" s="9">
        <v>26</v>
      </c>
      <c r="K1032" s="9">
        <v>6</v>
      </c>
    </row>
    <row r="1033" spans="1:11" x14ac:dyDescent="0.4">
      <c r="A1033" s="9" t="s">
        <v>289</v>
      </c>
      <c r="B1033" s="9" t="s">
        <v>43</v>
      </c>
      <c r="C1033" s="9">
        <v>18</v>
      </c>
      <c r="D1033" s="9" t="s">
        <v>669</v>
      </c>
      <c r="E1033" s="9" t="s">
        <v>4467</v>
      </c>
      <c r="F1033" s="9" t="s">
        <v>4469</v>
      </c>
      <c r="G1033" s="9">
        <v>38061</v>
      </c>
      <c r="H1033" s="9" t="s">
        <v>4470</v>
      </c>
      <c r="I1033" s="9">
        <v>179</v>
      </c>
      <c r="J1033" s="9">
        <v>6</v>
      </c>
      <c r="K1033" s="9">
        <v>0</v>
      </c>
    </row>
    <row r="1034" spans="1:11" x14ac:dyDescent="0.4">
      <c r="A1034" s="9" t="s">
        <v>289</v>
      </c>
      <c r="B1034" s="9" t="s">
        <v>43</v>
      </c>
      <c r="C1034" s="9">
        <v>19</v>
      </c>
      <c r="D1034" s="9" t="s">
        <v>669</v>
      </c>
      <c r="E1034" s="9" t="s">
        <v>4471</v>
      </c>
      <c r="F1034" s="9" t="s">
        <v>4473</v>
      </c>
      <c r="G1034" s="9">
        <v>34964</v>
      </c>
      <c r="H1034" s="9" t="s">
        <v>4428</v>
      </c>
      <c r="I1034" s="9">
        <v>172</v>
      </c>
      <c r="J1034" s="9">
        <v>20</v>
      </c>
      <c r="K1034" s="9">
        <v>0</v>
      </c>
    </row>
    <row r="1035" spans="1:11" x14ac:dyDescent="0.4">
      <c r="A1035" s="9" t="s">
        <v>289</v>
      </c>
      <c r="B1035" s="9" t="s">
        <v>43</v>
      </c>
      <c r="C1035" s="9">
        <v>20</v>
      </c>
      <c r="D1035" s="9" t="s">
        <v>669</v>
      </c>
      <c r="E1035" s="9" t="s">
        <v>4474</v>
      </c>
      <c r="F1035" s="9" t="s">
        <v>4476</v>
      </c>
      <c r="G1035" s="9">
        <v>34815</v>
      </c>
      <c r="H1035" s="9" t="s">
        <v>4414</v>
      </c>
      <c r="I1035" s="9">
        <v>179</v>
      </c>
      <c r="J1035" s="9">
        <v>32</v>
      </c>
      <c r="K1035" s="9">
        <v>1</v>
      </c>
    </row>
    <row r="1036" spans="1:11" x14ac:dyDescent="0.4">
      <c r="A1036" s="9" t="s">
        <v>289</v>
      </c>
      <c r="B1036" s="9" t="s">
        <v>43</v>
      </c>
      <c r="C1036" s="9">
        <v>21</v>
      </c>
      <c r="D1036" s="9" t="s">
        <v>669</v>
      </c>
      <c r="E1036" s="9" t="s">
        <v>4477</v>
      </c>
      <c r="F1036" s="9" t="s">
        <v>4479</v>
      </c>
      <c r="G1036" s="9">
        <v>38037</v>
      </c>
      <c r="H1036" s="9" t="s">
        <v>4480</v>
      </c>
      <c r="I1036" s="9">
        <v>187</v>
      </c>
      <c r="J1036" s="9">
        <v>8</v>
      </c>
      <c r="K1036" s="9">
        <v>1</v>
      </c>
    </row>
    <row r="1037" spans="1:11" x14ac:dyDescent="0.4">
      <c r="A1037" s="9" t="s">
        <v>289</v>
      </c>
      <c r="B1037" s="9" t="s">
        <v>43</v>
      </c>
      <c r="C1037" s="9">
        <v>22</v>
      </c>
      <c r="D1037" s="9" t="s">
        <v>664</v>
      </c>
      <c r="E1037" s="9" t="s">
        <v>4481</v>
      </c>
      <c r="F1037" s="9" t="s">
        <v>4483</v>
      </c>
      <c r="G1037" s="9">
        <v>34426</v>
      </c>
      <c r="H1037" s="9" t="s">
        <v>4484</v>
      </c>
      <c r="I1037" s="9">
        <v>181</v>
      </c>
      <c r="J1037" s="9">
        <v>5</v>
      </c>
      <c r="K1037" s="9">
        <v>0</v>
      </c>
    </row>
    <row r="1038" spans="1:11" x14ac:dyDescent="0.4">
      <c r="A1038" s="9" t="s">
        <v>289</v>
      </c>
      <c r="B1038" s="9" t="s">
        <v>43</v>
      </c>
      <c r="C1038" s="9">
        <v>23</v>
      </c>
      <c r="D1038" s="9" t="s">
        <v>686</v>
      </c>
      <c r="E1038" s="9" t="s">
        <v>4485</v>
      </c>
      <c r="F1038" s="9" t="s">
        <v>4277</v>
      </c>
      <c r="G1038" s="9">
        <v>37016</v>
      </c>
      <c r="I1038" s="9">
        <v>177</v>
      </c>
      <c r="J1038" s="9">
        <v>9</v>
      </c>
      <c r="K1038" s="9">
        <v>1</v>
      </c>
    </row>
    <row r="1039" spans="1:11" x14ac:dyDescent="0.4">
      <c r="A1039" s="9" t="s">
        <v>289</v>
      </c>
      <c r="B1039" s="9" t="s">
        <v>43</v>
      </c>
      <c r="C1039" s="9">
        <v>24</v>
      </c>
      <c r="D1039" s="9" t="s">
        <v>669</v>
      </c>
      <c r="E1039" s="9" t="s">
        <v>4488</v>
      </c>
      <c r="F1039" s="9" t="s">
        <v>4490</v>
      </c>
      <c r="G1039" s="9">
        <v>38107</v>
      </c>
      <c r="H1039" s="9" t="s">
        <v>2733</v>
      </c>
      <c r="I1039" s="9">
        <v>185</v>
      </c>
      <c r="J1039" s="9">
        <v>1</v>
      </c>
      <c r="K1039" s="9">
        <v>0</v>
      </c>
    </row>
    <row r="1040" spans="1:11" x14ac:dyDescent="0.4">
      <c r="A1040" s="9" t="s">
        <v>289</v>
      </c>
      <c r="B1040" s="9" t="s">
        <v>43</v>
      </c>
      <c r="C1040" s="9">
        <v>25</v>
      </c>
      <c r="D1040" s="9" t="s">
        <v>691</v>
      </c>
      <c r="E1040" s="9" t="s">
        <v>4491</v>
      </c>
      <c r="F1040" s="9" t="s">
        <v>4493</v>
      </c>
      <c r="G1040" s="9">
        <v>37458</v>
      </c>
      <c r="H1040" s="9" t="s">
        <v>4428</v>
      </c>
      <c r="I1040" s="9">
        <v>166</v>
      </c>
      <c r="J1040" s="9">
        <v>3</v>
      </c>
      <c r="K1040" s="9">
        <v>0</v>
      </c>
    </row>
    <row r="1041" spans="1:11" x14ac:dyDescent="0.4">
      <c r="A1041" s="9" t="s">
        <v>289</v>
      </c>
      <c r="B1041" s="9" t="s">
        <v>43</v>
      </c>
      <c r="C1041" s="9">
        <v>26</v>
      </c>
      <c r="D1041" s="9" t="s">
        <v>669</v>
      </c>
      <c r="E1041" s="9" t="s">
        <v>4494</v>
      </c>
      <c r="F1041" s="9" t="s">
        <v>4496</v>
      </c>
      <c r="G1041" s="9">
        <v>36921</v>
      </c>
      <c r="H1041" s="9" t="s">
        <v>4497</v>
      </c>
      <c r="I1041" s="9">
        <v>175</v>
      </c>
      <c r="J1041" s="9">
        <v>1</v>
      </c>
      <c r="K1041" s="9">
        <v>0</v>
      </c>
    </row>
    <row r="1042" spans="1:11" x14ac:dyDescent="0.4">
      <c r="A1042" s="9" t="s">
        <v>293</v>
      </c>
      <c r="B1042" s="9" t="s">
        <v>19</v>
      </c>
      <c r="C1042" s="9">
        <v>1</v>
      </c>
      <c r="D1042" s="9" t="s">
        <v>664</v>
      </c>
      <c r="E1042" s="9" t="s">
        <v>4498</v>
      </c>
      <c r="F1042" s="9" t="s">
        <v>4499</v>
      </c>
      <c r="G1042" s="9">
        <v>34957</v>
      </c>
      <c r="H1042" s="9" t="s">
        <v>1000</v>
      </c>
      <c r="I1042" s="9">
        <v>186</v>
      </c>
      <c r="J1042" s="9">
        <v>13</v>
      </c>
      <c r="K1042" s="9">
        <v>0</v>
      </c>
    </row>
    <row r="1043" spans="1:11" x14ac:dyDescent="0.4">
      <c r="A1043" s="9" t="s">
        <v>293</v>
      </c>
      <c r="B1043" s="9" t="s">
        <v>19</v>
      </c>
      <c r="C1043" s="9">
        <v>2</v>
      </c>
      <c r="D1043" s="9" t="s">
        <v>669</v>
      </c>
      <c r="E1043" s="9" t="s">
        <v>4501</v>
      </c>
      <c r="F1043" s="9" t="s">
        <v>4503</v>
      </c>
      <c r="G1043" s="9">
        <v>37792</v>
      </c>
      <c r="H1043" s="9" t="s">
        <v>1475</v>
      </c>
      <c r="I1043" s="9">
        <v>191</v>
      </c>
      <c r="J1043" s="9">
        <v>2</v>
      </c>
      <c r="K1043" s="9">
        <v>0</v>
      </c>
    </row>
    <row r="1044" spans="1:11" x14ac:dyDescent="0.4">
      <c r="A1044" s="9" t="s">
        <v>293</v>
      </c>
      <c r="B1044" s="9" t="s">
        <v>19</v>
      </c>
      <c r="C1044" s="9">
        <v>3</v>
      </c>
      <c r="D1044" s="9" t="s">
        <v>669</v>
      </c>
      <c r="E1044" s="9" t="s">
        <v>4505</v>
      </c>
      <c r="F1044" s="9" t="s">
        <v>4507</v>
      </c>
      <c r="G1044" s="9">
        <v>34962</v>
      </c>
      <c r="H1044" s="9" t="s">
        <v>753</v>
      </c>
      <c r="I1044" s="9">
        <v>171</v>
      </c>
      <c r="J1044" s="9">
        <v>14</v>
      </c>
      <c r="K1044" s="9">
        <v>0</v>
      </c>
    </row>
    <row r="1045" spans="1:11" x14ac:dyDescent="0.4">
      <c r="A1045" s="9" t="s">
        <v>293</v>
      </c>
      <c r="B1045" s="9" t="s">
        <v>19</v>
      </c>
      <c r="C1045" s="9">
        <v>4</v>
      </c>
      <c r="D1045" s="9" t="s">
        <v>669</v>
      </c>
      <c r="E1045" s="9" t="s">
        <v>4509</v>
      </c>
      <c r="F1045" s="9" t="s">
        <v>4511</v>
      </c>
      <c r="G1045" s="9">
        <v>36900</v>
      </c>
      <c r="H1045" s="9" t="s">
        <v>1193</v>
      </c>
      <c r="I1045" s="9">
        <v>183</v>
      </c>
      <c r="J1045" s="9">
        <v>21</v>
      </c>
      <c r="K1045" s="9">
        <v>0</v>
      </c>
    </row>
    <row r="1046" spans="1:11" x14ac:dyDescent="0.4">
      <c r="A1046" s="9" t="s">
        <v>293</v>
      </c>
      <c r="B1046" s="9" t="s">
        <v>19</v>
      </c>
      <c r="C1046" s="9">
        <v>5</v>
      </c>
      <c r="D1046" s="9" t="s">
        <v>669</v>
      </c>
      <c r="E1046" s="9" t="s">
        <v>4513</v>
      </c>
      <c r="F1046" s="9" t="s">
        <v>4514</v>
      </c>
      <c r="G1046" s="9">
        <v>34729</v>
      </c>
      <c r="H1046" s="9" t="s">
        <v>1475</v>
      </c>
      <c r="I1046" s="9">
        <v>183</v>
      </c>
      <c r="J1046" s="9">
        <v>24</v>
      </c>
      <c r="K1046" s="9">
        <v>0</v>
      </c>
    </row>
    <row r="1047" spans="1:11" x14ac:dyDescent="0.4">
      <c r="A1047" s="9" t="s">
        <v>293</v>
      </c>
      <c r="B1047" s="9" t="s">
        <v>19</v>
      </c>
      <c r="C1047" s="9">
        <v>6</v>
      </c>
      <c r="D1047" s="9" t="s">
        <v>686</v>
      </c>
      <c r="E1047" s="9" t="s">
        <v>4516</v>
      </c>
      <c r="F1047" s="9" t="s">
        <v>4518</v>
      </c>
      <c r="G1047" s="9">
        <v>35238</v>
      </c>
      <c r="H1047" s="9" t="s">
        <v>1000</v>
      </c>
      <c r="I1047" s="9">
        <v>188</v>
      </c>
      <c r="J1047" s="9">
        <v>43</v>
      </c>
      <c r="K1047" s="9">
        <v>10</v>
      </c>
    </row>
    <row r="1048" spans="1:11" x14ac:dyDescent="0.4">
      <c r="A1048" s="9" t="s">
        <v>293</v>
      </c>
      <c r="B1048" s="9" t="s">
        <v>19</v>
      </c>
      <c r="C1048" s="9">
        <v>7</v>
      </c>
      <c r="D1048" s="9" t="s">
        <v>691</v>
      </c>
      <c r="E1048" s="9" t="s">
        <v>4520</v>
      </c>
      <c r="F1048" s="9" t="s">
        <v>4522</v>
      </c>
      <c r="G1048" s="9">
        <v>36585</v>
      </c>
      <c r="H1048" s="9" t="s">
        <v>1193</v>
      </c>
      <c r="I1048" s="9">
        <v>183</v>
      </c>
      <c r="J1048" s="9">
        <v>57</v>
      </c>
      <c r="K1048" s="9">
        <v>24</v>
      </c>
    </row>
    <row r="1049" spans="1:11" x14ac:dyDescent="0.4">
      <c r="A1049" s="9" t="s">
        <v>293</v>
      </c>
      <c r="B1049" s="9" t="s">
        <v>19</v>
      </c>
      <c r="C1049" s="9">
        <v>8</v>
      </c>
      <c r="D1049" s="9" t="s">
        <v>686</v>
      </c>
      <c r="E1049" s="9" t="s">
        <v>4524</v>
      </c>
      <c r="F1049" s="9" t="s">
        <v>4526</v>
      </c>
      <c r="G1049" s="9">
        <v>35158</v>
      </c>
      <c r="H1049" s="9" t="s">
        <v>1165</v>
      </c>
      <c r="I1049" s="9">
        <v>188</v>
      </c>
      <c r="J1049" s="9">
        <v>42</v>
      </c>
      <c r="K1049" s="9">
        <v>6</v>
      </c>
    </row>
    <row r="1050" spans="1:11" x14ac:dyDescent="0.4">
      <c r="A1050" s="9" t="s">
        <v>293</v>
      </c>
      <c r="B1050" s="9" t="s">
        <v>19</v>
      </c>
      <c r="C1050" s="9">
        <v>9</v>
      </c>
      <c r="D1050" s="9" t="s">
        <v>686</v>
      </c>
      <c r="E1050" s="9" t="s">
        <v>4528</v>
      </c>
      <c r="F1050" s="9" t="s">
        <v>4528</v>
      </c>
      <c r="G1050" s="9">
        <v>38204</v>
      </c>
      <c r="H1050" s="9" t="s">
        <v>1193</v>
      </c>
      <c r="I1050" s="9">
        <v>173</v>
      </c>
      <c r="J1050" s="9">
        <v>30</v>
      </c>
      <c r="K1050" s="9">
        <v>5</v>
      </c>
    </row>
    <row r="1051" spans="1:11" x14ac:dyDescent="0.4">
      <c r="A1051" s="9" t="s">
        <v>293</v>
      </c>
      <c r="B1051" s="9" t="s">
        <v>19</v>
      </c>
      <c r="C1051" s="9">
        <v>10</v>
      </c>
      <c r="D1051" s="9" t="s">
        <v>691</v>
      </c>
      <c r="E1051" s="9" t="s">
        <v>4531</v>
      </c>
      <c r="F1051" s="9" t="s">
        <v>4532</v>
      </c>
      <c r="G1051" s="9">
        <v>35922</v>
      </c>
      <c r="H1051" s="9" t="s">
        <v>1193</v>
      </c>
      <c r="I1051" s="9">
        <v>179</v>
      </c>
      <c r="J1051" s="9">
        <v>50</v>
      </c>
      <c r="K1051" s="9">
        <v>12</v>
      </c>
    </row>
    <row r="1052" spans="1:11" x14ac:dyDescent="0.4">
      <c r="A1052" s="9" t="s">
        <v>293</v>
      </c>
      <c r="B1052" s="9" t="s">
        <v>19</v>
      </c>
      <c r="C1052" s="9">
        <v>11</v>
      </c>
      <c r="D1052" s="9" t="s">
        <v>691</v>
      </c>
      <c r="E1052" s="9" t="s">
        <v>4534</v>
      </c>
      <c r="F1052" s="9" t="s">
        <v>4536</v>
      </c>
      <c r="G1052" s="9">
        <v>37549</v>
      </c>
      <c r="H1052" s="9" t="s">
        <v>1570</v>
      </c>
      <c r="I1052" s="9">
        <v>174</v>
      </c>
      <c r="J1052" s="9">
        <v>23</v>
      </c>
      <c r="K1052" s="9">
        <v>4</v>
      </c>
    </row>
    <row r="1053" spans="1:11" x14ac:dyDescent="0.4">
      <c r="A1053" s="9" t="s">
        <v>293</v>
      </c>
      <c r="B1053" s="9" t="s">
        <v>19</v>
      </c>
      <c r="C1053" s="9">
        <v>12</v>
      </c>
      <c r="D1053" s="9" t="s">
        <v>669</v>
      </c>
      <c r="E1053" s="9" t="s">
        <v>4538</v>
      </c>
      <c r="F1053" s="9" t="s">
        <v>4540</v>
      </c>
      <c r="G1053" s="9">
        <v>36416</v>
      </c>
      <c r="H1053" s="9" t="s">
        <v>879</v>
      </c>
      <c r="I1053" s="9">
        <v>173</v>
      </c>
      <c r="J1053" s="9">
        <v>18</v>
      </c>
      <c r="K1053" s="9">
        <v>0</v>
      </c>
    </row>
    <row r="1054" spans="1:11" x14ac:dyDescent="0.4">
      <c r="A1054" s="9" t="s">
        <v>293</v>
      </c>
      <c r="B1054" s="9" t="s">
        <v>19</v>
      </c>
      <c r="C1054" s="9">
        <v>13</v>
      </c>
      <c r="D1054" s="9" t="s">
        <v>664</v>
      </c>
      <c r="E1054" s="9" t="s">
        <v>4542</v>
      </c>
      <c r="F1054" s="9" t="s">
        <v>4544</v>
      </c>
      <c r="G1054" s="9">
        <v>37015</v>
      </c>
      <c r="H1054" s="9" t="s">
        <v>1193</v>
      </c>
      <c r="I1054" s="9">
        <v>194</v>
      </c>
      <c r="J1054" s="9">
        <v>2</v>
      </c>
      <c r="K1054" s="9">
        <v>0</v>
      </c>
    </row>
    <row r="1055" spans="1:11" x14ac:dyDescent="0.4">
      <c r="A1055" s="9" t="s">
        <v>293</v>
      </c>
      <c r="B1055" s="9" t="s">
        <v>19</v>
      </c>
      <c r="C1055" s="9">
        <v>14</v>
      </c>
      <c r="D1055" s="9" t="s">
        <v>669</v>
      </c>
      <c r="E1055" s="9" t="s">
        <v>4546</v>
      </c>
      <c r="F1055" s="9" t="s">
        <v>4548</v>
      </c>
      <c r="G1055" s="9">
        <v>34481</v>
      </c>
      <c r="H1055" s="9" t="s">
        <v>2644</v>
      </c>
      <c r="I1055" s="9">
        <v>191</v>
      </c>
      <c r="J1055" s="9">
        <v>46</v>
      </c>
      <c r="K1055" s="9">
        <v>2</v>
      </c>
    </row>
    <row r="1056" spans="1:11" x14ac:dyDescent="0.4">
      <c r="A1056" s="9" t="s">
        <v>293</v>
      </c>
      <c r="B1056" s="9" t="s">
        <v>19</v>
      </c>
      <c r="C1056" s="9">
        <v>15</v>
      </c>
      <c r="D1056" s="9" t="s">
        <v>686</v>
      </c>
      <c r="E1056" s="9" t="s">
        <v>4550</v>
      </c>
      <c r="F1056" s="9" t="s">
        <v>4551</v>
      </c>
      <c r="G1056" s="9">
        <v>37092</v>
      </c>
      <c r="H1056" s="9" t="s">
        <v>1475</v>
      </c>
      <c r="I1056" s="9">
        <v>172</v>
      </c>
      <c r="J1056" s="9">
        <v>17</v>
      </c>
      <c r="K1056" s="9">
        <v>2</v>
      </c>
    </row>
    <row r="1057" spans="1:11" x14ac:dyDescent="0.4">
      <c r="A1057" s="9" t="s">
        <v>293</v>
      </c>
      <c r="B1057" s="9" t="s">
        <v>19</v>
      </c>
      <c r="C1057" s="9">
        <v>16</v>
      </c>
      <c r="D1057" s="9" t="s">
        <v>686</v>
      </c>
      <c r="E1057" s="9" t="s">
        <v>4553</v>
      </c>
      <c r="F1057" s="9" t="s">
        <v>4555</v>
      </c>
      <c r="G1057" s="9">
        <v>35238</v>
      </c>
      <c r="H1057" s="9" t="s">
        <v>727</v>
      </c>
      <c r="I1057" s="9">
        <v>190</v>
      </c>
      <c r="J1057" s="9">
        <v>62</v>
      </c>
      <c r="K1057" s="9">
        <v>4</v>
      </c>
    </row>
    <row r="1058" spans="1:11" x14ac:dyDescent="0.4">
      <c r="A1058" s="9" t="s">
        <v>293</v>
      </c>
      <c r="B1058" s="9" t="s">
        <v>19</v>
      </c>
      <c r="C1058" s="9">
        <v>17</v>
      </c>
      <c r="D1058" s="9" t="s">
        <v>691</v>
      </c>
      <c r="E1058" s="9" t="s">
        <v>4557</v>
      </c>
      <c r="F1058" s="9" t="s">
        <v>4559</v>
      </c>
      <c r="G1058" s="9">
        <v>37449</v>
      </c>
      <c r="H1058" s="9" t="s">
        <v>2644</v>
      </c>
      <c r="I1058" s="9">
        <v>181</v>
      </c>
      <c r="J1058" s="9">
        <v>30</v>
      </c>
      <c r="K1058" s="9">
        <v>6</v>
      </c>
    </row>
    <row r="1059" spans="1:11" x14ac:dyDescent="0.4">
      <c r="A1059" s="9" t="s">
        <v>293</v>
      </c>
      <c r="B1059" s="9" t="s">
        <v>19</v>
      </c>
      <c r="C1059" s="9">
        <v>18</v>
      </c>
      <c r="D1059" s="9" t="s">
        <v>686</v>
      </c>
      <c r="E1059" s="9" t="s">
        <v>4560</v>
      </c>
      <c r="F1059" s="9" t="s">
        <v>4561</v>
      </c>
      <c r="G1059" s="9">
        <v>36193</v>
      </c>
      <c r="H1059" s="9" t="s">
        <v>1000</v>
      </c>
      <c r="I1059" s="9">
        <v>181</v>
      </c>
      <c r="J1059" s="9">
        <v>26</v>
      </c>
      <c r="K1059" s="9">
        <v>3</v>
      </c>
    </row>
    <row r="1060" spans="1:11" x14ac:dyDescent="0.4">
      <c r="A1060" s="9" t="s">
        <v>293</v>
      </c>
      <c r="B1060" s="9" t="s">
        <v>19</v>
      </c>
      <c r="C1060" s="9">
        <v>19</v>
      </c>
      <c r="D1060" s="9" t="s">
        <v>691</v>
      </c>
      <c r="E1060" s="9" t="s">
        <v>4563</v>
      </c>
      <c r="F1060" s="9" t="s">
        <v>4565</v>
      </c>
      <c r="G1060" s="9">
        <v>39276</v>
      </c>
      <c r="H1060" s="9" t="s">
        <v>1193</v>
      </c>
      <c r="I1060" s="9">
        <v>183</v>
      </c>
      <c r="J1060" s="9">
        <v>25</v>
      </c>
      <c r="K1060" s="9">
        <v>6</v>
      </c>
    </row>
    <row r="1061" spans="1:11" x14ac:dyDescent="0.4">
      <c r="A1061" s="9" t="s">
        <v>293</v>
      </c>
      <c r="B1061" s="9" t="s">
        <v>19</v>
      </c>
      <c r="C1061" s="9">
        <v>20</v>
      </c>
      <c r="D1061" s="9" t="s">
        <v>686</v>
      </c>
      <c r="E1061" s="9" t="s">
        <v>4567</v>
      </c>
      <c r="F1061" s="9" t="s">
        <v>4567</v>
      </c>
      <c r="G1061" s="9">
        <v>37585</v>
      </c>
      <c r="H1061" s="9" t="s">
        <v>1193</v>
      </c>
      <c r="I1061" s="9">
        <v>174</v>
      </c>
      <c r="J1061" s="9">
        <v>41</v>
      </c>
      <c r="K1061" s="9">
        <v>6</v>
      </c>
    </row>
    <row r="1062" spans="1:11" x14ac:dyDescent="0.4">
      <c r="A1062" s="9" t="s">
        <v>293</v>
      </c>
      <c r="B1062" s="9" t="s">
        <v>19</v>
      </c>
      <c r="C1062" s="9">
        <v>21</v>
      </c>
      <c r="D1062" s="9" t="s">
        <v>691</v>
      </c>
      <c r="E1062" s="9" t="s">
        <v>4569</v>
      </c>
      <c r="F1062" s="9" t="s">
        <v>4570</v>
      </c>
      <c r="G1062" s="9">
        <v>35541</v>
      </c>
      <c r="H1062" s="9" t="s">
        <v>1890</v>
      </c>
      <c r="I1062" s="9">
        <v>181</v>
      </c>
      <c r="J1062" s="9">
        <v>53</v>
      </c>
      <c r="K1062" s="9">
        <v>25</v>
      </c>
    </row>
    <row r="1063" spans="1:11" x14ac:dyDescent="0.4">
      <c r="A1063" s="9" t="s">
        <v>293</v>
      </c>
      <c r="B1063" s="9" t="s">
        <v>19</v>
      </c>
      <c r="C1063" s="9">
        <v>22</v>
      </c>
      <c r="D1063" s="9" t="s">
        <v>669</v>
      </c>
      <c r="E1063" s="9" t="s">
        <v>4572</v>
      </c>
      <c r="F1063" s="9" t="s">
        <v>4574</v>
      </c>
      <c r="G1063" s="9">
        <v>39104</v>
      </c>
      <c r="H1063" s="9" t="s">
        <v>1193</v>
      </c>
      <c r="I1063" s="9">
        <v>183</v>
      </c>
      <c r="J1063" s="9">
        <v>12</v>
      </c>
      <c r="K1063" s="9">
        <v>0</v>
      </c>
    </row>
    <row r="1064" spans="1:11" x14ac:dyDescent="0.4">
      <c r="A1064" s="9" t="s">
        <v>293</v>
      </c>
      <c r="B1064" s="9" t="s">
        <v>19</v>
      </c>
      <c r="C1064" s="9">
        <v>23</v>
      </c>
      <c r="D1064" s="9" t="s">
        <v>664</v>
      </c>
      <c r="E1064" s="9" t="s">
        <v>4576</v>
      </c>
      <c r="F1064" s="9" t="s">
        <v>4578</v>
      </c>
      <c r="G1064" s="9">
        <v>35592</v>
      </c>
      <c r="H1064" s="9" t="s">
        <v>2644</v>
      </c>
      <c r="I1064" s="9">
        <v>190</v>
      </c>
      <c r="J1064" s="9">
        <v>58</v>
      </c>
      <c r="K1064" s="9">
        <v>0</v>
      </c>
    </row>
    <row r="1065" spans="1:11" x14ac:dyDescent="0.4">
      <c r="A1065" s="9" t="s">
        <v>293</v>
      </c>
      <c r="B1065" s="9" t="s">
        <v>19</v>
      </c>
      <c r="C1065" s="9">
        <v>24</v>
      </c>
      <c r="D1065" s="9" t="s">
        <v>669</v>
      </c>
      <c r="E1065" s="9" t="s">
        <v>4580</v>
      </c>
      <c r="F1065" s="9" t="s">
        <v>4581</v>
      </c>
      <c r="G1065" s="9">
        <v>35998</v>
      </c>
      <c r="H1065" s="9" t="s">
        <v>1554</v>
      </c>
      <c r="I1065" s="9">
        <v>173</v>
      </c>
      <c r="J1065" s="9">
        <v>24</v>
      </c>
      <c r="K1065" s="9">
        <v>1</v>
      </c>
    </row>
    <row r="1066" spans="1:11" x14ac:dyDescent="0.4">
      <c r="A1066" s="9" t="s">
        <v>293</v>
      </c>
      <c r="B1066" s="9" t="s">
        <v>19</v>
      </c>
      <c r="C1066" s="9">
        <v>25</v>
      </c>
      <c r="D1066" s="9" t="s">
        <v>691</v>
      </c>
      <c r="E1066" s="9" t="s">
        <v>4583</v>
      </c>
      <c r="F1066" s="9" t="s">
        <v>4585</v>
      </c>
      <c r="G1066" s="9">
        <v>37815</v>
      </c>
      <c r="H1066" s="9" t="s">
        <v>1908</v>
      </c>
      <c r="I1066" s="9">
        <v>173</v>
      </c>
      <c r="J1066" s="9">
        <v>2</v>
      </c>
      <c r="K1066" s="9">
        <v>1</v>
      </c>
    </row>
    <row r="1067" spans="1:11" x14ac:dyDescent="0.4">
      <c r="A1067" s="9" t="s">
        <v>293</v>
      </c>
      <c r="B1067" s="9" t="s">
        <v>19</v>
      </c>
      <c r="C1067" s="9">
        <v>26</v>
      </c>
      <c r="D1067" s="9" t="s">
        <v>691</v>
      </c>
      <c r="E1067" s="9" t="s">
        <v>4587</v>
      </c>
      <c r="F1067" s="9" t="s">
        <v>4589</v>
      </c>
      <c r="G1067" s="9">
        <v>33986</v>
      </c>
      <c r="H1067" s="9" t="s">
        <v>4590</v>
      </c>
      <c r="I1067" s="9">
        <v>187</v>
      </c>
      <c r="J1067" s="9">
        <v>8</v>
      </c>
      <c r="K1067" s="9">
        <v>0</v>
      </c>
    </row>
    <row r="1068" spans="1:11" x14ac:dyDescent="0.4">
      <c r="A1068" s="9" t="s">
        <v>291</v>
      </c>
      <c r="B1068" s="9" t="s">
        <v>17</v>
      </c>
      <c r="C1068" s="9">
        <v>1</v>
      </c>
      <c r="D1068" s="9" t="s">
        <v>664</v>
      </c>
      <c r="E1068" s="9" t="s">
        <v>4592</v>
      </c>
      <c r="F1068" s="9" t="s">
        <v>4594</v>
      </c>
      <c r="G1068" s="9">
        <v>35987</v>
      </c>
      <c r="H1068" s="9" t="s">
        <v>3727</v>
      </c>
      <c r="I1068" s="9">
        <v>197</v>
      </c>
      <c r="J1068" s="9">
        <v>3</v>
      </c>
      <c r="K1068" s="9">
        <v>0</v>
      </c>
    </row>
    <row r="1069" spans="1:11" x14ac:dyDescent="0.4">
      <c r="A1069" s="9" t="s">
        <v>291</v>
      </c>
      <c r="B1069" s="9" t="s">
        <v>17</v>
      </c>
      <c r="C1069" s="9">
        <v>2</v>
      </c>
      <c r="D1069" s="9" t="s">
        <v>669</v>
      </c>
      <c r="E1069" s="9" t="s">
        <v>4596</v>
      </c>
      <c r="F1069" s="9" t="s">
        <v>4598</v>
      </c>
      <c r="G1069" s="9">
        <v>36626</v>
      </c>
      <c r="H1069" s="9" t="s">
        <v>905</v>
      </c>
      <c r="I1069" s="9">
        <v>193</v>
      </c>
      <c r="J1069" s="9">
        <v>11</v>
      </c>
      <c r="K1069" s="9">
        <v>2</v>
      </c>
    </row>
    <row r="1070" spans="1:11" x14ac:dyDescent="0.4">
      <c r="A1070" s="9" t="s">
        <v>291</v>
      </c>
      <c r="B1070" s="9" t="s">
        <v>17</v>
      </c>
      <c r="C1070" s="9">
        <v>3</v>
      </c>
      <c r="D1070" s="9" t="s">
        <v>669</v>
      </c>
      <c r="E1070" s="9" t="s">
        <v>4599</v>
      </c>
      <c r="F1070" s="9" t="s">
        <v>4601</v>
      </c>
      <c r="G1070" s="9">
        <v>34532</v>
      </c>
      <c r="H1070" s="9" t="s">
        <v>992</v>
      </c>
      <c r="I1070" s="9">
        <v>187</v>
      </c>
      <c r="J1070" s="9">
        <v>76</v>
      </c>
      <c r="K1070" s="9">
        <v>3</v>
      </c>
    </row>
    <row r="1071" spans="1:11" x14ac:dyDescent="0.4">
      <c r="A1071" s="9" t="s">
        <v>291</v>
      </c>
      <c r="B1071" s="9" t="s">
        <v>17</v>
      </c>
      <c r="C1071" s="9">
        <v>4</v>
      </c>
      <c r="D1071" s="9" t="s">
        <v>669</v>
      </c>
      <c r="E1071" s="9" t="s">
        <v>4603</v>
      </c>
      <c r="F1071" s="9" t="s">
        <v>4605</v>
      </c>
      <c r="G1071" s="9">
        <v>36173</v>
      </c>
      <c r="H1071" s="9" t="s">
        <v>1027</v>
      </c>
      <c r="I1071" s="9">
        <v>191</v>
      </c>
      <c r="J1071" s="9">
        <v>29</v>
      </c>
      <c r="K1071" s="9">
        <v>0</v>
      </c>
    </row>
    <row r="1072" spans="1:11" x14ac:dyDescent="0.4">
      <c r="A1072" s="9" t="s">
        <v>291</v>
      </c>
      <c r="B1072" s="9" t="s">
        <v>17</v>
      </c>
      <c r="C1072" s="9">
        <v>5</v>
      </c>
      <c r="D1072" s="9" t="s">
        <v>669</v>
      </c>
      <c r="E1072" s="9" t="s">
        <v>4606</v>
      </c>
      <c r="F1072" s="9" t="s">
        <v>4608</v>
      </c>
      <c r="G1072" s="9">
        <v>36279</v>
      </c>
      <c r="H1072" s="9" t="s">
        <v>3014</v>
      </c>
      <c r="I1072" s="9">
        <v>181</v>
      </c>
      <c r="J1072" s="9">
        <v>24</v>
      </c>
      <c r="K1072" s="9">
        <v>0</v>
      </c>
    </row>
    <row r="1073" spans="1:11" x14ac:dyDescent="0.4">
      <c r="A1073" s="9" t="s">
        <v>291</v>
      </c>
      <c r="B1073" s="9" t="s">
        <v>17</v>
      </c>
      <c r="C1073" s="9">
        <v>6</v>
      </c>
      <c r="D1073" s="9" t="s">
        <v>669</v>
      </c>
      <c r="E1073" s="9" t="s">
        <v>4609</v>
      </c>
      <c r="F1073" s="9" t="s">
        <v>4611</v>
      </c>
      <c r="G1073" s="9">
        <v>35719</v>
      </c>
      <c r="H1073" s="9" t="s">
        <v>1949</v>
      </c>
      <c r="I1073" s="9">
        <v>190</v>
      </c>
      <c r="J1073" s="9">
        <v>3</v>
      </c>
      <c r="K1073" s="9">
        <v>0</v>
      </c>
    </row>
    <row r="1074" spans="1:11" x14ac:dyDescent="0.4">
      <c r="A1074" s="9" t="s">
        <v>291</v>
      </c>
      <c r="B1074" s="9" t="s">
        <v>17</v>
      </c>
      <c r="C1074" s="9">
        <v>7</v>
      </c>
      <c r="D1074" s="9" t="s">
        <v>686</v>
      </c>
      <c r="E1074" s="9" t="s">
        <v>4613</v>
      </c>
      <c r="F1074" s="9" t="s">
        <v>4615</v>
      </c>
      <c r="G1074" s="9">
        <v>38750</v>
      </c>
      <c r="H1074" s="9" t="s">
        <v>879</v>
      </c>
      <c r="I1074" s="9">
        <v>187</v>
      </c>
      <c r="J1074" s="9">
        <v>10</v>
      </c>
      <c r="K1074" s="9">
        <v>0</v>
      </c>
    </row>
    <row r="1075" spans="1:11" x14ac:dyDescent="0.4">
      <c r="A1075" s="9" t="s">
        <v>291</v>
      </c>
      <c r="B1075" s="9" t="s">
        <v>17</v>
      </c>
      <c r="C1075" s="9">
        <v>8</v>
      </c>
      <c r="D1075" s="9" t="s">
        <v>669</v>
      </c>
      <c r="E1075" s="9" t="s">
        <v>4616</v>
      </c>
      <c r="F1075" s="9" t="s">
        <v>4618</v>
      </c>
      <c r="G1075" s="9">
        <v>37299</v>
      </c>
      <c r="H1075" s="9" t="s">
        <v>749</v>
      </c>
      <c r="I1075" s="9">
        <v>183</v>
      </c>
      <c r="J1075" s="9">
        <v>13</v>
      </c>
      <c r="K1075" s="9">
        <v>0</v>
      </c>
    </row>
    <row r="1076" spans="1:11" x14ac:dyDescent="0.4">
      <c r="A1076" s="9" t="s">
        <v>291</v>
      </c>
      <c r="B1076" s="9" t="s">
        <v>17</v>
      </c>
      <c r="C1076" s="9">
        <v>9</v>
      </c>
      <c r="D1076" s="9" t="s">
        <v>691</v>
      </c>
      <c r="E1076" s="9" t="s">
        <v>4619</v>
      </c>
      <c r="F1076" s="9" t="s">
        <v>4620</v>
      </c>
      <c r="G1076" s="9">
        <v>36424</v>
      </c>
      <c r="H1076" s="9" t="s">
        <v>1153</v>
      </c>
      <c r="I1076" s="9">
        <v>190</v>
      </c>
      <c r="J1076" s="9">
        <v>58</v>
      </c>
      <c r="K1076" s="9">
        <v>17</v>
      </c>
    </row>
    <row r="1077" spans="1:11" x14ac:dyDescent="0.4">
      <c r="A1077" s="9" t="s">
        <v>291</v>
      </c>
      <c r="B1077" s="9" t="s">
        <v>17</v>
      </c>
      <c r="C1077" s="9">
        <v>10</v>
      </c>
      <c r="D1077" s="9" t="s">
        <v>686</v>
      </c>
      <c r="E1077" s="9" t="s">
        <v>4621</v>
      </c>
      <c r="F1077" s="9" t="s">
        <v>4623</v>
      </c>
      <c r="G1077" s="9">
        <v>37080</v>
      </c>
      <c r="H1077" s="9" t="s">
        <v>1382</v>
      </c>
      <c r="I1077" s="9">
        <v>187</v>
      </c>
      <c r="J1077" s="9">
        <v>11</v>
      </c>
      <c r="K1077" s="9">
        <v>3</v>
      </c>
    </row>
    <row r="1078" spans="1:11" x14ac:dyDescent="0.4">
      <c r="A1078" s="9" t="s">
        <v>291</v>
      </c>
      <c r="B1078" s="9" t="s">
        <v>17</v>
      </c>
      <c r="C1078" s="9">
        <v>11</v>
      </c>
      <c r="D1078" s="9" t="s">
        <v>691</v>
      </c>
      <c r="E1078" s="9" t="s">
        <v>4624</v>
      </c>
      <c r="F1078" s="9" t="s">
        <v>4626</v>
      </c>
      <c r="G1078" s="9">
        <v>37373</v>
      </c>
      <c r="H1078" s="9" t="s">
        <v>1181</v>
      </c>
      <c r="I1078" s="9">
        <v>178</v>
      </c>
      <c r="J1078" s="9">
        <v>30</v>
      </c>
      <c r="K1078" s="9">
        <v>6</v>
      </c>
    </row>
    <row r="1079" spans="1:11" x14ac:dyDescent="0.4">
      <c r="A1079" s="9" t="s">
        <v>291</v>
      </c>
      <c r="B1079" s="9" t="s">
        <v>17</v>
      </c>
      <c r="C1079" s="9">
        <v>12</v>
      </c>
      <c r="D1079" s="9" t="s">
        <v>664</v>
      </c>
      <c r="E1079" s="9" t="s">
        <v>4627</v>
      </c>
      <c r="F1079" s="9" t="s">
        <v>4629</v>
      </c>
      <c r="G1079" s="9">
        <v>36052</v>
      </c>
      <c r="H1079" s="9" t="s">
        <v>3241</v>
      </c>
      <c r="I1079" s="9">
        <v>187</v>
      </c>
      <c r="J1079" s="9">
        <v>12</v>
      </c>
      <c r="K1079" s="9">
        <v>0</v>
      </c>
    </row>
    <row r="1080" spans="1:11" x14ac:dyDescent="0.4">
      <c r="A1080" s="9" t="s">
        <v>291</v>
      </c>
      <c r="B1080" s="9" t="s">
        <v>17</v>
      </c>
      <c r="C1080" s="9">
        <v>13</v>
      </c>
      <c r="D1080" s="9" t="s">
        <v>686</v>
      </c>
      <c r="E1080" s="9" t="s">
        <v>4630</v>
      </c>
      <c r="F1080" s="9" t="s">
        <v>4632</v>
      </c>
      <c r="G1080" s="9">
        <v>34242</v>
      </c>
      <c r="H1080" s="9" t="s">
        <v>1108</v>
      </c>
      <c r="I1080" s="9">
        <v>180</v>
      </c>
      <c r="J1080" s="9">
        <v>33</v>
      </c>
      <c r="K1080" s="9">
        <v>5</v>
      </c>
    </row>
    <row r="1081" spans="1:11" x14ac:dyDescent="0.4">
      <c r="A1081" s="9" t="s">
        <v>291</v>
      </c>
      <c r="B1081" s="9" t="s">
        <v>17</v>
      </c>
      <c r="C1081" s="9">
        <v>14</v>
      </c>
      <c r="D1081" s="9" t="s">
        <v>669</v>
      </c>
      <c r="E1081" s="9" t="s">
        <v>4633</v>
      </c>
      <c r="F1081" s="9" t="s">
        <v>4635</v>
      </c>
      <c r="G1081" s="9">
        <v>36089</v>
      </c>
      <c r="H1081" s="9" t="s">
        <v>1696</v>
      </c>
      <c r="I1081" s="9">
        <v>187</v>
      </c>
      <c r="J1081" s="9">
        <v>13</v>
      </c>
      <c r="K1081" s="9">
        <v>0</v>
      </c>
    </row>
    <row r="1082" spans="1:11" x14ac:dyDescent="0.4">
      <c r="A1082" s="9" t="s">
        <v>291</v>
      </c>
      <c r="B1082" s="9" t="s">
        <v>17</v>
      </c>
      <c r="C1082" s="9">
        <v>15</v>
      </c>
      <c r="D1082" s="9" t="s">
        <v>669</v>
      </c>
      <c r="E1082" s="9" t="s">
        <v>4636</v>
      </c>
      <c r="F1082" s="9" t="s">
        <v>4638</v>
      </c>
      <c r="G1082" s="9">
        <v>34851</v>
      </c>
      <c r="H1082" s="9" t="s">
        <v>4590</v>
      </c>
      <c r="I1082" s="9">
        <v>185</v>
      </c>
      <c r="J1082" s="9">
        <v>18</v>
      </c>
      <c r="K1082" s="9">
        <v>0</v>
      </c>
    </row>
    <row r="1083" spans="1:11" x14ac:dyDescent="0.4">
      <c r="A1083" s="9" t="s">
        <v>291</v>
      </c>
      <c r="B1083" s="9" t="s">
        <v>17</v>
      </c>
      <c r="C1083" s="9">
        <v>16</v>
      </c>
      <c r="D1083" s="9" t="s">
        <v>686</v>
      </c>
      <c r="E1083" s="9" t="s">
        <v>4639</v>
      </c>
      <c r="F1083" s="9" t="s">
        <v>4641</v>
      </c>
      <c r="G1083" s="9">
        <v>34871</v>
      </c>
      <c r="H1083" s="9" t="s">
        <v>4642</v>
      </c>
      <c r="I1083" s="9">
        <v>182</v>
      </c>
      <c r="J1083" s="9">
        <v>25</v>
      </c>
      <c r="K1083" s="9">
        <v>0</v>
      </c>
    </row>
    <row r="1084" spans="1:11" x14ac:dyDescent="0.4">
      <c r="A1084" s="9" t="s">
        <v>291</v>
      </c>
      <c r="B1084" s="9" t="s">
        <v>17</v>
      </c>
      <c r="C1084" s="9">
        <v>17</v>
      </c>
      <c r="D1084" s="9" t="s">
        <v>691</v>
      </c>
      <c r="E1084" s="9" t="s">
        <v>4643</v>
      </c>
      <c r="F1084" s="9" t="s">
        <v>4645</v>
      </c>
      <c r="G1084" s="9">
        <v>35950</v>
      </c>
      <c r="H1084" s="9" t="s">
        <v>1000</v>
      </c>
      <c r="I1084" s="9">
        <v>189</v>
      </c>
      <c r="J1084" s="9">
        <v>33</v>
      </c>
      <c r="K1084" s="9">
        <v>20</v>
      </c>
    </row>
    <row r="1085" spans="1:11" x14ac:dyDescent="0.4">
      <c r="A1085" s="9" t="s">
        <v>291</v>
      </c>
      <c r="B1085" s="9" t="s">
        <v>17</v>
      </c>
      <c r="C1085" s="9">
        <v>18</v>
      </c>
      <c r="D1085" s="9" t="s">
        <v>686</v>
      </c>
      <c r="E1085" s="9" t="s">
        <v>4646</v>
      </c>
      <c r="F1085" s="9" t="s">
        <v>4648</v>
      </c>
      <c r="G1085" s="9">
        <v>37900</v>
      </c>
      <c r="H1085" s="9" t="s">
        <v>981</v>
      </c>
      <c r="I1085" s="9">
        <v>172</v>
      </c>
      <c r="J1085" s="9">
        <v>21</v>
      </c>
      <c r="K1085" s="9">
        <v>3</v>
      </c>
    </row>
    <row r="1086" spans="1:11" x14ac:dyDescent="0.4">
      <c r="A1086" s="9" t="s">
        <v>291</v>
      </c>
      <c r="B1086" s="9" t="s">
        <v>17</v>
      </c>
      <c r="C1086" s="9">
        <v>19</v>
      </c>
      <c r="D1086" s="9" t="s">
        <v>686</v>
      </c>
      <c r="E1086" s="9" t="s">
        <v>4649</v>
      </c>
      <c r="F1086" s="9" t="s">
        <v>4651</v>
      </c>
      <c r="G1086" s="9">
        <v>36165</v>
      </c>
      <c r="H1086" s="9" t="s">
        <v>738</v>
      </c>
      <c r="I1086" s="9">
        <v>186</v>
      </c>
      <c r="J1086" s="9">
        <v>41</v>
      </c>
      <c r="K1086" s="9">
        <v>2</v>
      </c>
    </row>
    <row r="1087" spans="1:11" x14ac:dyDescent="0.4">
      <c r="A1087" s="9" t="s">
        <v>291</v>
      </c>
      <c r="B1087" s="9" t="s">
        <v>17</v>
      </c>
      <c r="C1087" s="9">
        <v>20</v>
      </c>
      <c r="D1087" s="9" t="s">
        <v>669</v>
      </c>
      <c r="E1087" s="9" t="s">
        <v>4652</v>
      </c>
      <c r="F1087" s="9" t="s">
        <v>3647</v>
      </c>
      <c r="G1087" s="9">
        <v>35438</v>
      </c>
      <c r="H1087" s="9" t="s">
        <v>799</v>
      </c>
      <c r="I1087" s="9">
        <v>192</v>
      </c>
      <c r="J1087" s="9">
        <v>2</v>
      </c>
      <c r="K1087" s="9">
        <v>0</v>
      </c>
    </row>
    <row r="1088" spans="1:11" x14ac:dyDescent="0.4">
      <c r="A1088" s="9" t="s">
        <v>291</v>
      </c>
      <c r="B1088" s="9" t="s">
        <v>17</v>
      </c>
      <c r="C1088" s="9">
        <v>21</v>
      </c>
      <c r="D1088" s="9" t="s">
        <v>669</v>
      </c>
      <c r="E1088" s="9" t="s">
        <v>4654</v>
      </c>
      <c r="F1088" s="9" t="s">
        <v>4656</v>
      </c>
      <c r="G1088" s="9">
        <v>36046</v>
      </c>
      <c r="H1088" s="9" t="s">
        <v>4657</v>
      </c>
      <c r="I1088" s="9">
        <v>184</v>
      </c>
      <c r="J1088" s="9">
        <v>11</v>
      </c>
      <c r="K1088" s="9">
        <v>0</v>
      </c>
    </row>
    <row r="1089" spans="1:11" x14ac:dyDescent="0.4">
      <c r="A1089" s="9" t="s">
        <v>291</v>
      </c>
      <c r="B1089" s="9" t="s">
        <v>17</v>
      </c>
      <c r="C1089" s="9">
        <v>22</v>
      </c>
      <c r="D1089" s="9" t="s">
        <v>686</v>
      </c>
      <c r="E1089" s="9" t="s">
        <v>4658</v>
      </c>
      <c r="F1089" s="9" t="s">
        <v>4660</v>
      </c>
      <c r="G1089" s="9">
        <v>37581</v>
      </c>
      <c r="H1089" s="9" t="s">
        <v>1463</v>
      </c>
      <c r="I1089" s="9">
        <v>187</v>
      </c>
      <c r="J1089" s="9">
        <v>8</v>
      </c>
      <c r="K1089" s="9">
        <v>0</v>
      </c>
    </row>
    <row r="1090" spans="1:11" x14ac:dyDescent="0.4">
      <c r="A1090" s="9" t="s">
        <v>291</v>
      </c>
      <c r="B1090" s="9" t="s">
        <v>17</v>
      </c>
      <c r="C1090" s="9">
        <v>23</v>
      </c>
      <c r="D1090" s="9" t="s">
        <v>664</v>
      </c>
      <c r="E1090" s="9" t="s">
        <v>4661</v>
      </c>
      <c r="F1090" s="9" t="s">
        <v>4663</v>
      </c>
      <c r="G1090" s="9">
        <v>32682</v>
      </c>
      <c r="H1090" s="9" t="s">
        <v>4664</v>
      </c>
      <c r="I1090" s="9">
        <v>190</v>
      </c>
      <c r="J1090" s="9">
        <v>21</v>
      </c>
      <c r="K1090" s="9">
        <v>0</v>
      </c>
    </row>
    <row r="1091" spans="1:11" x14ac:dyDescent="0.4">
      <c r="A1091" s="9" t="s">
        <v>291</v>
      </c>
      <c r="B1091" s="9" t="s">
        <v>17</v>
      </c>
      <c r="C1091" s="9">
        <v>24</v>
      </c>
      <c r="D1091" s="9" t="s">
        <v>669</v>
      </c>
      <c r="E1091" s="9" t="s">
        <v>4665</v>
      </c>
      <c r="F1091" s="9" t="s">
        <v>4667</v>
      </c>
      <c r="G1091" s="9">
        <v>37429</v>
      </c>
      <c r="H1091" s="9" t="s">
        <v>4668</v>
      </c>
      <c r="I1091" s="9">
        <v>185</v>
      </c>
      <c r="J1091" s="9">
        <v>1</v>
      </c>
      <c r="K1091" s="9">
        <v>0</v>
      </c>
    </row>
    <row r="1092" spans="1:11" x14ac:dyDescent="0.4">
      <c r="A1092" s="9" t="s">
        <v>291</v>
      </c>
      <c r="B1092" s="9" t="s">
        <v>17</v>
      </c>
      <c r="C1092" s="9">
        <v>25</v>
      </c>
      <c r="D1092" s="9" t="s">
        <v>691</v>
      </c>
      <c r="E1092" s="9" t="s">
        <v>4669</v>
      </c>
      <c r="F1092" s="9" t="s">
        <v>4671</v>
      </c>
      <c r="G1092" s="9">
        <v>35573</v>
      </c>
      <c r="H1092" s="9" t="s">
        <v>977</v>
      </c>
      <c r="I1092" s="9">
        <v>197</v>
      </c>
      <c r="J1092" s="9">
        <v>10</v>
      </c>
      <c r="K1092" s="9">
        <v>4</v>
      </c>
    </row>
    <row r="1093" spans="1:11" x14ac:dyDescent="0.4">
      <c r="A1093" s="9" t="s">
        <v>291</v>
      </c>
      <c r="B1093" s="9" t="s">
        <v>17</v>
      </c>
      <c r="C1093" s="9">
        <v>26</v>
      </c>
      <c r="D1093" s="9" t="s">
        <v>691</v>
      </c>
      <c r="E1093" s="9" t="s">
        <v>4672</v>
      </c>
      <c r="F1093" s="9" t="s">
        <v>2846</v>
      </c>
      <c r="G1093" s="9">
        <v>35977</v>
      </c>
      <c r="H1093" s="9" t="s">
        <v>4674</v>
      </c>
      <c r="I1093" s="9">
        <v>174</v>
      </c>
      <c r="J1093" s="9">
        <v>2</v>
      </c>
      <c r="K1093" s="9">
        <v>0</v>
      </c>
    </row>
    <row r="1094" spans="1:11" x14ac:dyDescent="0.4">
      <c r="A1094" s="9" t="s">
        <v>301</v>
      </c>
      <c r="B1094" s="9" t="s">
        <v>27</v>
      </c>
      <c r="C1094" s="9">
        <v>1</v>
      </c>
      <c r="D1094" s="9" t="s">
        <v>664</v>
      </c>
      <c r="E1094" s="9" t="s">
        <v>4675</v>
      </c>
      <c r="F1094" s="9" t="s">
        <v>4677</v>
      </c>
      <c r="G1094" s="9">
        <v>35770</v>
      </c>
      <c r="H1094" s="9" t="s">
        <v>749</v>
      </c>
      <c r="I1094" s="9">
        <v>196</v>
      </c>
      <c r="J1094" s="9">
        <v>21</v>
      </c>
      <c r="K1094" s="9">
        <v>0</v>
      </c>
    </row>
    <row r="1095" spans="1:11" x14ac:dyDescent="0.4">
      <c r="A1095" s="9" t="s">
        <v>301</v>
      </c>
      <c r="B1095" s="9" t="s">
        <v>27</v>
      </c>
      <c r="C1095" s="9">
        <v>2</v>
      </c>
      <c r="D1095" s="9" t="s">
        <v>669</v>
      </c>
      <c r="E1095" s="9" t="s">
        <v>4678</v>
      </c>
      <c r="F1095" s="9" t="s">
        <v>4680</v>
      </c>
      <c r="G1095" s="9">
        <v>35878</v>
      </c>
      <c r="H1095" s="9" t="s">
        <v>1938</v>
      </c>
      <c r="I1095" s="9">
        <v>182</v>
      </c>
      <c r="J1095" s="9">
        <v>10</v>
      </c>
      <c r="K1095" s="9">
        <v>0</v>
      </c>
    </row>
    <row r="1096" spans="1:11" x14ac:dyDescent="0.4">
      <c r="A1096" s="9" t="s">
        <v>301</v>
      </c>
      <c r="B1096" s="9" t="s">
        <v>27</v>
      </c>
      <c r="C1096" s="9">
        <v>3</v>
      </c>
      <c r="D1096" s="9" t="s">
        <v>669</v>
      </c>
      <c r="E1096" s="9" t="s">
        <v>4681</v>
      </c>
      <c r="F1096" s="9" t="s">
        <v>4683</v>
      </c>
      <c r="G1096" s="9">
        <v>34033</v>
      </c>
      <c r="H1096" s="9" t="s">
        <v>887</v>
      </c>
      <c r="I1096" s="9">
        <v>183</v>
      </c>
      <c r="J1096" s="9">
        <v>60</v>
      </c>
      <c r="K1096" s="9">
        <v>5</v>
      </c>
    </row>
    <row r="1097" spans="1:11" x14ac:dyDescent="0.4">
      <c r="A1097" s="9" t="s">
        <v>301</v>
      </c>
      <c r="B1097" s="9" t="s">
        <v>27</v>
      </c>
      <c r="C1097" s="9">
        <v>4</v>
      </c>
      <c r="D1097" s="9" t="s">
        <v>669</v>
      </c>
      <c r="E1097" s="9" t="s">
        <v>4684</v>
      </c>
      <c r="F1097" s="9" t="s">
        <v>4685</v>
      </c>
      <c r="G1097" s="9">
        <v>35338</v>
      </c>
      <c r="H1097" s="9" t="s">
        <v>1137</v>
      </c>
      <c r="I1097" s="9">
        <v>189</v>
      </c>
      <c r="J1097" s="9">
        <v>67</v>
      </c>
      <c r="K1097" s="9">
        <v>3</v>
      </c>
    </row>
    <row r="1098" spans="1:11" x14ac:dyDescent="0.4">
      <c r="A1098" s="9" t="s">
        <v>301</v>
      </c>
      <c r="B1098" s="9" t="s">
        <v>27</v>
      </c>
      <c r="C1098" s="9">
        <v>5</v>
      </c>
      <c r="D1098" s="9" t="s">
        <v>669</v>
      </c>
      <c r="E1098" s="9" t="s">
        <v>4686</v>
      </c>
      <c r="F1098" s="9" t="s">
        <v>4688</v>
      </c>
      <c r="G1098" s="9">
        <v>34899</v>
      </c>
      <c r="H1098" s="9" t="s">
        <v>1547</v>
      </c>
      <c r="I1098" s="9">
        <v>188</v>
      </c>
      <c r="J1098" s="9">
        <v>81</v>
      </c>
      <c r="K1098" s="9">
        <v>4</v>
      </c>
    </row>
    <row r="1099" spans="1:11" x14ac:dyDescent="0.4">
      <c r="A1099" s="9" t="s">
        <v>301</v>
      </c>
      <c r="B1099" s="9" t="s">
        <v>27</v>
      </c>
      <c r="C1099" s="9">
        <v>6</v>
      </c>
      <c r="D1099" s="9" t="s">
        <v>686</v>
      </c>
      <c r="E1099" s="9" t="s">
        <v>4689</v>
      </c>
      <c r="F1099" s="9" t="s">
        <v>4691</v>
      </c>
      <c r="G1099" s="9">
        <v>35389</v>
      </c>
      <c r="H1099" s="9" t="s">
        <v>1820</v>
      </c>
      <c r="I1099" s="9">
        <v>189</v>
      </c>
      <c r="J1099" s="9">
        <v>65</v>
      </c>
      <c r="K1099" s="9">
        <v>3</v>
      </c>
    </row>
    <row r="1100" spans="1:11" x14ac:dyDescent="0.4">
      <c r="A1100" s="9" t="s">
        <v>301</v>
      </c>
      <c r="B1100" s="9" t="s">
        <v>27</v>
      </c>
      <c r="C1100" s="9">
        <v>7</v>
      </c>
      <c r="D1100" s="9" t="s">
        <v>691</v>
      </c>
      <c r="E1100" s="9" t="s">
        <v>4693</v>
      </c>
      <c r="F1100" s="9" t="s">
        <v>4695</v>
      </c>
      <c r="G1100" s="9">
        <v>35475</v>
      </c>
      <c r="H1100" s="9" t="s">
        <v>2419</v>
      </c>
      <c r="I1100" s="9">
        <v>184</v>
      </c>
      <c r="J1100" s="9">
        <v>86</v>
      </c>
      <c r="K1100" s="9">
        <v>24</v>
      </c>
    </row>
    <row r="1101" spans="1:11" x14ac:dyDescent="0.4">
      <c r="A1101" s="9" t="s">
        <v>301</v>
      </c>
      <c r="B1101" s="9" t="s">
        <v>27</v>
      </c>
      <c r="C1101" s="9">
        <v>8</v>
      </c>
      <c r="D1101" s="9" t="s">
        <v>686</v>
      </c>
      <c r="E1101" s="9" t="s">
        <v>4696</v>
      </c>
      <c r="F1101" s="9" t="s">
        <v>4698</v>
      </c>
      <c r="G1101" s="9">
        <v>33709</v>
      </c>
      <c r="H1101" s="9" t="s">
        <v>1575</v>
      </c>
      <c r="I1101" s="9">
        <v>181</v>
      </c>
      <c r="J1101" s="9">
        <v>88</v>
      </c>
      <c r="K1101" s="9">
        <v>11</v>
      </c>
    </row>
    <row r="1102" spans="1:11" x14ac:dyDescent="0.4">
      <c r="A1102" s="9" t="s">
        <v>301</v>
      </c>
      <c r="B1102" s="9" t="s">
        <v>27</v>
      </c>
      <c r="C1102" s="9">
        <v>9</v>
      </c>
      <c r="D1102" s="9" t="s">
        <v>686</v>
      </c>
      <c r="E1102" s="9" t="s">
        <v>4699</v>
      </c>
      <c r="F1102" s="9" t="s">
        <v>4701</v>
      </c>
      <c r="G1102" s="9">
        <v>38639</v>
      </c>
      <c r="H1102" s="9" t="s">
        <v>925</v>
      </c>
      <c r="I1102" s="9">
        <v>182</v>
      </c>
      <c r="J1102" s="9">
        <v>12</v>
      </c>
      <c r="K1102" s="9">
        <v>3</v>
      </c>
    </row>
    <row r="1103" spans="1:11" x14ac:dyDescent="0.4">
      <c r="A1103" s="9" t="s">
        <v>301</v>
      </c>
      <c r="B1103" s="9" t="s">
        <v>27</v>
      </c>
      <c r="C1103" s="9">
        <v>10</v>
      </c>
      <c r="D1103" s="9" t="s">
        <v>686</v>
      </c>
      <c r="E1103" s="9" t="s">
        <v>4702</v>
      </c>
      <c r="F1103" s="9" t="s">
        <v>4704</v>
      </c>
      <c r="G1103" s="9">
        <v>33874</v>
      </c>
      <c r="H1103" s="9" t="s">
        <v>1735</v>
      </c>
      <c r="I1103" s="9">
        <v>183</v>
      </c>
      <c r="J1103" s="9">
        <v>146</v>
      </c>
      <c r="K1103" s="9">
        <v>17</v>
      </c>
    </row>
    <row r="1104" spans="1:11" x14ac:dyDescent="0.4">
      <c r="A1104" s="9" t="s">
        <v>301</v>
      </c>
      <c r="B1104" s="9" t="s">
        <v>27</v>
      </c>
      <c r="C1104" s="9">
        <v>11</v>
      </c>
      <c r="D1104" s="9" t="s">
        <v>691</v>
      </c>
      <c r="E1104" s="9" t="s">
        <v>4705</v>
      </c>
      <c r="F1104" s="9" t="s">
        <v>4707</v>
      </c>
      <c r="G1104" s="9">
        <v>36824</v>
      </c>
      <c r="H1104" s="9" t="s">
        <v>1846</v>
      </c>
      <c r="I1104" s="9">
        <v>184</v>
      </c>
      <c r="J1104" s="9">
        <v>31</v>
      </c>
      <c r="K1104" s="9">
        <v>8</v>
      </c>
    </row>
    <row r="1105" spans="1:11" x14ac:dyDescent="0.4">
      <c r="A1105" s="9" t="s">
        <v>301</v>
      </c>
      <c r="B1105" s="9" t="s">
        <v>27</v>
      </c>
      <c r="C1105" s="9">
        <v>12</v>
      </c>
      <c r="D1105" s="9" t="s">
        <v>664</v>
      </c>
      <c r="E1105" s="9" t="s">
        <v>4708</v>
      </c>
      <c r="F1105" s="9" t="s">
        <v>4710</v>
      </c>
      <c r="G1105" s="9">
        <v>34491</v>
      </c>
      <c r="H1105" s="9" t="s">
        <v>4357</v>
      </c>
      <c r="I1105" s="9">
        <v>190</v>
      </c>
      <c r="J1105" s="9">
        <v>13</v>
      </c>
      <c r="K1105" s="9">
        <v>0</v>
      </c>
    </row>
    <row r="1106" spans="1:11" x14ac:dyDescent="0.4">
      <c r="A1106" s="9" t="s">
        <v>301</v>
      </c>
      <c r="B1106" s="9" t="s">
        <v>27</v>
      </c>
      <c r="C1106" s="9">
        <v>13</v>
      </c>
      <c r="D1106" s="9" t="s">
        <v>669</v>
      </c>
      <c r="E1106" s="9" t="s">
        <v>4712</v>
      </c>
      <c r="F1106" s="9" t="s">
        <v>2166</v>
      </c>
      <c r="G1106" s="9">
        <v>33841</v>
      </c>
      <c r="H1106" s="9" t="s">
        <v>1510</v>
      </c>
      <c r="I1106" s="9">
        <v>182</v>
      </c>
      <c r="J1106" s="9">
        <v>138</v>
      </c>
      <c r="K1106" s="9">
        <v>9</v>
      </c>
    </row>
    <row r="1107" spans="1:11" x14ac:dyDescent="0.4">
      <c r="A1107" s="9" t="s">
        <v>301</v>
      </c>
      <c r="B1107" s="9" t="s">
        <v>27</v>
      </c>
      <c r="C1107" s="9">
        <v>14</v>
      </c>
      <c r="D1107" s="9" t="s">
        <v>686</v>
      </c>
      <c r="E1107" s="9" t="s">
        <v>4715</v>
      </c>
      <c r="F1107" s="9" t="s">
        <v>4717</v>
      </c>
      <c r="G1107" s="9">
        <v>37467</v>
      </c>
      <c r="H1107" s="9" t="s">
        <v>1023</v>
      </c>
      <c r="I1107" s="9">
        <v>181</v>
      </c>
      <c r="J1107" s="9">
        <v>8</v>
      </c>
      <c r="K1107" s="9">
        <v>0</v>
      </c>
    </row>
    <row r="1108" spans="1:11" x14ac:dyDescent="0.4">
      <c r="A1108" s="9" t="s">
        <v>301</v>
      </c>
      <c r="B1108" s="9" t="s">
        <v>27</v>
      </c>
      <c r="C1108" s="9">
        <v>15</v>
      </c>
      <c r="D1108" s="9" t="s">
        <v>686</v>
      </c>
      <c r="E1108" s="9" t="s">
        <v>4718</v>
      </c>
      <c r="F1108" s="9" t="s">
        <v>4720</v>
      </c>
      <c r="G1108" s="9">
        <v>35467</v>
      </c>
      <c r="H1108" s="9" t="s">
        <v>3652</v>
      </c>
      <c r="I1108" s="9">
        <v>183</v>
      </c>
      <c r="J1108" s="9">
        <v>52</v>
      </c>
      <c r="K1108" s="9">
        <v>0</v>
      </c>
    </row>
    <row r="1109" spans="1:11" x14ac:dyDescent="0.4">
      <c r="A1109" s="9" t="s">
        <v>301</v>
      </c>
      <c r="B1109" s="9" t="s">
        <v>27</v>
      </c>
      <c r="C1109" s="9">
        <v>16</v>
      </c>
      <c r="D1109" s="9" t="s">
        <v>691</v>
      </c>
      <c r="E1109" s="9" t="s">
        <v>4721</v>
      </c>
      <c r="F1109" s="9" t="s">
        <v>4723</v>
      </c>
      <c r="G1109" s="9">
        <v>34284</v>
      </c>
      <c r="H1109" s="9" t="s">
        <v>719</v>
      </c>
      <c r="I1109" s="9">
        <v>185</v>
      </c>
      <c r="J1109" s="9">
        <v>23</v>
      </c>
      <c r="K1109" s="9">
        <v>5</v>
      </c>
    </row>
    <row r="1110" spans="1:11" x14ac:dyDescent="0.4">
      <c r="A1110" s="9" t="s">
        <v>301</v>
      </c>
      <c r="B1110" s="9" t="s">
        <v>27</v>
      </c>
      <c r="C1110" s="9">
        <v>17</v>
      </c>
      <c r="D1110" s="9" t="s">
        <v>691</v>
      </c>
      <c r="E1110" s="9" t="s">
        <v>4724</v>
      </c>
      <c r="F1110" s="9" t="s">
        <v>3355</v>
      </c>
      <c r="G1110" s="9">
        <v>36012</v>
      </c>
      <c r="H1110" s="9" t="s">
        <v>3652</v>
      </c>
      <c r="I1110" s="9">
        <v>179</v>
      </c>
      <c r="J1110" s="9">
        <v>61</v>
      </c>
      <c r="K1110" s="9">
        <v>11</v>
      </c>
    </row>
    <row r="1111" spans="1:11" x14ac:dyDescent="0.4">
      <c r="A1111" s="9" t="s">
        <v>301</v>
      </c>
      <c r="B1111" s="9" t="s">
        <v>27</v>
      </c>
      <c r="C1111" s="9">
        <v>18</v>
      </c>
      <c r="D1111" s="9" t="s">
        <v>669</v>
      </c>
      <c r="E1111" s="9" t="s">
        <v>4727</v>
      </c>
      <c r="F1111" s="9" t="s">
        <v>4729</v>
      </c>
      <c r="G1111" s="9">
        <v>35830</v>
      </c>
      <c r="H1111" s="9" t="s">
        <v>4730</v>
      </c>
      <c r="I1111" s="9">
        <v>183</v>
      </c>
      <c r="J1111" s="9">
        <v>22</v>
      </c>
      <c r="K1111" s="9">
        <v>0</v>
      </c>
    </row>
    <row r="1112" spans="1:11" x14ac:dyDescent="0.4">
      <c r="A1112" s="9" t="s">
        <v>301</v>
      </c>
      <c r="B1112" s="9" t="s">
        <v>27</v>
      </c>
      <c r="C1112" s="9">
        <v>19</v>
      </c>
      <c r="D1112" s="9" t="s">
        <v>691</v>
      </c>
      <c r="E1112" s="9" t="s">
        <v>4731</v>
      </c>
      <c r="F1112" s="9" t="s">
        <v>4733</v>
      </c>
      <c r="G1112" s="9">
        <v>36670</v>
      </c>
      <c r="H1112" s="9" t="s">
        <v>3014</v>
      </c>
      <c r="I1112" s="9">
        <v>185</v>
      </c>
      <c r="J1112" s="9">
        <v>25</v>
      </c>
      <c r="K1112" s="9">
        <v>2</v>
      </c>
    </row>
    <row r="1113" spans="1:11" x14ac:dyDescent="0.4">
      <c r="A1113" s="9" t="s">
        <v>301</v>
      </c>
      <c r="B1113" s="9" t="s">
        <v>27</v>
      </c>
      <c r="C1113" s="9">
        <v>20</v>
      </c>
      <c r="D1113" s="9" t="s">
        <v>686</v>
      </c>
      <c r="E1113" s="9" t="s">
        <v>4734</v>
      </c>
      <c r="F1113" s="9" t="s">
        <v>4736</v>
      </c>
      <c r="G1113" s="9">
        <v>35436</v>
      </c>
      <c r="H1113" s="9" t="s">
        <v>4737</v>
      </c>
      <c r="I1113" s="9">
        <v>183</v>
      </c>
      <c r="J1113" s="9">
        <v>40</v>
      </c>
      <c r="K1113" s="9">
        <v>2</v>
      </c>
    </row>
    <row r="1114" spans="1:11" x14ac:dyDescent="0.4">
      <c r="A1114" s="9" t="s">
        <v>301</v>
      </c>
      <c r="B1114" s="9" t="s">
        <v>27</v>
      </c>
      <c r="C1114" s="9">
        <v>21</v>
      </c>
      <c r="D1114" s="9" t="s">
        <v>664</v>
      </c>
      <c r="E1114" s="9" t="s">
        <v>4738</v>
      </c>
      <c r="F1114" s="9" t="s">
        <v>4740</v>
      </c>
      <c r="G1114" s="9">
        <v>37440</v>
      </c>
      <c r="H1114" s="9" t="s">
        <v>719</v>
      </c>
      <c r="I1114" s="9">
        <v>189</v>
      </c>
      <c r="J1114" s="9">
        <v>1</v>
      </c>
      <c r="K1114" s="9">
        <v>0</v>
      </c>
    </row>
    <row r="1115" spans="1:11" x14ac:dyDescent="0.4">
      <c r="A1115" s="9" t="s">
        <v>301</v>
      </c>
      <c r="B1115" s="9" t="s">
        <v>27</v>
      </c>
      <c r="C1115" s="9">
        <v>22</v>
      </c>
      <c r="D1115" s="9" t="s">
        <v>686</v>
      </c>
      <c r="E1115" s="9" t="s">
        <v>4741</v>
      </c>
      <c r="F1115" s="9" t="s">
        <v>4742</v>
      </c>
      <c r="G1115" s="9">
        <v>37303</v>
      </c>
      <c r="H1115" s="9" t="s">
        <v>909</v>
      </c>
      <c r="I1115" s="9">
        <v>181</v>
      </c>
      <c r="J1115" s="9">
        <v>28</v>
      </c>
      <c r="K1115" s="9">
        <v>1</v>
      </c>
    </row>
    <row r="1116" spans="1:11" x14ac:dyDescent="0.4">
      <c r="A1116" s="9" t="s">
        <v>301</v>
      </c>
      <c r="B1116" s="9" t="s">
        <v>27</v>
      </c>
      <c r="C1116" s="9">
        <v>23</v>
      </c>
      <c r="D1116" s="9" t="s">
        <v>691</v>
      </c>
      <c r="E1116" s="9" t="s">
        <v>4743</v>
      </c>
      <c r="F1116" s="9" t="s">
        <v>4745</v>
      </c>
      <c r="G1116" s="9">
        <v>36864</v>
      </c>
      <c r="H1116" s="9" t="s">
        <v>1696</v>
      </c>
      <c r="I1116" s="9">
        <v>183</v>
      </c>
      <c r="J1116" s="9">
        <v>29</v>
      </c>
      <c r="K1116" s="9">
        <v>11</v>
      </c>
    </row>
    <row r="1117" spans="1:11" x14ac:dyDescent="0.4">
      <c r="A1117" s="9" t="s">
        <v>301</v>
      </c>
      <c r="B1117" s="9" t="s">
        <v>27</v>
      </c>
      <c r="C1117" s="9">
        <v>24</v>
      </c>
      <c r="D1117" s="9" t="s">
        <v>669</v>
      </c>
      <c r="E1117" s="9" t="s">
        <v>4746</v>
      </c>
      <c r="F1117" s="9" t="s">
        <v>4748</v>
      </c>
      <c r="G1117" s="9">
        <v>37833</v>
      </c>
      <c r="H1117" s="9" t="s">
        <v>707</v>
      </c>
      <c r="I1117" s="9">
        <v>194</v>
      </c>
      <c r="J1117" s="9">
        <v>7</v>
      </c>
      <c r="K1117" s="9">
        <v>0</v>
      </c>
    </row>
    <row r="1118" spans="1:11" x14ac:dyDescent="0.4">
      <c r="A1118" s="9" t="s">
        <v>301</v>
      </c>
      <c r="B1118" s="9" t="s">
        <v>27</v>
      </c>
      <c r="C1118" s="9">
        <v>25</v>
      </c>
      <c r="D1118" s="9" t="s">
        <v>669</v>
      </c>
      <c r="E1118" s="9" t="s">
        <v>4749</v>
      </c>
      <c r="F1118" s="9" t="s">
        <v>4751</v>
      </c>
      <c r="G1118" s="9">
        <v>37774</v>
      </c>
      <c r="H1118" s="9" t="s">
        <v>1094</v>
      </c>
      <c r="I1118" s="9">
        <v>187</v>
      </c>
      <c r="J1118" s="9">
        <v>3</v>
      </c>
      <c r="K1118" s="9">
        <v>0</v>
      </c>
    </row>
    <row r="1119" spans="1:11" x14ac:dyDescent="0.4">
      <c r="A1119" s="9" t="s">
        <v>301</v>
      </c>
      <c r="B1119" s="9" t="s">
        <v>27</v>
      </c>
      <c r="C1119" s="9">
        <v>26</v>
      </c>
      <c r="D1119" s="9" t="s">
        <v>691</v>
      </c>
      <c r="E1119" s="9" t="s">
        <v>4752</v>
      </c>
      <c r="F1119" s="9" t="s">
        <v>4754</v>
      </c>
      <c r="G1119" s="9">
        <v>35426</v>
      </c>
      <c r="H1119" s="9" t="s">
        <v>4755</v>
      </c>
      <c r="I1119" s="9">
        <v>190</v>
      </c>
      <c r="J1119" s="9">
        <v>15</v>
      </c>
      <c r="K1119" s="9">
        <v>5</v>
      </c>
    </row>
    <row r="1120" spans="1:11" x14ac:dyDescent="0.4">
      <c r="A1120" s="9" t="s">
        <v>308</v>
      </c>
      <c r="B1120" s="9" t="s">
        <v>34</v>
      </c>
      <c r="C1120" s="9">
        <v>1</v>
      </c>
      <c r="D1120" s="9" t="s">
        <v>664</v>
      </c>
      <c r="E1120" s="9" t="s">
        <v>4756</v>
      </c>
      <c r="F1120" s="9" t="s">
        <v>4758</v>
      </c>
      <c r="G1120" s="9">
        <v>37128</v>
      </c>
      <c r="H1120" s="9" t="s">
        <v>4759</v>
      </c>
      <c r="I1120" s="9">
        <v>189</v>
      </c>
      <c r="J1120" s="9">
        <v>3</v>
      </c>
      <c r="K1120" s="9">
        <v>0</v>
      </c>
    </row>
    <row r="1121" spans="1:11" x14ac:dyDescent="0.4">
      <c r="A1121" s="9" t="s">
        <v>308</v>
      </c>
      <c r="B1121" s="9" t="s">
        <v>34</v>
      </c>
      <c r="C1121" s="9">
        <v>2</v>
      </c>
      <c r="D1121" s="9" t="s">
        <v>669</v>
      </c>
      <c r="E1121" s="9" t="s">
        <v>4760</v>
      </c>
      <c r="F1121" s="9" t="s">
        <v>4761</v>
      </c>
      <c r="G1121" s="9">
        <v>34323</v>
      </c>
      <c r="H1121" s="9" t="s">
        <v>723</v>
      </c>
      <c r="I1121" s="9">
        <v>177</v>
      </c>
      <c r="J1121" s="9">
        <v>46</v>
      </c>
      <c r="K1121" s="9">
        <v>7</v>
      </c>
    </row>
    <row r="1122" spans="1:11" x14ac:dyDescent="0.4">
      <c r="A1122" s="9" t="s">
        <v>308</v>
      </c>
      <c r="B1122" s="9" t="s">
        <v>34</v>
      </c>
      <c r="C1122" s="9">
        <v>3</v>
      </c>
      <c r="D1122" s="9" t="s">
        <v>669</v>
      </c>
      <c r="E1122" s="9" t="s">
        <v>4763</v>
      </c>
      <c r="F1122" s="9" t="s">
        <v>3410</v>
      </c>
      <c r="G1122" s="9">
        <v>35941</v>
      </c>
      <c r="H1122" s="9" t="s">
        <v>4357</v>
      </c>
      <c r="I1122" s="9">
        <v>190</v>
      </c>
      <c r="J1122" s="9">
        <v>64</v>
      </c>
      <c r="K1122" s="9">
        <v>4</v>
      </c>
    </row>
    <row r="1123" spans="1:11" x14ac:dyDescent="0.4">
      <c r="A1123" s="9" t="s">
        <v>308</v>
      </c>
      <c r="B1123" s="9" t="s">
        <v>34</v>
      </c>
      <c r="C1123" s="9">
        <v>4</v>
      </c>
      <c r="D1123" s="9" t="s">
        <v>669</v>
      </c>
      <c r="E1123" s="9" t="s">
        <v>4765</v>
      </c>
      <c r="F1123" s="9" t="s">
        <v>4767</v>
      </c>
      <c r="G1123" s="9">
        <v>37245</v>
      </c>
      <c r="H1123" s="9" t="s">
        <v>1801</v>
      </c>
      <c r="I1123" s="9">
        <v>188</v>
      </c>
      <c r="J1123" s="9">
        <v>6</v>
      </c>
      <c r="K1123" s="9">
        <v>0</v>
      </c>
    </row>
    <row r="1124" spans="1:11" x14ac:dyDescent="0.4">
      <c r="A1124" s="9" t="s">
        <v>308</v>
      </c>
      <c r="B1124" s="9" t="s">
        <v>34</v>
      </c>
      <c r="C1124" s="9">
        <v>5</v>
      </c>
      <c r="D1124" s="9" t="s">
        <v>669</v>
      </c>
      <c r="E1124" s="9" t="s">
        <v>4768</v>
      </c>
      <c r="F1124" s="9" t="s">
        <v>4769</v>
      </c>
      <c r="G1124" s="9">
        <v>38185</v>
      </c>
      <c r="H1124" s="9" t="s">
        <v>4770</v>
      </c>
      <c r="I1124" s="9">
        <v>188</v>
      </c>
      <c r="J1124" s="9">
        <v>2</v>
      </c>
      <c r="K1124" s="9">
        <v>0</v>
      </c>
    </row>
    <row r="1125" spans="1:11" x14ac:dyDescent="0.4">
      <c r="A1125" s="9" t="s">
        <v>308</v>
      </c>
      <c r="B1125" s="9" t="s">
        <v>34</v>
      </c>
      <c r="C1125" s="9">
        <v>6</v>
      </c>
      <c r="D1125" s="9" t="s">
        <v>669</v>
      </c>
      <c r="E1125" s="9" t="s">
        <v>4771</v>
      </c>
      <c r="F1125" s="9" t="s">
        <v>4773</v>
      </c>
      <c r="G1125" s="9">
        <v>34869</v>
      </c>
      <c r="H1125" s="9" t="s">
        <v>4774</v>
      </c>
      <c r="I1125" s="9">
        <v>186</v>
      </c>
      <c r="J1125" s="9">
        <v>52</v>
      </c>
      <c r="K1125" s="9">
        <v>2</v>
      </c>
    </row>
    <row r="1126" spans="1:11" x14ac:dyDescent="0.4">
      <c r="A1126" s="9" t="s">
        <v>308</v>
      </c>
      <c r="B1126" s="9" t="s">
        <v>34</v>
      </c>
      <c r="C1126" s="9">
        <v>7</v>
      </c>
      <c r="D1126" s="9" t="s">
        <v>691</v>
      </c>
      <c r="E1126" s="9" t="s">
        <v>4775</v>
      </c>
      <c r="F1126" s="9" t="s">
        <v>4777</v>
      </c>
      <c r="G1126" s="9">
        <v>36201</v>
      </c>
      <c r="H1126" s="9" t="s">
        <v>1941</v>
      </c>
      <c r="I1126" s="9">
        <v>187</v>
      </c>
      <c r="J1126" s="9">
        <v>30</v>
      </c>
      <c r="K1126" s="9">
        <v>4</v>
      </c>
    </row>
    <row r="1127" spans="1:11" x14ac:dyDescent="0.4">
      <c r="A1127" s="9" t="s">
        <v>308</v>
      </c>
      <c r="B1127" s="9" t="s">
        <v>34</v>
      </c>
      <c r="C1127" s="9">
        <v>8</v>
      </c>
      <c r="D1127" s="9" t="s">
        <v>691</v>
      </c>
      <c r="E1127" s="9" t="s">
        <v>4778</v>
      </c>
      <c r="F1127" s="9" t="s">
        <v>4780</v>
      </c>
      <c r="G1127" s="9">
        <v>36521</v>
      </c>
      <c r="H1127" s="9" t="s">
        <v>4480</v>
      </c>
      <c r="I1127" s="9">
        <v>185</v>
      </c>
      <c r="J1127" s="9">
        <v>15</v>
      </c>
      <c r="K1127" s="9">
        <v>4</v>
      </c>
    </row>
    <row r="1128" spans="1:11" x14ac:dyDescent="0.4">
      <c r="A1128" s="9" t="s">
        <v>308</v>
      </c>
      <c r="B1128" s="9" t="s">
        <v>34</v>
      </c>
      <c r="C1128" s="9">
        <v>9</v>
      </c>
      <c r="D1128" s="9" t="s">
        <v>691</v>
      </c>
      <c r="E1128" s="9" t="s">
        <v>4781</v>
      </c>
      <c r="F1128" s="9" t="s">
        <v>4783</v>
      </c>
      <c r="G1128" s="9">
        <v>35599</v>
      </c>
      <c r="H1128" s="9" t="s">
        <v>4784</v>
      </c>
      <c r="I1128" s="9">
        <v>191</v>
      </c>
      <c r="J1128" s="9">
        <v>19</v>
      </c>
      <c r="K1128" s="9">
        <v>4</v>
      </c>
    </row>
    <row r="1129" spans="1:11" x14ac:dyDescent="0.4">
      <c r="A1129" s="9" t="s">
        <v>308</v>
      </c>
      <c r="B1129" s="9" t="s">
        <v>34</v>
      </c>
      <c r="C1129" s="9">
        <v>10</v>
      </c>
      <c r="D1129" s="9" t="s">
        <v>686</v>
      </c>
      <c r="E1129" s="9" t="s">
        <v>4785</v>
      </c>
      <c r="F1129" s="9" t="s">
        <v>4787</v>
      </c>
      <c r="G1129" s="9">
        <v>37642</v>
      </c>
      <c r="H1129" s="9" t="s">
        <v>1696</v>
      </c>
      <c r="I1129" s="9">
        <v>177</v>
      </c>
      <c r="J1129" s="9">
        <v>45</v>
      </c>
      <c r="K1129" s="9">
        <v>1</v>
      </c>
    </row>
    <row r="1130" spans="1:11" x14ac:dyDescent="0.4">
      <c r="A1130" s="9" t="s">
        <v>308</v>
      </c>
      <c r="B1130" s="9" t="s">
        <v>34</v>
      </c>
      <c r="C1130" s="9">
        <v>11</v>
      </c>
      <c r="D1130" s="9" t="s">
        <v>686</v>
      </c>
      <c r="E1130" s="9" t="s">
        <v>4789</v>
      </c>
      <c r="F1130" s="9" t="s">
        <v>4791</v>
      </c>
      <c r="G1130" s="9">
        <v>38087</v>
      </c>
      <c r="H1130" s="9" t="s">
        <v>909</v>
      </c>
      <c r="I1130" s="9">
        <v>180</v>
      </c>
      <c r="J1130" s="9">
        <v>17</v>
      </c>
      <c r="K1130" s="9">
        <v>2</v>
      </c>
    </row>
    <row r="1131" spans="1:11" x14ac:dyDescent="0.4">
      <c r="A1131" s="9" t="s">
        <v>308</v>
      </c>
      <c r="B1131" s="9" t="s">
        <v>34</v>
      </c>
      <c r="C1131" s="9">
        <v>12</v>
      </c>
      <c r="D1131" s="9" t="s">
        <v>669</v>
      </c>
      <c r="E1131" s="9" t="s">
        <v>4792</v>
      </c>
      <c r="F1131" s="9" t="s">
        <v>4794</v>
      </c>
      <c r="G1131" s="9">
        <v>34517</v>
      </c>
      <c r="H1131" s="9" t="s">
        <v>4770</v>
      </c>
      <c r="I1131" s="9">
        <v>188</v>
      </c>
      <c r="J1131" s="9">
        <v>18</v>
      </c>
      <c r="K1131" s="9">
        <v>0</v>
      </c>
    </row>
    <row r="1132" spans="1:11" x14ac:dyDescent="0.4">
      <c r="A1132" s="9" t="s">
        <v>308</v>
      </c>
      <c r="B1132" s="9" t="s">
        <v>34</v>
      </c>
      <c r="C1132" s="9">
        <v>13</v>
      </c>
      <c r="D1132" s="9" t="s">
        <v>686</v>
      </c>
      <c r="E1132" s="9" t="s">
        <v>4795</v>
      </c>
      <c r="F1132" s="9" t="s">
        <v>4797</v>
      </c>
      <c r="G1132" s="9">
        <v>34361</v>
      </c>
      <c r="H1132" s="9" t="s">
        <v>4798</v>
      </c>
      <c r="I1132" s="9">
        <v>188</v>
      </c>
      <c r="J1132" s="9">
        <v>3</v>
      </c>
      <c r="K1132" s="9">
        <v>0</v>
      </c>
    </row>
    <row r="1133" spans="1:11" x14ac:dyDescent="0.4">
      <c r="A1133" s="9" t="s">
        <v>308</v>
      </c>
      <c r="B1133" s="9" t="s">
        <v>34</v>
      </c>
      <c r="C1133" s="9">
        <v>14</v>
      </c>
      <c r="D1133" s="9" t="s">
        <v>686</v>
      </c>
      <c r="E1133" s="9" t="s">
        <v>4799</v>
      </c>
      <c r="F1133" s="9" t="s">
        <v>4648</v>
      </c>
      <c r="G1133" s="9">
        <v>38385</v>
      </c>
      <c r="H1133" s="9" t="s">
        <v>1165</v>
      </c>
      <c r="I1133" s="9">
        <v>174</v>
      </c>
      <c r="J1133" s="9">
        <v>4</v>
      </c>
      <c r="K1133" s="9">
        <v>0</v>
      </c>
    </row>
    <row r="1134" spans="1:11" x14ac:dyDescent="0.4">
      <c r="A1134" s="9" t="s">
        <v>308</v>
      </c>
      <c r="B1134" s="9" t="s">
        <v>34</v>
      </c>
      <c r="C1134" s="9">
        <v>15</v>
      </c>
      <c r="D1134" s="9" t="s">
        <v>686</v>
      </c>
      <c r="E1134" s="9" t="s">
        <v>4801</v>
      </c>
      <c r="F1134" s="9" t="s">
        <v>4802</v>
      </c>
      <c r="G1134" s="9">
        <v>36640</v>
      </c>
      <c r="H1134" s="9" t="s">
        <v>2689</v>
      </c>
      <c r="I1134" s="9">
        <v>179</v>
      </c>
      <c r="J1134" s="9">
        <v>9</v>
      </c>
      <c r="K1134" s="9">
        <v>0</v>
      </c>
    </row>
    <row r="1135" spans="1:11" x14ac:dyDescent="0.4">
      <c r="A1135" s="9" t="s">
        <v>308</v>
      </c>
      <c r="B1135" s="9" t="s">
        <v>34</v>
      </c>
      <c r="C1135" s="9">
        <v>16</v>
      </c>
      <c r="D1135" s="9" t="s">
        <v>664</v>
      </c>
      <c r="E1135" s="9" t="s">
        <v>4804</v>
      </c>
      <c r="F1135" s="9" t="s">
        <v>4806</v>
      </c>
      <c r="G1135" s="9">
        <v>35458</v>
      </c>
      <c r="H1135" s="9" t="s">
        <v>4807</v>
      </c>
      <c r="I1135" s="9">
        <v>188</v>
      </c>
      <c r="J1135" s="9">
        <v>37</v>
      </c>
      <c r="K1135" s="9">
        <v>0</v>
      </c>
    </row>
    <row r="1136" spans="1:11" x14ac:dyDescent="0.4">
      <c r="A1136" s="9" t="s">
        <v>308</v>
      </c>
      <c r="B1136" s="9" t="s">
        <v>34</v>
      </c>
      <c r="C1136" s="9">
        <v>17</v>
      </c>
      <c r="D1136" s="9" t="s">
        <v>686</v>
      </c>
      <c r="E1136" s="9" t="s">
        <v>4808</v>
      </c>
      <c r="F1136" s="9" t="s">
        <v>4810</v>
      </c>
      <c r="G1136" s="9">
        <v>34829</v>
      </c>
      <c r="H1136" s="9" t="s">
        <v>707</v>
      </c>
      <c r="I1136" s="9">
        <v>185</v>
      </c>
      <c r="J1136" s="9">
        <v>83</v>
      </c>
      <c r="K1136" s="9">
        <v>4</v>
      </c>
    </row>
    <row r="1137" spans="1:11" x14ac:dyDescent="0.4">
      <c r="A1137" s="9" t="s">
        <v>308</v>
      </c>
      <c r="B1137" s="9" t="s">
        <v>34</v>
      </c>
      <c r="C1137" s="9">
        <v>18</v>
      </c>
      <c r="D1137" s="9" t="s">
        <v>691</v>
      </c>
      <c r="E1137" s="9" t="s">
        <v>4811</v>
      </c>
      <c r="F1137" s="9" t="s">
        <v>4812</v>
      </c>
      <c r="G1137" s="9">
        <v>39342</v>
      </c>
      <c r="H1137" s="9" t="s">
        <v>3905</v>
      </c>
      <c r="I1137" s="9">
        <v>180</v>
      </c>
      <c r="J1137" s="9">
        <v>4</v>
      </c>
      <c r="K1137" s="9">
        <v>0</v>
      </c>
    </row>
    <row r="1138" spans="1:11" x14ac:dyDescent="0.4">
      <c r="A1138" s="9" t="s">
        <v>308</v>
      </c>
      <c r="B1138" s="9" t="s">
        <v>34</v>
      </c>
      <c r="C1138" s="9">
        <v>19</v>
      </c>
      <c r="D1138" s="9" t="s">
        <v>691</v>
      </c>
      <c r="E1138" s="9" t="s">
        <v>4813</v>
      </c>
      <c r="F1138" s="9" t="s">
        <v>4815</v>
      </c>
      <c r="G1138" s="9">
        <v>35193</v>
      </c>
      <c r="H1138" s="9" t="s">
        <v>4759</v>
      </c>
      <c r="I1138" s="9">
        <v>185</v>
      </c>
      <c r="J1138" s="9">
        <v>30</v>
      </c>
      <c r="K1138" s="9">
        <v>6</v>
      </c>
    </row>
    <row r="1139" spans="1:11" x14ac:dyDescent="0.4">
      <c r="A1139" s="9" t="s">
        <v>308</v>
      </c>
      <c r="B1139" s="9" t="s">
        <v>34</v>
      </c>
      <c r="C1139" s="9">
        <v>20</v>
      </c>
      <c r="D1139" s="9" t="s">
        <v>669</v>
      </c>
      <c r="E1139" s="9" t="s">
        <v>4816</v>
      </c>
      <c r="F1139" s="9" t="s">
        <v>4817</v>
      </c>
      <c r="G1139" s="9">
        <v>36213</v>
      </c>
      <c r="H1139" s="9" t="s">
        <v>719</v>
      </c>
      <c r="I1139" s="9">
        <v>181</v>
      </c>
      <c r="J1139" s="9">
        <v>22</v>
      </c>
      <c r="K1139" s="9">
        <v>0</v>
      </c>
    </row>
    <row r="1140" spans="1:11" x14ac:dyDescent="0.4">
      <c r="A1140" s="9" t="s">
        <v>308</v>
      </c>
      <c r="B1140" s="9" t="s">
        <v>34</v>
      </c>
      <c r="C1140" s="9">
        <v>21</v>
      </c>
      <c r="D1140" s="9" t="s">
        <v>669</v>
      </c>
      <c r="E1140" s="9" t="s">
        <v>4818</v>
      </c>
      <c r="F1140" s="9" t="s">
        <v>4819</v>
      </c>
      <c r="G1140" s="9">
        <v>35048</v>
      </c>
      <c r="H1140" s="9" t="s">
        <v>681</v>
      </c>
      <c r="I1140" s="9">
        <v>181</v>
      </c>
      <c r="J1140" s="9">
        <v>13</v>
      </c>
      <c r="K1140" s="9">
        <v>0</v>
      </c>
    </row>
    <row r="1141" spans="1:11" x14ac:dyDescent="0.4">
      <c r="A1141" s="9" t="s">
        <v>308</v>
      </c>
      <c r="B1141" s="9" t="s">
        <v>34</v>
      </c>
      <c r="C1141" s="9">
        <v>22</v>
      </c>
      <c r="D1141" s="9" t="s">
        <v>664</v>
      </c>
      <c r="E1141" s="9" t="s">
        <v>4820</v>
      </c>
      <c r="F1141" s="9" t="s">
        <v>4822</v>
      </c>
      <c r="G1141" s="9">
        <v>35229</v>
      </c>
      <c r="H1141" s="9" t="s">
        <v>4823</v>
      </c>
      <c r="I1141" s="9">
        <v>189</v>
      </c>
      <c r="J1141" s="9">
        <v>2</v>
      </c>
      <c r="K1141" s="9">
        <v>0</v>
      </c>
    </row>
    <row r="1142" spans="1:11" x14ac:dyDescent="0.4">
      <c r="A1142" s="9" t="s">
        <v>308</v>
      </c>
      <c r="B1142" s="9" t="s">
        <v>34</v>
      </c>
      <c r="C1142" s="9">
        <v>23</v>
      </c>
      <c r="D1142" s="9" t="s">
        <v>669</v>
      </c>
      <c r="E1142" s="9" t="s">
        <v>4825</v>
      </c>
      <c r="F1142" s="9" t="s">
        <v>4827</v>
      </c>
      <c r="G1142" s="9">
        <v>38234</v>
      </c>
      <c r="H1142" s="9" t="s">
        <v>4828</v>
      </c>
      <c r="I1142" s="9">
        <v>182</v>
      </c>
      <c r="J1142" s="9">
        <v>5</v>
      </c>
      <c r="K1142" s="9">
        <v>0</v>
      </c>
    </row>
    <row r="1143" spans="1:11" x14ac:dyDescent="0.4">
      <c r="A1143" s="9" t="s">
        <v>308</v>
      </c>
      <c r="B1143" s="9" t="s">
        <v>34</v>
      </c>
      <c r="C1143" s="9">
        <v>24</v>
      </c>
      <c r="D1143" s="9" t="s">
        <v>669</v>
      </c>
      <c r="E1143" s="9" t="s">
        <v>4829</v>
      </c>
      <c r="F1143" s="9" t="s">
        <v>4831</v>
      </c>
      <c r="G1143" s="9">
        <v>38147</v>
      </c>
      <c r="H1143" s="9" t="s">
        <v>4832</v>
      </c>
      <c r="I1143" s="9">
        <v>191</v>
      </c>
      <c r="J1143" s="9">
        <v>0</v>
      </c>
      <c r="K1143" s="9">
        <v>0</v>
      </c>
    </row>
    <row r="1144" spans="1:11" x14ac:dyDescent="0.4">
      <c r="A1144" s="9" t="s">
        <v>308</v>
      </c>
      <c r="B1144" s="9" t="s">
        <v>34</v>
      </c>
      <c r="C1144" s="9">
        <v>25</v>
      </c>
      <c r="D1144" s="9" t="s">
        <v>686</v>
      </c>
      <c r="E1144" s="9" t="s">
        <v>4833</v>
      </c>
      <c r="F1144" s="9" t="s">
        <v>4834</v>
      </c>
      <c r="G1144" s="9">
        <v>36966</v>
      </c>
      <c r="H1144" s="9" t="s">
        <v>803</v>
      </c>
      <c r="I1144" s="9">
        <v>188</v>
      </c>
      <c r="J1144" s="9">
        <v>41</v>
      </c>
      <c r="K1144" s="9">
        <v>4</v>
      </c>
    </row>
    <row r="1145" spans="1:11" x14ac:dyDescent="0.4">
      <c r="A1145" s="9" t="s">
        <v>308</v>
      </c>
      <c r="B1145" s="9" t="s">
        <v>34</v>
      </c>
      <c r="C1145" s="9">
        <v>26</v>
      </c>
      <c r="D1145" s="9" t="s">
        <v>686</v>
      </c>
      <c r="E1145" s="9" t="s">
        <v>4836</v>
      </c>
      <c r="F1145" s="9" t="s">
        <v>4838</v>
      </c>
      <c r="G1145" s="9">
        <v>37450</v>
      </c>
      <c r="H1145" s="9" t="s">
        <v>1382</v>
      </c>
      <c r="I1145" s="9">
        <v>182</v>
      </c>
      <c r="J1145" s="9">
        <v>12</v>
      </c>
      <c r="K1145" s="9">
        <v>1</v>
      </c>
    </row>
    <row r="1146" spans="1:11" x14ac:dyDescent="0.4">
      <c r="A1146" s="9" t="s">
        <v>306</v>
      </c>
      <c r="B1146" s="9" t="s">
        <v>195</v>
      </c>
      <c r="C1146" s="9">
        <v>1</v>
      </c>
      <c r="D1146" s="9" t="s">
        <v>664</v>
      </c>
      <c r="E1146" s="9" t="s">
        <v>4839</v>
      </c>
      <c r="F1146" s="9" t="s">
        <v>4841</v>
      </c>
      <c r="G1146" s="9">
        <v>32568</v>
      </c>
      <c r="H1146" s="9" t="s">
        <v>1239</v>
      </c>
      <c r="I1146" s="9">
        <v>196</v>
      </c>
      <c r="J1146" s="9">
        <v>37</v>
      </c>
      <c r="K1146" s="9">
        <v>0</v>
      </c>
    </row>
    <row r="1147" spans="1:11" x14ac:dyDescent="0.4">
      <c r="A1147" s="9" t="s">
        <v>306</v>
      </c>
      <c r="B1147" s="9" t="s">
        <v>195</v>
      </c>
      <c r="C1147" s="9">
        <v>2</v>
      </c>
      <c r="D1147" s="9" t="s">
        <v>669</v>
      </c>
      <c r="E1147" s="9" t="s">
        <v>4843</v>
      </c>
      <c r="F1147" s="9" t="s">
        <v>4845</v>
      </c>
      <c r="G1147" s="9">
        <v>35478</v>
      </c>
      <c r="H1147" s="9" t="s">
        <v>1856</v>
      </c>
      <c r="I1147" s="9">
        <v>180</v>
      </c>
      <c r="J1147" s="9">
        <v>61</v>
      </c>
      <c r="K1147" s="9">
        <v>3</v>
      </c>
    </row>
    <row r="1148" spans="1:11" x14ac:dyDescent="0.4">
      <c r="A1148" s="9" t="s">
        <v>306</v>
      </c>
      <c r="B1148" s="9" t="s">
        <v>195</v>
      </c>
      <c r="C1148" s="9">
        <v>3</v>
      </c>
      <c r="D1148" s="9" t="s">
        <v>669</v>
      </c>
      <c r="E1148" s="9" t="s">
        <v>4847</v>
      </c>
      <c r="F1148" s="9" t="s">
        <v>4849</v>
      </c>
      <c r="G1148" s="9">
        <v>35859</v>
      </c>
      <c r="H1148" s="9" t="s">
        <v>695</v>
      </c>
      <c r="I1148" s="9">
        <v>190</v>
      </c>
      <c r="J1148" s="9">
        <v>62</v>
      </c>
      <c r="K1148" s="9">
        <v>6</v>
      </c>
    </row>
    <row r="1149" spans="1:11" x14ac:dyDescent="0.4">
      <c r="A1149" s="9" t="s">
        <v>306</v>
      </c>
      <c r="B1149" s="9" t="s">
        <v>195</v>
      </c>
      <c r="C1149" s="9">
        <v>4</v>
      </c>
      <c r="D1149" s="9" t="s">
        <v>669</v>
      </c>
      <c r="E1149" s="9" t="s">
        <v>4850</v>
      </c>
      <c r="F1149" s="9" t="s">
        <v>4852</v>
      </c>
      <c r="G1149" s="9">
        <v>35208</v>
      </c>
      <c r="H1149" s="9" t="s">
        <v>1239</v>
      </c>
      <c r="I1149" s="9">
        <v>185</v>
      </c>
      <c r="J1149" s="9">
        <v>60</v>
      </c>
      <c r="K1149" s="9">
        <v>2</v>
      </c>
    </row>
    <row r="1150" spans="1:11" x14ac:dyDescent="0.4">
      <c r="A1150" s="9" t="s">
        <v>306</v>
      </c>
      <c r="B1150" s="9" t="s">
        <v>195</v>
      </c>
      <c r="C1150" s="9">
        <v>5</v>
      </c>
      <c r="D1150" s="9" t="s">
        <v>686</v>
      </c>
      <c r="E1150" s="9" t="s">
        <v>4854</v>
      </c>
      <c r="F1150" s="9" t="s">
        <v>4856</v>
      </c>
      <c r="G1150" s="9">
        <v>35806</v>
      </c>
      <c r="H1150" s="9" t="s">
        <v>749</v>
      </c>
      <c r="I1150" s="9">
        <v>182</v>
      </c>
      <c r="J1150" s="9">
        <v>30</v>
      </c>
      <c r="K1150" s="9">
        <v>1</v>
      </c>
    </row>
    <row r="1151" spans="1:11" x14ac:dyDescent="0.4">
      <c r="A1151" s="9" t="s">
        <v>306</v>
      </c>
      <c r="B1151" s="9" t="s">
        <v>195</v>
      </c>
      <c r="C1151" s="9">
        <v>6</v>
      </c>
      <c r="D1151" s="9" t="s">
        <v>686</v>
      </c>
      <c r="E1151" s="9" t="s">
        <v>4857</v>
      </c>
      <c r="F1151" s="9" t="s">
        <v>4859</v>
      </c>
      <c r="G1151" s="9">
        <v>36889</v>
      </c>
      <c r="H1151" s="9" t="s">
        <v>1852</v>
      </c>
      <c r="I1151" s="9">
        <v>175</v>
      </c>
      <c r="J1151" s="9">
        <v>50</v>
      </c>
      <c r="K1151" s="9">
        <v>4</v>
      </c>
    </row>
    <row r="1152" spans="1:11" x14ac:dyDescent="0.4">
      <c r="A1152" s="9" t="s">
        <v>306</v>
      </c>
      <c r="B1152" s="9" t="s">
        <v>195</v>
      </c>
      <c r="C1152" s="9">
        <v>7</v>
      </c>
      <c r="D1152" s="9" t="s">
        <v>691</v>
      </c>
      <c r="E1152" s="9" t="s">
        <v>4861</v>
      </c>
      <c r="F1152" s="9" t="s">
        <v>4863</v>
      </c>
      <c r="G1152" s="9">
        <v>36089</v>
      </c>
      <c r="H1152" s="9" t="s">
        <v>1239</v>
      </c>
      <c r="I1152" s="9">
        <v>172</v>
      </c>
      <c r="J1152" s="9">
        <v>52</v>
      </c>
      <c r="K1152" s="9">
        <v>15</v>
      </c>
    </row>
    <row r="1153" spans="1:11" x14ac:dyDescent="0.4">
      <c r="A1153" s="9" t="s">
        <v>306</v>
      </c>
      <c r="B1153" s="9" t="s">
        <v>195</v>
      </c>
      <c r="C1153" s="9">
        <v>8</v>
      </c>
      <c r="D1153" s="9" t="s">
        <v>691</v>
      </c>
      <c r="E1153" s="9" t="s">
        <v>4864</v>
      </c>
      <c r="F1153" s="9" t="s">
        <v>4866</v>
      </c>
      <c r="G1153" s="9">
        <v>38408</v>
      </c>
      <c r="H1153" s="9" t="s">
        <v>898</v>
      </c>
      <c r="I1153" s="9">
        <v>175</v>
      </c>
      <c r="J1153" s="9">
        <v>29</v>
      </c>
      <c r="K1153" s="9">
        <v>6</v>
      </c>
    </row>
    <row r="1154" spans="1:11" x14ac:dyDescent="0.4">
      <c r="A1154" s="9" t="s">
        <v>306</v>
      </c>
      <c r="B1154" s="9" t="s">
        <v>195</v>
      </c>
      <c r="C1154" s="9">
        <v>9</v>
      </c>
      <c r="D1154" s="9" t="s">
        <v>691</v>
      </c>
      <c r="E1154" s="9" t="s">
        <v>4868</v>
      </c>
      <c r="F1154" s="9" t="s">
        <v>4870</v>
      </c>
      <c r="G1154" s="9">
        <v>38170</v>
      </c>
      <c r="H1154" s="9" t="s">
        <v>1807</v>
      </c>
      <c r="I1154" s="9">
        <v>192</v>
      </c>
      <c r="J1154" s="9">
        <v>8</v>
      </c>
      <c r="K1154" s="9">
        <v>2</v>
      </c>
    </row>
    <row r="1155" spans="1:11" x14ac:dyDescent="0.4">
      <c r="A1155" s="9" t="s">
        <v>306</v>
      </c>
      <c r="B1155" s="9" t="s">
        <v>195</v>
      </c>
      <c r="C1155" s="9">
        <v>10</v>
      </c>
      <c r="D1155" s="9" t="s">
        <v>686</v>
      </c>
      <c r="E1155" s="9" t="s">
        <v>4872</v>
      </c>
      <c r="F1155" s="9" t="s">
        <v>4874</v>
      </c>
      <c r="G1155" s="9">
        <v>34373</v>
      </c>
      <c r="H1155" s="9" t="s">
        <v>1547</v>
      </c>
      <c r="I1155" s="9">
        <v>178</v>
      </c>
      <c r="J1155" s="9">
        <v>105</v>
      </c>
      <c r="K1155" s="9">
        <v>22</v>
      </c>
    </row>
    <row r="1156" spans="1:11" x14ac:dyDescent="0.4">
      <c r="A1156" s="9" t="s">
        <v>306</v>
      </c>
      <c r="B1156" s="9" t="s">
        <v>195</v>
      </c>
      <c r="C1156" s="9">
        <v>11</v>
      </c>
      <c r="D1156" s="9" t="s">
        <v>691</v>
      </c>
      <c r="E1156" s="9" t="s">
        <v>4875</v>
      </c>
      <c r="F1156" s="9" t="s">
        <v>4877</v>
      </c>
      <c r="G1156" s="9">
        <v>38476</v>
      </c>
      <c r="H1156" s="9" t="s">
        <v>1204</v>
      </c>
      <c r="I1156" s="9">
        <v>187</v>
      </c>
      <c r="J1156" s="9">
        <v>28</v>
      </c>
      <c r="K1156" s="9">
        <v>5</v>
      </c>
    </row>
    <row r="1157" spans="1:11" x14ac:dyDescent="0.4">
      <c r="A1157" s="9" t="s">
        <v>306</v>
      </c>
      <c r="B1157" s="9" t="s">
        <v>195</v>
      </c>
      <c r="C1157" s="9">
        <v>12</v>
      </c>
      <c r="D1157" s="9" t="s">
        <v>664</v>
      </c>
      <c r="E1157" s="9" t="s">
        <v>4878</v>
      </c>
      <c r="F1157" s="9" t="s">
        <v>4880</v>
      </c>
      <c r="G1157" s="9">
        <v>35899</v>
      </c>
      <c r="H1157" s="9" t="s">
        <v>1007</v>
      </c>
      <c r="I1157" s="9">
        <v>198</v>
      </c>
      <c r="J1157" s="9">
        <v>12</v>
      </c>
      <c r="K1157" s="9">
        <v>0</v>
      </c>
    </row>
    <row r="1158" spans="1:11" x14ac:dyDescent="0.4">
      <c r="A1158" s="9" t="s">
        <v>306</v>
      </c>
      <c r="B1158" s="9" t="s">
        <v>195</v>
      </c>
      <c r="C1158" s="9">
        <v>13</v>
      </c>
      <c r="D1158" s="9" t="s">
        <v>669</v>
      </c>
      <c r="E1158" s="9" t="s">
        <v>4882</v>
      </c>
      <c r="F1158" s="9" t="s">
        <v>4884</v>
      </c>
      <c r="G1158" s="9">
        <v>36714</v>
      </c>
      <c r="H1158" s="9" t="s">
        <v>1664</v>
      </c>
      <c r="I1158" s="9">
        <v>181</v>
      </c>
      <c r="J1158" s="9">
        <v>23</v>
      </c>
      <c r="K1158" s="9">
        <v>0</v>
      </c>
    </row>
    <row r="1159" spans="1:11" x14ac:dyDescent="0.4">
      <c r="A1159" s="9" t="s">
        <v>306</v>
      </c>
      <c r="B1159" s="9" t="s">
        <v>195</v>
      </c>
      <c r="C1159" s="9">
        <v>14</v>
      </c>
      <c r="D1159" s="9" t="s">
        <v>669</v>
      </c>
      <c r="E1159" s="9" t="s">
        <v>4886</v>
      </c>
      <c r="F1159" s="9" t="s">
        <v>4888</v>
      </c>
      <c r="G1159" s="9">
        <v>34584</v>
      </c>
      <c r="H1159" s="9" t="s">
        <v>1664</v>
      </c>
      <c r="I1159" s="9">
        <v>185</v>
      </c>
      <c r="J1159" s="9">
        <v>27</v>
      </c>
      <c r="K1159" s="9">
        <v>2</v>
      </c>
    </row>
    <row r="1160" spans="1:11" x14ac:dyDescent="0.4">
      <c r="A1160" s="9" t="s">
        <v>306</v>
      </c>
      <c r="B1160" s="9" t="s">
        <v>195</v>
      </c>
      <c r="C1160" s="9">
        <v>15</v>
      </c>
      <c r="D1160" s="9" t="s">
        <v>669</v>
      </c>
      <c r="E1160" s="9" t="s">
        <v>4890</v>
      </c>
      <c r="F1160" s="9" t="s">
        <v>4892</v>
      </c>
      <c r="G1160" s="9">
        <v>36610</v>
      </c>
      <c r="H1160" s="9" t="s">
        <v>949</v>
      </c>
      <c r="I1160" s="9">
        <v>187</v>
      </c>
      <c r="J1160" s="9">
        <v>30</v>
      </c>
      <c r="K1160" s="9">
        <v>2</v>
      </c>
    </row>
    <row r="1161" spans="1:11" x14ac:dyDescent="0.4">
      <c r="A1161" s="9" t="s">
        <v>306</v>
      </c>
      <c r="B1161" s="9" t="s">
        <v>195</v>
      </c>
      <c r="C1161" s="9">
        <v>16</v>
      </c>
      <c r="D1161" s="9" t="s">
        <v>686</v>
      </c>
      <c r="E1161" s="9" t="s">
        <v>4894</v>
      </c>
      <c r="F1161" s="9" t="s">
        <v>4896</v>
      </c>
      <c r="G1161" s="9">
        <v>36186</v>
      </c>
      <c r="H1161" s="9" t="s">
        <v>1239</v>
      </c>
      <c r="I1161" s="9">
        <v>183</v>
      </c>
      <c r="J1161" s="9">
        <v>32</v>
      </c>
      <c r="K1161" s="9">
        <v>1</v>
      </c>
    </row>
    <row r="1162" spans="1:11" x14ac:dyDescent="0.4">
      <c r="A1162" s="9" t="s">
        <v>306</v>
      </c>
      <c r="B1162" s="9" t="s">
        <v>195</v>
      </c>
      <c r="C1162" s="9">
        <v>17</v>
      </c>
      <c r="D1162" s="9" t="s">
        <v>691</v>
      </c>
      <c r="E1162" s="9" t="s">
        <v>4898</v>
      </c>
      <c r="F1162" s="9" t="s">
        <v>4900</v>
      </c>
      <c r="G1162" s="9">
        <v>34895</v>
      </c>
      <c r="H1162" s="9" t="s">
        <v>4770</v>
      </c>
      <c r="I1162" s="9">
        <v>180</v>
      </c>
      <c r="J1162" s="9">
        <v>47</v>
      </c>
      <c r="K1162" s="9">
        <v>6</v>
      </c>
    </row>
    <row r="1163" spans="1:11" x14ac:dyDescent="0.4">
      <c r="A1163" s="9" t="s">
        <v>306</v>
      </c>
      <c r="B1163" s="9" t="s">
        <v>195</v>
      </c>
      <c r="C1163" s="9">
        <v>18</v>
      </c>
      <c r="D1163" s="9" t="s">
        <v>669</v>
      </c>
      <c r="E1163" s="9" t="s">
        <v>4901</v>
      </c>
      <c r="F1163" s="9" t="s">
        <v>4903</v>
      </c>
      <c r="G1163" s="9">
        <v>36253</v>
      </c>
      <c r="H1163" s="9" t="s">
        <v>1239</v>
      </c>
      <c r="I1163" s="9">
        <v>184</v>
      </c>
      <c r="J1163" s="9">
        <v>45</v>
      </c>
      <c r="K1163" s="9">
        <v>3</v>
      </c>
    </row>
    <row r="1164" spans="1:11" x14ac:dyDescent="0.4">
      <c r="A1164" s="9" t="s">
        <v>306</v>
      </c>
      <c r="B1164" s="9" t="s">
        <v>195</v>
      </c>
      <c r="C1164" s="9">
        <v>19</v>
      </c>
      <c r="D1164" s="9" t="s">
        <v>691</v>
      </c>
      <c r="E1164" s="9" t="s">
        <v>4905</v>
      </c>
      <c r="F1164" s="9" t="s">
        <v>4907</v>
      </c>
      <c r="G1164" s="9">
        <v>36714</v>
      </c>
      <c r="H1164" s="9" t="s">
        <v>1664</v>
      </c>
      <c r="I1164" s="9">
        <v>173</v>
      </c>
      <c r="J1164" s="9">
        <v>19</v>
      </c>
      <c r="K1164" s="9">
        <v>4</v>
      </c>
    </row>
    <row r="1165" spans="1:11" x14ac:dyDescent="0.4">
      <c r="A1165" s="9" t="s">
        <v>306</v>
      </c>
      <c r="B1165" s="9" t="s">
        <v>195</v>
      </c>
      <c r="C1165" s="9">
        <v>20</v>
      </c>
      <c r="D1165" s="9" t="s">
        <v>669</v>
      </c>
      <c r="E1165" s="9" t="s">
        <v>4909</v>
      </c>
      <c r="F1165" s="9" t="s">
        <v>4911</v>
      </c>
      <c r="G1165" s="9">
        <v>36440</v>
      </c>
      <c r="H1165" s="9" t="s">
        <v>981</v>
      </c>
      <c r="I1165" s="9">
        <v>174</v>
      </c>
      <c r="J1165" s="9">
        <v>30</v>
      </c>
      <c r="K1165" s="9">
        <v>2</v>
      </c>
    </row>
    <row r="1166" spans="1:11" x14ac:dyDescent="0.4">
      <c r="A1166" s="9" t="s">
        <v>306</v>
      </c>
      <c r="B1166" s="9" t="s">
        <v>195</v>
      </c>
      <c r="C1166" s="9">
        <v>21</v>
      </c>
      <c r="D1166" s="9" t="s">
        <v>691</v>
      </c>
      <c r="E1166" s="9" t="s">
        <v>4913</v>
      </c>
      <c r="F1166" s="9" t="s">
        <v>4915</v>
      </c>
      <c r="G1166" s="9">
        <v>36669</v>
      </c>
      <c r="H1166" s="9" t="s">
        <v>1664</v>
      </c>
      <c r="I1166" s="9">
        <v>186</v>
      </c>
      <c r="J1166" s="9">
        <v>35</v>
      </c>
      <c r="K1166" s="9">
        <v>4</v>
      </c>
    </row>
    <row r="1167" spans="1:11" x14ac:dyDescent="0.4">
      <c r="A1167" s="9" t="s">
        <v>306</v>
      </c>
      <c r="B1167" s="9" t="s">
        <v>195</v>
      </c>
      <c r="C1167" s="9">
        <v>22</v>
      </c>
      <c r="D1167" s="9" t="s">
        <v>686</v>
      </c>
      <c r="E1167" s="9" t="s">
        <v>4917</v>
      </c>
      <c r="F1167" s="9" t="s">
        <v>4919</v>
      </c>
      <c r="G1167" s="9">
        <v>34648</v>
      </c>
      <c r="H1167" s="9" t="s">
        <v>1664</v>
      </c>
      <c r="I1167" s="9">
        <v>185</v>
      </c>
      <c r="J1167" s="9">
        <v>73</v>
      </c>
      <c r="K1167" s="9">
        <v>5</v>
      </c>
    </row>
    <row r="1168" spans="1:11" x14ac:dyDescent="0.4">
      <c r="A1168" s="9" t="s">
        <v>306</v>
      </c>
      <c r="B1168" s="9" t="s">
        <v>195</v>
      </c>
      <c r="C1168" s="9">
        <v>23</v>
      </c>
      <c r="D1168" s="9" t="s">
        <v>664</v>
      </c>
      <c r="E1168" s="9" t="s">
        <v>4921</v>
      </c>
      <c r="F1168" s="9" t="s">
        <v>4923</v>
      </c>
      <c r="G1168" s="9">
        <v>35160</v>
      </c>
      <c r="H1168" s="9" t="s">
        <v>1664</v>
      </c>
      <c r="I1168" s="9">
        <v>191</v>
      </c>
      <c r="J1168" s="9">
        <v>39</v>
      </c>
      <c r="K1168" s="9">
        <v>0</v>
      </c>
    </row>
    <row r="1169" spans="1:11" x14ac:dyDescent="0.4">
      <c r="A1169" s="9" t="s">
        <v>306</v>
      </c>
      <c r="B1169" s="9" t="s">
        <v>195</v>
      </c>
      <c r="C1169" s="9">
        <v>24</v>
      </c>
      <c r="D1169" s="9" t="s">
        <v>691</v>
      </c>
      <c r="E1169" s="9" t="s">
        <v>4925</v>
      </c>
      <c r="F1169" s="9" t="s">
        <v>4927</v>
      </c>
      <c r="G1169" s="9">
        <v>36826</v>
      </c>
      <c r="H1169" s="9" t="s">
        <v>1239</v>
      </c>
      <c r="I1169" s="9">
        <v>183</v>
      </c>
      <c r="J1169" s="9">
        <v>11</v>
      </c>
      <c r="K1169" s="9">
        <v>0</v>
      </c>
    </row>
    <row r="1170" spans="1:11" x14ac:dyDescent="0.4">
      <c r="A1170" s="9" t="s">
        <v>306</v>
      </c>
      <c r="B1170" s="9" t="s">
        <v>195</v>
      </c>
      <c r="C1170" s="9">
        <v>25</v>
      </c>
      <c r="D1170" s="9" t="s">
        <v>669</v>
      </c>
      <c r="E1170" s="9" t="s">
        <v>4929</v>
      </c>
      <c r="F1170" s="9" t="s">
        <v>4931</v>
      </c>
      <c r="G1170" s="9">
        <v>34406</v>
      </c>
      <c r="H1170" s="9" t="s">
        <v>1787</v>
      </c>
      <c r="I1170" s="9">
        <v>190</v>
      </c>
      <c r="J1170" s="9">
        <v>19</v>
      </c>
      <c r="K1170" s="9">
        <v>1</v>
      </c>
    </row>
    <row r="1171" spans="1:11" x14ac:dyDescent="0.4">
      <c r="A1171" s="9" t="s">
        <v>306</v>
      </c>
      <c r="B1171" s="9" t="s">
        <v>195</v>
      </c>
      <c r="C1171" s="9">
        <v>26</v>
      </c>
      <c r="D1171" s="9" t="s">
        <v>691</v>
      </c>
      <c r="E1171" s="9" t="s">
        <v>4933</v>
      </c>
      <c r="F1171" s="9" t="s">
        <v>4935</v>
      </c>
      <c r="G1171" s="9">
        <v>38667</v>
      </c>
      <c r="H1171" s="9" t="s">
        <v>707</v>
      </c>
      <c r="I1171" s="9">
        <v>186</v>
      </c>
      <c r="J1171" s="9">
        <v>6</v>
      </c>
      <c r="K1171" s="9">
        <v>1</v>
      </c>
    </row>
    <row r="1172" spans="1:11" x14ac:dyDescent="0.4">
      <c r="A1172" s="9" t="s">
        <v>307</v>
      </c>
      <c r="B1172" s="9" t="s">
        <v>33</v>
      </c>
      <c r="C1172" s="9">
        <v>1</v>
      </c>
      <c r="D1172" s="9" t="s">
        <v>664</v>
      </c>
      <c r="E1172" s="9" t="s">
        <v>4937</v>
      </c>
      <c r="F1172" s="9" t="s">
        <v>4939</v>
      </c>
      <c r="G1172" s="9">
        <v>34051</v>
      </c>
      <c r="H1172" s="9" t="s">
        <v>2129</v>
      </c>
      <c r="I1172" s="9">
        <v>189</v>
      </c>
      <c r="J1172" s="9">
        <v>35</v>
      </c>
      <c r="K1172" s="9">
        <v>0</v>
      </c>
    </row>
    <row r="1173" spans="1:11" x14ac:dyDescent="0.4">
      <c r="A1173" s="9" t="s">
        <v>307</v>
      </c>
      <c r="B1173" s="9" t="s">
        <v>33</v>
      </c>
      <c r="C1173" s="9">
        <v>2</v>
      </c>
      <c r="D1173" s="9" t="s">
        <v>669</v>
      </c>
      <c r="E1173" s="9" t="s">
        <v>4941</v>
      </c>
      <c r="F1173" s="9" t="s">
        <v>4943</v>
      </c>
      <c r="G1173" s="9">
        <v>34719</v>
      </c>
      <c r="H1173" s="9" t="s">
        <v>1475</v>
      </c>
      <c r="I1173" s="9">
        <v>186</v>
      </c>
      <c r="J1173" s="9">
        <v>99</v>
      </c>
      <c r="K1173" s="9">
        <v>8</v>
      </c>
    </row>
    <row r="1174" spans="1:11" x14ac:dyDescent="0.4">
      <c r="A1174" s="9" t="s">
        <v>307</v>
      </c>
      <c r="B1174" s="9" t="s">
        <v>33</v>
      </c>
      <c r="C1174" s="9">
        <v>3</v>
      </c>
      <c r="D1174" s="9" t="s">
        <v>669</v>
      </c>
      <c r="E1174" s="9" t="s">
        <v>4945</v>
      </c>
      <c r="F1174" s="9" t="s">
        <v>4947</v>
      </c>
      <c r="G1174" s="9">
        <v>36390</v>
      </c>
      <c r="H1174" s="9" t="s">
        <v>3341</v>
      </c>
      <c r="I1174" s="9">
        <v>180</v>
      </c>
      <c r="J1174" s="9">
        <v>24</v>
      </c>
      <c r="K1174" s="9">
        <v>0</v>
      </c>
    </row>
    <row r="1175" spans="1:11" x14ac:dyDescent="0.4">
      <c r="A1175" s="9" t="s">
        <v>307</v>
      </c>
      <c r="B1175" s="9" t="s">
        <v>33</v>
      </c>
      <c r="C1175" s="9">
        <v>4</v>
      </c>
      <c r="D1175" s="9" t="s">
        <v>669</v>
      </c>
      <c r="E1175" s="9" t="s">
        <v>4949</v>
      </c>
      <c r="F1175" s="9" t="s">
        <v>4951</v>
      </c>
      <c r="G1175" s="9">
        <v>36226</v>
      </c>
      <c r="H1175" s="9" t="s">
        <v>1193</v>
      </c>
      <c r="I1175" s="9">
        <v>185</v>
      </c>
      <c r="J1175" s="9">
        <v>27</v>
      </c>
      <c r="K1175" s="9">
        <v>1</v>
      </c>
    </row>
    <row r="1176" spans="1:11" x14ac:dyDescent="0.4">
      <c r="A1176" s="9" t="s">
        <v>307</v>
      </c>
      <c r="B1176" s="9" t="s">
        <v>33</v>
      </c>
      <c r="C1176" s="9">
        <v>5</v>
      </c>
      <c r="D1176" s="9" t="s">
        <v>686</v>
      </c>
      <c r="E1176" s="9" t="s">
        <v>4953</v>
      </c>
      <c r="F1176" s="9" t="s">
        <v>4955</v>
      </c>
      <c r="G1176" s="9">
        <v>36992</v>
      </c>
      <c r="H1176" s="9" t="s">
        <v>1007</v>
      </c>
      <c r="I1176" s="9">
        <v>182</v>
      </c>
      <c r="J1176" s="9">
        <v>36</v>
      </c>
      <c r="K1176" s="9">
        <v>1</v>
      </c>
    </row>
    <row r="1177" spans="1:11" x14ac:dyDescent="0.4">
      <c r="A1177" s="9" t="s">
        <v>307</v>
      </c>
      <c r="B1177" s="9" t="s">
        <v>33</v>
      </c>
      <c r="C1177" s="9">
        <v>6</v>
      </c>
      <c r="D1177" s="9" t="s">
        <v>686</v>
      </c>
      <c r="E1177" s="9" t="s">
        <v>4957</v>
      </c>
      <c r="F1177" s="9" t="s">
        <v>4958</v>
      </c>
      <c r="G1177" s="9">
        <v>35606</v>
      </c>
      <c r="H1177" s="9" t="s">
        <v>879</v>
      </c>
      <c r="I1177" s="9">
        <v>187</v>
      </c>
      <c r="J1177" s="9">
        <v>74</v>
      </c>
      <c r="K1177" s="9">
        <v>3</v>
      </c>
    </row>
    <row r="1178" spans="1:11" x14ac:dyDescent="0.4">
      <c r="A1178" s="9" t="s">
        <v>307</v>
      </c>
      <c r="B1178" s="9" t="s">
        <v>33</v>
      </c>
      <c r="C1178" s="9">
        <v>7</v>
      </c>
      <c r="D1178" s="9" t="s">
        <v>686</v>
      </c>
      <c r="E1178" s="9" t="s">
        <v>4960</v>
      </c>
      <c r="F1178" s="9" t="s">
        <v>4962</v>
      </c>
      <c r="G1178" s="9">
        <v>35582</v>
      </c>
      <c r="H1178" s="9" t="s">
        <v>1172</v>
      </c>
      <c r="I1178" s="9">
        <v>167</v>
      </c>
      <c r="J1178" s="9">
        <v>34</v>
      </c>
      <c r="K1178" s="9">
        <v>5</v>
      </c>
    </row>
    <row r="1179" spans="1:11" x14ac:dyDescent="0.4">
      <c r="A1179" s="9" t="s">
        <v>307</v>
      </c>
      <c r="B1179" s="9" t="s">
        <v>33</v>
      </c>
      <c r="C1179" s="9">
        <v>8</v>
      </c>
      <c r="D1179" s="9" t="s">
        <v>686</v>
      </c>
      <c r="E1179" s="9" t="s">
        <v>4964</v>
      </c>
      <c r="F1179" s="9" t="s">
        <v>4966</v>
      </c>
      <c r="G1179" s="9">
        <v>35998</v>
      </c>
      <c r="H1179" s="9" t="s">
        <v>898</v>
      </c>
      <c r="I1179" s="9">
        <v>182</v>
      </c>
      <c r="J1179" s="9">
        <v>73</v>
      </c>
      <c r="K1179" s="9">
        <v>9</v>
      </c>
    </row>
    <row r="1180" spans="1:11" x14ac:dyDescent="0.4">
      <c r="A1180" s="9" t="s">
        <v>307</v>
      </c>
      <c r="B1180" s="9" t="s">
        <v>33</v>
      </c>
      <c r="C1180" s="9">
        <v>9</v>
      </c>
      <c r="D1180" s="9" t="s">
        <v>691</v>
      </c>
      <c r="E1180" s="9" t="s">
        <v>4968</v>
      </c>
      <c r="F1180" s="9" t="s">
        <v>4970</v>
      </c>
      <c r="G1180" s="9">
        <v>36335</v>
      </c>
      <c r="H1180" s="9" t="s">
        <v>2475</v>
      </c>
      <c r="I1180" s="9">
        <v>185</v>
      </c>
      <c r="J1180" s="9">
        <v>38</v>
      </c>
      <c r="K1180" s="9">
        <v>13</v>
      </c>
    </row>
    <row r="1181" spans="1:11" x14ac:dyDescent="0.4">
      <c r="A1181" s="9" t="s">
        <v>307</v>
      </c>
      <c r="B1181" s="9" t="s">
        <v>33</v>
      </c>
      <c r="C1181" s="9">
        <v>10</v>
      </c>
      <c r="D1181" s="9" t="s">
        <v>686</v>
      </c>
      <c r="E1181" s="9" t="s">
        <v>4972</v>
      </c>
      <c r="F1181" s="9" t="s">
        <v>4974</v>
      </c>
      <c r="G1181" s="9">
        <v>34486</v>
      </c>
      <c r="H1181" s="9" t="s">
        <v>1172</v>
      </c>
      <c r="I1181" s="9">
        <v>177</v>
      </c>
      <c r="J1181" s="9">
        <v>60</v>
      </c>
      <c r="K1181" s="9">
        <v>13</v>
      </c>
    </row>
    <row r="1182" spans="1:11" x14ac:dyDescent="0.4">
      <c r="A1182" s="9" t="s">
        <v>307</v>
      </c>
      <c r="B1182" s="9" t="s">
        <v>33</v>
      </c>
      <c r="C1182" s="9">
        <v>11</v>
      </c>
      <c r="D1182" s="9" t="s">
        <v>691</v>
      </c>
      <c r="E1182" s="9" t="s">
        <v>4976</v>
      </c>
      <c r="F1182" s="9" t="s">
        <v>4978</v>
      </c>
      <c r="G1182" s="9">
        <v>37245</v>
      </c>
      <c r="H1182" s="9" t="s">
        <v>1863</v>
      </c>
      <c r="I1182" s="9">
        <v>174</v>
      </c>
      <c r="J1182" s="9">
        <v>39</v>
      </c>
      <c r="K1182" s="9">
        <v>2</v>
      </c>
    </row>
    <row r="1183" spans="1:11" x14ac:dyDescent="0.4">
      <c r="A1183" s="9" t="s">
        <v>307</v>
      </c>
      <c r="B1183" s="9" t="s">
        <v>33</v>
      </c>
      <c r="C1183" s="9">
        <v>12</v>
      </c>
      <c r="D1183" s="9" t="s">
        <v>664</v>
      </c>
      <c r="E1183" s="9" t="s">
        <v>4980</v>
      </c>
      <c r="F1183" s="9" t="s">
        <v>4982</v>
      </c>
      <c r="G1183" s="9">
        <v>35679</v>
      </c>
      <c r="H1183" s="9" t="s">
        <v>4983</v>
      </c>
      <c r="I1183" s="9">
        <v>185</v>
      </c>
      <c r="J1183" s="9">
        <v>8</v>
      </c>
      <c r="K1183" s="9">
        <v>0</v>
      </c>
    </row>
    <row r="1184" spans="1:11" x14ac:dyDescent="0.4">
      <c r="A1184" s="9" t="s">
        <v>307</v>
      </c>
      <c r="B1184" s="9" t="s">
        <v>33</v>
      </c>
      <c r="C1184" s="9">
        <v>13</v>
      </c>
      <c r="D1184" s="9" t="s">
        <v>669</v>
      </c>
      <c r="E1184" s="9" t="s">
        <v>4985</v>
      </c>
      <c r="F1184" s="9" t="s">
        <v>4986</v>
      </c>
      <c r="G1184" s="9">
        <v>34052</v>
      </c>
      <c r="H1184" s="9" t="s">
        <v>1172</v>
      </c>
      <c r="I1184" s="9">
        <v>174</v>
      </c>
      <c r="J1184" s="9">
        <v>28</v>
      </c>
      <c r="K1184" s="9">
        <v>0</v>
      </c>
    </row>
    <row r="1185" spans="1:11" x14ac:dyDescent="0.4">
      <c r="A1185" s="9" t="s">
        <v>307</v>
      </c>
      <c r="B1185" s="9" t="s">
        <v>33</v>
      </c>
      <c r="C1185" s="9">
        <v>14</v>
      </c>
      <c r="D1185" s="9" t="s">
        <v>686</v>
      </c>
      <c r="E1185" s="9" t="s">
        <v>4988</v>
      </c>
      <c r="F1185" s="9" t="s">
        <v>4990</v>
      </c>
      <c r="G1185" s="9">
        <v>36069</v>
      </c>
      <c r="H1185" s="9" t="s">
        <v>4991</v>
      </c>
      <c r="I1185" s="9">
        <v>176</v>
      </c>
      <c r="J1185" s="9">
        <v>15</v>
      </c>
      <c r="K1185" s="9">
        <v>1</v>
      </c>
    </row>
    <row r="1186" spans="1:11" x14ac:dyDescent="0.4">
      <c r="A1186" s="9" t="s">
        <v>307</v>
      </c>
      <c r="B1186" s="9" t="s">
        <v>33</v>
      </c>
      <c r="C1186" s="9">
        <v>15</v>
      </c>
      <c r="D1186" s="9" t="s">
        <v>686</v>
      </c>
      <c r="E1186" s="9" t="s">
        <v>1548</v>
      </c>
      <c r="F1186" s="9" t="s">
        <v>1550</v>
      </c>
      <c r="G1186" s="9">
        <v>36389</v>
      </c>
      <c r="H1186" s="9" t="s">
        <v>1543</v>
      </c>
      <c r="I1186" s="9">
        <v>184</v>
      </c>
      <c r="J1186" s="9">
        <v>10</v>
      </c>
      <c r="K1186" s="9">
        <v>0</v>
      </c>
    </row>
    <row r="1187" spans="1:11" x14ac:dyDescent="0.4">
      <c r="A1187" s="9" t="s">
        <v>307</v>
      </c>
      <c r="B1187" s="9" t="s">
        <v>33</v>
      </c>
      <c r="C1187" s="9">
        <v>16</v>
      </c>
      <c r="D1187" s="9" t="s">
        <v>669</v>
      </c>
      <c r="E1187" s="9" t="s">
        <v>4995</v>
      </c>
      <c r="F1187" s="9" t="s">
        <v>4997</v>
      </c>
      <c r="G1187" s="9">
        <v>35734</v>
      </c>
      <c r="H1187" s="9" t="s">
        <v>988</v>
      </c>
      <c r="I1187" s="9">
        <v>174</v>
      </c>
      <c r="J1187" s="9">
        <v>35</v>
      </c>
      <c r="K1187" s="9">
        <v>2</v>
      </c>
    </row>
    <row r="1188" spans="1:11" x14ac:dyDescent="0.4">
      <c r="A1188" s="9" t="s">
        <v>307</v>
      </c>
      <c r="B1188" s="9" t="s">
        <v>33</v>
      </c>
      <c r="C1188" s="9">
        <v>17</v>
      </c>
      <c r="D1188" s="9" t="s">
        <v>669</v>
      </c>
      <c r="E1188" s="9" t="s">
        <v>4999</v>
      </c>
      <c r="F1188" s="9" t="s">
        <v>5001</v>
      </c>
      <c r="G1188" s="9">
        <v>35743</v>
      </c>
      <c r="H1188" s="9" t="s">
        <v>1486</v>
      </c>
      <c r="I1188" s="9">
        <v>180</v>
      </c>
      <c r="J1188" s="9">
        <v>43</v>
      </c>
      <c r="K1188" s="9">
        <v>1</v>
      </c>
    </row>
    <row r="1189" spans="1:11" x14ac:dyDescent="0.4">
      <c r="A1189" s="9" t="s">
        <v>307</v>
      </c>
      <c r="B1189" s="9" t="s">
        <v>33</v>
      </c>
      <c r="C1189" s="9">
        <v>18</v>
      </c>
      <c r="D1189" s="9" t="s">
        <v>691</v>
      </c>
      <c r="E1189" s="9" t="s">
        <v>5003</v>
      </c>
      <c r="F1189" s="9" t="s">
        <v>5005</v>
      </c>
      <c r="G1189" s="9">
        <v>36666</v>
      </c>
      <c r="H1189" s="9" t="s">
        <v>3341</v>
      </c>
      <c r="I1189" s="9">
        <v>175</v>
      </c>
      <c r="J1189" s="9">
        <v>32</v>
      </c>
      <c r="K1189" s="9">
        <v>4</v>
      </c>
    </row>
    <row r="1190" spans="1:11" x14ac:dyDescent="0.4">
      <c r="A1190" s="9" t="s">
        <v>307</v>
      </c>
      <c r="B1190" s="9" t="s">
        <v>33</v>
      </c>
      <c r="C1190" s="9">
        <v>19</v>
      </c>
      <c r="D1190" s="9" t="s">
        <v>691</v>
      </c>
      <c r="E1190" s="9" t="s">
        <v>5007</v>
      </c>
      <c r="F1190" s="9" t="s">
        <v>5009</v>
      </c>
      <c r="G1190" s="9">
        <v>34608</v>
      </c>
      <c r="H1190" s="9" t="s">
        <v>5010</v>
      </c>
      <c r="I1190" s="9">
        <v>182</v>
      </c>
      <c r="J1190" s="9">
        <v>10</v>
      </c>
      <c r="K1190" s="9">
        <v>3</v>
      </c>
    </row>
    <row r="1191" spans="1:11" x14ac:dyDescent="0.4">
      <c r="A1191" s="9" t="s">
        <v>307</v>
      </c>
      <c r="B1191" s="9" t="s">
        <v>33</v>
      </c>
      <c r="C1191" s="9">
        <v>20</v>
      </c>
      <c r="D1191" s="9" t="s">
        <v>686</v>
      </c>
      <c r="E1191" s="9" t="s">
        <v>5012</v>
      </c>
      <c r="F1191" s="9" t="s">
        <v>5014</v>
      </c>
      <c r="G1191" s="9">
        <v>36571</v>
      </c>
      <c r="H1191" s="9" t="s">
        <v>970</v>
      </c>
      <c r="I1191" s="9">
        <v>176</v>
      </c>
      <c r="J1191" s="9">
        <v>28</v>
      </c>
      <c r="K1191" s="9">
        <v>3</v>
      </c>
    </row>
    <row r="1192" spans="1:11" x14ac:dyDescent="0.4">
      <c r="A1192" s="9" t="s">
        <v>307</v>
      </c>
      <c r="B1192" s="9" t="s">
        <v>33</v>
      </c>
      <c r="C1192" s="9">
        <v>21</v>
      </c>
      <c r="D1192" s="9" t="s">
        <v>691</v>
      </c>
      <c r="E1192" s="9" t="s">
        <v>5016</v>
      </c>
      <c r="F1192" s="9" t="s">
        <v>5018</v>
      </c>
      <c r="G1192" s="9">
        <v>35976</v>
      </c>
      <c r="H1192" s="9" t="s">
        <v>2281</v>
      </c>
      <c r="I1192" s="9">
        <v>181</v>
      </c>
      <c r="J1192" s="9">
        <v>11</v>
      </c>
      <c r="K1192" s="9">
        <v>2</v>
      </c>
    </row>
    <row r="1193" spans="1:11" x14ac:dyDescent="0.4">
      <c r="A1193" s="9" t="s">
        <v>307</v>
      </c>
      <c r="B1193" s="9" t="s">
        <v>33</v>
      </c>
      <c r="C1193" s="9">
        <v>22</v>
      </c>
      <c r="D1193" s="9" t="s">
        <v>686</v>
      </c>
      <c r="E1193" s="9" t="s">
        <v>5020</v>
      </c>
      <c r="F1193" s="9" t="s">
        <v>5022</v>
      </c>
      <c r="G1193" s="9">
        <v>36031</v>
      </c>
      <c r="H1193" s="9" t="s">
        <v>1543</v>
      </c>
      <c r="I1193" s="9">
        <v>185</v>
      </c>
      <c r="J1193" s="9">
        <v>19</v>
      </c>
      <c r="K1193" s="9">
        <v>0</v>
      </c>
    </row>
    <row r="1194" spans="1:11" x14ac:dyDescent="0.4">
      <c r="A1194" s="9" t="s">
        <v>307</v>
      </c>
      <c r="B1194" s="9" t="s">
        <v>33</v>
      </c>
      <c r="C1194" s="9">
        <v>23</v>
      </c>
      <c r="D1194" s="9" t="s">
        <v>664</v>
      </c>
      <c r="E1194" s="9" t="s">
        <v>5024</v>
      </c>
      <c r="F1194" s="9" t="s">
        <v>5026</v>
      </c>
      <c r="G1194" s="9">
        <v>31579</v>
      </c>
      <c r="H1194" s="9" t="s">
        <v>5027</v>
      </c>
      <c r="I1194" s="9">
        <v>190</v>
      </c>
      <c r="J1194" s="9">
        <v>134</v>
      </c>
      <c r="K1194" s="9">
        <v>0</v>
      </c>
    </row>
    <row r="1195" spans="1:11" x14ac:dyDescent="0.4">
      <c r="A1195" s="9" t="s">
        <v>307</v>
      </c>
      <c r="B1195" s="9" t="s">
        <v>33</v>
      </c>
      <c r="C1195" s="9">
        <v>24</v>
      </c>
      <c r="D1195" s="9" t="s">
        <v>669</v>
      </c>
      <c r="E1195" s="9" t="s">
        <v>5029</v>
      </c>
      <c r="F1195" s="9" t="s">
        <v>5031</v>
      </c>
      <c r="G1195" s="9">
        <v>36108</v>
      </c>
      <c r="H1195" s="9" t="s">
        <v>2068</v>
      </c>
      <c r="I1195" s="9">
        <v>191</v>
      </c>
      <c r="J1195" s="9">
        <v>8</v>
      </c>
      <c r="K1195" s="9">
        <v>0</v>
      </c>
    </row>
    <row r="1196" spans="1:11" x14ac:dyDescent="0.4">
      <c r="A1196" s="9" t="s">
        <v>307</v>
      </c>
      <c r="B1196" s="9" t="s">
        <v>33</v>
      </c>
      <c r="C1196" s="9">
        <v>25</v>
      </c>
      <c r="D1196" s="9" t="s">
        <v>686</v>
      </c>
      <c r="E1196" s="9" t="s">
        <v>5033</v>
      </c>
      <c r="F1196" s="9" t="s">
        <v>5035</v>
      </c>
      <c r="G1196" s="9">
        <v>36614</v>
      </c>
      <c r="H1196" s="9" t="s">
        <v>5036</v>
      </c>
      <c r="I1196" s="9">
        <v>170</v>
      </c>
      <c r="J1196" s="9">
        <v>5</v>
      </c>
      <c r="K1196" s="9">
        <v>1</v>
      </c>
    </row>
    <row r="1197" spans="1:11" x14ac:dyDescent="0.4">
      <c r="A1197" s="9" t="s">
        <v>307</v>
      </c>
      <c r="B1197" s="9" t="s">
        <v>33</v>
      </c>
      <c r="C1197" s="9">
        <v>26</v>
      </c>
      <c r="D1197" s="9" t="s">
        <v>686</v>
      </c>
      <c r="E1197" s="9" t="s">
        <v>5038</v>
      </c>
      <c r="F1197" s="9" t="s">
        <v>5040</v>
      </c>
      <c r="G1197" s="9">
        <v>36384</v>
      </c>
      <c r="H1197" s="9" t="s">
        <v>905</v>
      </c>
      <c r="I1197" s="9">
        <v>175</v>
      </c>
      <c r="J1197" s="9">
        <v>8</v>
      </c>
      <c r="K1197" s="9">
        <v>2</v>
      </c>
    </row>
    <row r="1198" spans="1:11" x14ac:dyDescent="0.4">
      <c r="A1198" s="9" t="s">
        <v>8</v>
      </c>
      <c r="B1198" s="9" t="s">
        <v>8</v>
      </c>
      <c r="C1198" s="9">
        <v>1</v>
      </c>
      <c r="D1198" s="9" t="s">
        <v>664</v>
      </c>
      <c r="E1198" s="9" t="s">
        <v>5042</v>
      </c>
      <c r="F1198" s="9" t="s">
        <v>5044</v>
      </c>
      <c r="G1198" s="9">
        <v>34509</v>
      </c>
      <c r="H1198" s="9" t="s">
        <v>5045</v>
      </c>
      <c r="I1198" s="9">
        <v>190</v>
      </c>
      <c r="J1198" s="9">
        <v>54</v>
      </c>
      <c r="K1198" s="9">
        <v>0</v>
      </c>
    </row>
    <row r="1199" spans="1:11" x14ac:dyDescent="0.4">
      <c r="A1199" s="9" t="s">
        <v>8</v>
      </c>
      <c r="B1199" s="9" t="s">
        <v>8</v>
      </c>
      <c r="C1199" s="9">
        <v>2</v>
      </c>
      <c r="D1199" s="9" t="s">
        <v>669</v>
      </c>
      <c r="E1199" s="9" t="s">
        <v>5046</v>
      </c>
      <c r="F1199" s="9" t="s">
        <v>5048</v>
      </c>
      <c r="G1199" s="9">
        <v>36833</v>
      </c>
      <c r="H1199" s="9" t="s">
        <v>956</v>
      </c>
      <c r="I1199" s="9">
        <v>173</v>
      </c>
      <c r="J1199" s="9">
        <v>39</v>
      </c>
      <c r="K1199" s="9">
        <v>3</v>
      </c>
    </row>
    <row r="1200" spans="1:11" x14ac:dyDescent="0.4">
      <c r="A1200" s="9" t="s">
        <v>8</v>
      </c>
      <c r="B1200" s="9" t="s">
        <v>8</v>
      </c>
      <c r="C1200" s="9">
        <v>3</v>
      </c>
      <c r="D1200" s="9" t="s">
        <v>669</v>
      </c>
      <c r="E1200" s="9" t="s">
        <v>5049</v>
      </c>
      <c r="F1200" s="9" t="s">
        <v>5051</v>
      </c>
      <c r="G1200" s="9">
        <v>36613</v>
      </c>
      <c r="H1200" s="9" t="s">
        <v>1570</v>
      </c>
      <c r="I1200" s="9">
        <v>189</v>
      </c>
      <c r="J1200" s="9">
        <v>36</v>
      </c>
      <c r="K1200" s="9">
        <v>3</v>
      </c>
    </row>
    <row r="1201" spans="1:11" x14ac:dyDescent="0.4">
      <c r="A1201" s="9" t="s">
        <v>8</v>
      </c>
      <c r="B1201" s="9" t="s">
        <v>8</v>
      </c>
      <c r="C1201" s="9">
        <v>4</v>
      </c>
      <c r="D1201" s="9" t="s">
        <v>686</v>
      </c>
      <c r="E1201" s="9" t="s">
        <v>5052</v>
      </c>
      <c r="F1201" s="9" t="s">
        <v>4277</v>
      </c>
      <c r="G1201" s="9">
        <v>36205</v>
      </c>
      <c r="H1201" s="9" t="s">
        <v>1252</v>
      </c>
      <c r="I1201" s="9">
        <v>175</v>
      </c>
      <c r="J1201" s="9">
        <v>54</v>
      </c>
      <c r="K1201" s="9">
        <v>2</v>
      </c>
    </row>
    <row r="1202" spans="1:11" x14ac:dyDescent="0.4">
      <c r="A1202" s="9" t="s">
        <v>8</v>
      </c>
      <c r="B1202" s="9" t="s">
        <v>8</v>
      </c>
      <c r="C1202" s="9">
        <v>5</v>
      </c>
      <c r="D1202" s="9" t="s">
        <v>669</v>
      </c>
      <c r="E1202" s="9" t="s">
        <v>5054</v>
      </c>
      <c r="F1202" s="9" t="s">
        <v>5056</v>
      </c>
      <c r="G1202" s="9">
        <v>35650</v>
      </c>
      <c r="H1202" s="9" t="s">
        <v>1041</v>
      </c>
      <c r="I1202" s="9">
        <v>183</v>
      </c>
      <c r="J1202" s="9">
        <v>54</v>
      </c>
      <c r="K1202" s="9">
        <v>5</v>
      </c>
    </row>
    <row r="1203" spans="1:11" x14ac:dyDescent="0.4">
      <c r="A1203" s="9" t="s">
        <v>8</v>
      </c>
      <c r="B1203" s="9" t="s">
        <v>8</v>
      </c>
      <c r="C1203" s="9">
        <v>6</v>
      </c>
      <c r="D1203" s="9" t="s">
        <v>669</v>
      </c>
      <c r="E1203" s="9" t="s">
        <v>5058</v>
      </c>
      <c r="F1203" s="9" t="s">
        <v>5060</v>
      </c>
      <c r="G1203" s="9">
        <v>36019</v>
      </c>
      <c r="H1203" s="9" t="s">
        <v>1382</v>
      </c>
      <c r="I1203" s="9">
        <v>190</v>
      </c>
      <c r="J1203" s="9">
        <v>8</v>
      </c>
      <c r="K1203" s="9">
        <v>0</v>
      </c>
    </row>
    <row r="1204" spans="1:11" x14ac:dyDescent="0.4">
      <c r="A1204" s="9" t="s">
        <v>8</v>
      </c>
      <c r="B1204" s="9" t="s">
        <v>8</v>
      </c>
      <c r="C1204" s="9">
        <v>7</v>
      </c>
      <c r="D1204" s="9" t="s">
        <v>686</v>
      </c>
      <c r="E1204" s="9" t="s">
        <v>5061</v>
      </c>
      <c r="F1204" s="9" t="s">
        <v>5063</v>
      </c>
      <c r="G1204" s="9">
        <v>37573</v>
      </c>
      <c r="H1204" s="9" t="s">
        <v>1137</v>
      </c>
      <c r="I1204" s="9">
        <v>187</v>
      </c>
      <c r="J1204" s="9">
        <v>38</v>
      </c>
      <c r="K1204" s="9">
        <v>9</v>
      </c>
    </row>
    <row r="1205" spans="1:11" x14ac:dyDescent="0.4">
      <c r="A1205" s="9" t="s">
        <v>8</v>
      </c>
      <c r="B1205" s="9" t="s">
        <v>8</v>
      </c>
      <c r="C1205" s="9">
        <v>8</v>
      </c>
      <c r="D1205" s="9" t="s">
        <v>686</v>
      </c>
      <c r="E1205" s="9" t="s">
        <v>5064</v>
      </c>
      <c r="F1205" s="9" t="s">
        <v>5066</v>
      </c>
      <c r="G1205" s="9">
        <v>36035</v>
      </c>
      <c r="H1205" s="9" t="s">
        <v>1204</v>
      </c>
      <c r="I1205" s="9">
        <v>180</v>
      </c>
      <c r="J1205" s="9">
        <v>66</v>
      </c>
      <c r="K1205" s="9">
        <v>12</v>
      </c>
    </row>
    <row r="1206" spans="1:11" x14ac:dyDescent="0.4">
      <c r="A1206" s="9" t="s">
        <v>8</v>
      </c>
      <c r="B1206" s="9" t="s">
        <v>8</v>
      </c>
      <c r="C1206" s="9">
        <v>9</v>
      </c>
      <c r="D1206" s="9" t="s">
        <v>691</v>
      </c>
      <c r="E1206" s="9" t="s">
        <v>5068</v>
      </c>
      <c r="F1206" s="9" t="s">
        <v>5070</v>
      </c>
      <c r="G1206" s="9">
        <v>37630</v>
      </c>
      <c r="H1206" s="9" t="s">
        <v>956</v>
      </c>
      <c r="I1206" s="9">
        <v>185</v>
      </c>
      <c r="J1206" s="9">
        <v>37</v>
      </c>
      <c r="K1206" s="9">
        <v>13</v>
      </c>
    </row>
    <row r="1207" spans="1:11" x14ac:dyDescent="0.4">
      <c r="A1207" s="9" t="s">
        <v>8</v>
      </c>
      <c r="B1207" s="9" t="s">
        <v>8</v>
      </c>
      <c r="C1207" s="9">
        <v>10</v>
      </c>
      <c r="D1207" s="9" t="s">
        <v>691</v>
      </c>
      <c r="E1207" s="9" t="s">
        <v>5071</v>
      </c>
      <c r="F1207" s="9" t="s">
        <v>5073</v>
      </c>
      <c r="G1207" s="9">
        <v>36056</v>
      </c>
      <c r="H1207" s="9" t="s">
        <v>1023</v>
      </c>
      <c r="I1207" s="9">
        <v>177</v>
      </c>
      <c r="J1207" s="9">
        <v>86</v>
      </c>
      <c r="K1207" s="9">
        <v>33</v>
      </c>
    </row>
    <row r="1208" spans="1:11" x14ac:dyDescent="0.4">
      <c r="A1208" s="9" t="s">
        <v>8</v>
      </c>
      <c r="B1208" s="9" t="s">
        <v>8</v>
      </c>
      <c r="C1208" s="9">
        <v>11</v>
      </c>
      <c r="D1208" s="9" t="s">
        <v>691</v>
      </c>
      <c r="E1208" s="9" t="s">
        <v>5074</v>
      </c>
      <c r="F1208" s="9" t="s">
        <v>5076</v>
      </c>
      <c r="G1208" s="9">
        <v>36821</v>
      </c>
      <c r="H1208" s="9" t="s">
        <v>3014</v>
      </c>
      <c r="I1208" s="9">
        <v>177</v>
      </c>
      <c r="J1208" s="9">
        <v>58</v>
      </c>
      <c r="K1208" s="9">
        <v>9</v>
      </c>
    </row>
    <row r="1209" spans="1:11" x14ac:dyDescent="0.4">
      <c r="A1209" s="9" t="s">
        <v>8</v>
      </c>
      <c r="B1209" s="9" t="s">
        <v>8</v>
      </c>
      <c r="C1209" s="9">
        <v>12</v>
      </c>
      <c r="D1209" s="9" t="s">
        <v>669</v>
      </c>
      <c r="E1209" s="9" t="s">
        <v>5077</v>
      </c>
      <c r="F1209" s="9" t="s">
        <v>5079</v>
      </c>
      <c r="G1209" s="9">
        <v>35503</v>
      </c>
      <c r="H1209" s="9" t="s">
        <v>5080</v>
      </c>
      <c r="I1209" s="9">
        <v>187</v>
      </c>
      <c r="J1209" s="9">
        <v>40</v>
      </c>
      <c r="K1209" s="9">
        <v>3</v>
      </c>
    </row>
    <row r="1210" spans="1:11" x14ac:dyDescent="0.4">
      <c r="A1210" s="9" t="s">
        <v>8</v>
      </c>
      <c r="B1210" s="9" t="s">
        <v>8</v>
      </c>
      <c r="C1210" s="9">
        <v>13</v>
      </c>
      <c r="D1210" s="9" t="s">
        <v>669</v>
      </c>
      <c r="E1210" s="9" t="s">
        <v>5081</v>
      </c>
      <c r="F1210" s="9" t="s">
        <v>5083</v>
      </c>
      <c r="G1210" s="9">
        <v>32055</v>
      </c>
      <c r="H1210" s="9" t="s">
        <v>5084</v>
      </c>
      <c r="I1210" s="9">
        <v>186</v>
      </c>
      <c r="J1210" s="9">
        <v>82</v>
      </c>
      <c r="K1210" s="9">
        <v>1</v>
      </c>
    </row>
    <row r="1211" spans="1:11" x14ac:dyDescent="0.4">
      <c r="A1211" s="9" t="s">
        <v>8</v>
      </c>
      <c r="B1211" s="9" t="s">
        <v>8</v>
      </c>
      <c r="C1211" s="9">
        <v>14</v>
      </c>
      <c r="D1211" s="9" t="s">
        <v>686</v>
      </c>
      <c r="E1211" s="9" t="s">
        <v>5085</v>
      </c>
      <c r="F1211" s="9" t="s">
        <v>5087</v>
      </c>
      <c r="G1211" s="9">
        <v>37021</v>
      </c>
      <c r="H1211" s="9" t="s">
        <v>3905</v>
      </c>
      <c r="I1211" s="9">
        <v>175</v>
      </c>
      <c r="J1211" s="9">
        <v>13</v>
      </c>
      <c r="K1211" s="9">
        <v>1</v>
      </c>
    </row>
    <row r="1212" spans="1:11" x14ac:dyDescent="0.4">
      <c r="A1212" s="9" t="s">
        <v>8</v>
      </c>
      <c r="B1212" s="9" t="s">
        <v>8</v>
      </c>
      <c r="C1212" s="9">
        <v>15</v>
      </c>
      <c r="D1212" s="9" t="s">
        <v>686</v>
      </c>
      <c r="E1212" s="9" t="s">
        <v>5088</v>
      </c>
      <c r="F1212" s="9" t="s">
        <v>5089</v>
      </c>
      <c r="G1212" s="9">
        <v>34853</v>
      </c>
      <c r="H1212" s="9" t="s">
        <v>5090</v>
      </c>
      <c r="I1212" s="9">
        <v>173</v>
      </c>
      <c r="J1212" s="9">
        <v>47</v>
      </c>
      <c r="K1212" s="9">
        <v>0</v>
      </c>
    </row>
    <row r="1213" spans="1:11" x14ac:dyDescent="0.4">
      <c r="A1213" s="9" t="s">
        <v>8</v>
      </c>
      <c r="B1213" s="9" t="s">
        <v>8</v>
      </c>
      <c r="C1213" s="9">
        <v>16</v>
      </c>
      <c r="D1213" s="9" t="s">
        <v>669</v>
      </c>
      <c r="E1213" s="9" t="s">
        <v>5091</v>
      </c>
      <c r="F1213" s="9" t="s">
        <v>5093</v>
      </c>
      <c r="G1213" s="9">
        <v>38208</v>
      </c>
      <c r="H1213" s="9" t="s">
        <v>1274</v>
      </c>
      <c r="I1213" s="9">
        <v>188</v>
      </c>
      <c r="J1213" s="9">
        <v>17</v>
      </c>
      <c r="K1213" s="9">
        <v>2</v>
      </c>
    </row>
    <row r="1214" spans="1:11" x14ac:dyDescent="0.4">
      <c r="A1214" s="9" t="s">
        <v>8</v>
      </c>
      <c r="B1214" s="9" t="s">
        <v>8</v>
      </c>
      <c r="C1214" s="9">
        <v>17</v>
      </c>
      <c r="D1214" s="9" t="s">
        <v>686</v>
      </c>
      <c r="E1214" s="9" t="s">
        <v>5094</v>
      </c>
      <c r="F1214" s="9" t="s">
        <v>5096</v>
      </c>
      <c r="G1214" s="9">
        <v>37404</v>
      </c>
      <c r="H1214" s="9" t="s">
        <v>753</v>
      </c>
      <c r="I1214" s="9">
        <v>187</v>
      </c>
      <c r="J1214" s="9">
        <v>30</v>
      </c>
      <c r="K1214" s="9">
        <v>3</v>
      </c>
    </row>
    <row r="1215" spans="1:11" x14ac:dyDescent="0.4">
      <c r="A1215" s="9" t="s">
        <v>8</v>
      </c>
      <c r="B1215" s="9" t="s">
        <v>8</v>
      </c>
      <c r="C1215" s="9">
        <v>18</v>
      </c>
      <c r="D1215" s="9" t="s">
        <v>669</v>
      </c>
      <c r="E1215" s="9" t="s">
        <v>5097</v>
      </c>
      <c r="F1215" s="9" t="s">
        <v>5099</v>
      </c>
      <c r="G1215" s="9">
        <v>37000</v>
      </c>
      <c r="H1215" s="9" t="s">
        <v>1354</v>
      </c>
      <c r="I1215" s="9">
        <v>185</v>
      </c>
      <c r="J1215" s="9">
        <v>20</v>
      </c>
      <c r="K1215" s="9">
        <v>1</v>
      </c>
    </row>
    <row r="1216" spans="1:11" x14ac:dyDescent="0.4">
      <c r="A1216" s="9" t="s">
        <v>8</v>
      </c>
      <c r="B1216" s="9" t="s">
        <v>8</v>
      </c>
      <c r="C1216" s="9">
        <v>19</v>
      </c>
      <c r="D1216" s="9" t="s">
        <v>691</v>
      </c>
      <c r="E1216" s="9" t="s">
        <v>5100</v>
      </c>
      <c r="F1216" s="9" t="s">
        <v>5102</v>
      </c>
      <c r="G1216" s="9">
        <v>35881</v>
      </c>
      <c r="H1216" s="9" t="s">
        <v>2609</v>
      </c>
      <c r="I1216" s="9">
        <v>191</v>
      </c>
      <c r="J1216" s="9">
        <v>20</v>
      </c>
      <c r="K1216" s="9">
        <v>7</v>
      </c>
    </row>
    <row r="1217" spans="1:11" x14ac:dyDescent="0.4">
      <c r="A1217" s="9" t="s">
        <v>8</v>
      </c>
      <c r="B1217" s="9" t="s">
        <v>8</v>
      </c>
      <c r="C1217" s="9">
        <v>20</v>
      </c>
      <c r="D1217" s="9" t="s">
        <v>691</v>
      </c>
      <c r="E1217" s="9" t="s">
        <v>5103</v>
      </c>
      <c r="F1217" s="9" t="s">
        <v>5105</v>
      </c>
      <c r="G1217" s="9">
        <v>37075</v>
      </c>
      <c r="H1217" s="9" t="s">
        <v>1820</v>
      </c>
      <c r="I1217" s="9">
        <v>179</v>
      </c>
      <c r="J1217" s="9">
        <v>27</v>
      </c>
      <c r="K1217" s="9">
        <v>9</v>
      </c>
    </row>
    <row r="1218" spans="1:11" x14ac:dyDescent="0.4">
      <c r="A1218" s="9" t="s">
        <v>8</v>
      </c>
      <c r="B1218" s="9" t="s">
        <v>8</v>
      </c>
      <c r="C1218" s="9">
        <v>21</v>
      </c>
      <c r="D1218" s="9" t="s">
        <v>691</v>
      </c>
      <c r="E1218" s="9" t="s">
        <v>5106</v>
      </c>
      <c r="F1218" s="9" t="s">
        <v>5108</v>
      </c>
      <c r="G1218" s="9">
        <v>36578</v>
      </c>
      <c r="H1218" s="9" t="s">
        <v>703</v>
      </c>
      <c r="I1218" s="9">
        <v>183</v>
      </c>
      <c r="J1218" s="9">
        <v>51</v>
      </c>
      <c r="K1218" s="9">
        <v>7</v>
      </c>
    </row>
    <row r="1219" spans="1:11" x14ac:dyDescent="0.4">
      <c r="A1219" s="9" t="s">
        <v>8</v>
      </c>
      <c r="B1219" s="9" t="s">
        <v>8</v>
      </c>
      <c r="C1219" s="9">
        <v>22</v>
      </c>
      <c r="D1219" s="9" t="s">
        <v>669</v>
      </c>
      <c r="E1219" s="9" t="s">
        <v>5109</v>
      </c>
      <c r="F1219" s="9" t="s">
        <v>5111</v>
      </c>
      <c r="G1219" s="9">
        <v>36216</v>
      </c>
      <c r="H1219" s="9" t="s">
        <v>5112</v>
      </c>
      <c r="I1219" s="9">
        <v>186</v>
      </c>
      <c r="J1219" s="9">
        <v>29</v>
      </c>
      <c r="K1219" s="9">
        <v>0</v>
      </c>
    </row>
    <row r="1220" spans="1:11" x14ac:dyDescent="0.4">
      <c r="A1220" s="9" t="s">
        <v>8</v>
      </c>
      <c r="B1220" s="9" t="s">
        <v>8</v>
      </c>
      <c r="C1220" s="9">
        <v>23</v>
      </c>
      <c r="D1220" s="9" t="s">
        <v>669</v>
      </c>
      <c r="E1220" s="9" t="s">
        <v>5113</v>
      </c>
      <c r="F1220" s="9" t="s">
        <v>5115</v>
      </c>
      <c r="G1220" s="9">
        <v>37621</v>
      </c>
      <c r="H1220" s="9" t="s">
        <v>1137</v>
      </c>
      <c r="I1220" s="9">
        <v>184</v>
      </c>
      <c r="J1220" s="9">
        <v>26</v>
      </c>
      <c r="K1220" s="9">
        <v>0</v>
      </c>
    </row>
    <row r="1221" spans="1:11" x14ac:dyDescent="0.4">
      <c r="A1221" s="9" t="s">
        <v>8</v>
      </c>
      <c r="B1221" s="9" t="s">
        <v>8</v>
      </c>
      <c r="C1221" s="9">
        <v>24</v>
      </c>
      <c r="D1221" s="9" t="s">
        <v>664</v>
      </c>
      <c r="E1221" s="9" t="s">
        <v>5116</v>
      </c>
      <c r="F1221" s="9" t="s">
        <v>5118</v>
      </c>
      <c r="G1221" s="9">
        <v>36040</v>
      </c>
      <c r="H1221" s="9" t="s">
        <v>819</v>
      </c>
      <c r="I1221" s="9">
        <v>198</v>
      </c>
      <c r="J1221" s="9">
        <v>15</v>
      </c>
      <c r="K1221" s="9">
        <v>0</v>
      </c>
    </row>
    <row r="1222" spans="1:11" x14ac:dyDescent="0.4">
      <c r="A1222" s="9" t="s">
        <v>8</v>
      </c>
      <c r="B1222" s="9" t="s">
        <v>8</v>
      </c>
      <c r="C1222" s="9">
        <v>25</v>
      </c>
      <c r="D1222" s="9" t="s">
        <v>664</v>
      </c>
      <c r="E1222" s="9" t="s">
        <v>5119</v>
      </c>
      <c r="F1222" s="9" t="s">
        <v>5121</v>
      </c>
      <c r="G1222" s="9">
        <v>38049</v>
      </c>
      <c r="H1222" s="9" t="s">
        <v>1395</v>
      </c>
      <c r="I1222" s="9">
        <v>193</v>
      </c>
      <c r="J1222" s="9">
        <v>1</v>
      </c>
      <c r="K1222" s="9">
        <v>0</v>
      </c>
    </row>
    <row r="1223" spans="1:11" x14ac:dyDescent="0.4">
      <c r="A1223" s="9" t="s">
        <v>8</v>
      </c>
      <c r="B1223" s="9" t="s">
        <v>8</v>
      </c>
      <c r="C1223" s="9">
        <v>26</v>
      </c>
      <c r="D1223" s="9" t="s">
        <v>691</v>
      </c>
      <c r="E1223" s="9" t="s">
        <v>5122</v>
      </c>
      <c r="F1223" s="9" t="s">
        <v>5123</v>
      </c>
      <c r="G1223" s="9">
        <v>35833</v>
      </c>
      <c r="H1223" s="9" t="s">
        <v>3341</v>
      </c>
      <c r="I1223" s="9">
        <v>167</v>
      </c>
      <c r="J1223" s="9">
        <v>14</v>
      </c>
      <c r="K1223" s="9">
        <v>2</v>
      </c>
    </row>
    <row r="1224" spans="1:11" x14ac:dyDescent="0.4">
      <c r="A1224" s="9" t="s">
        <v>302</v>
      </c>
      <c r="B1224" s="9" t="s">
        <v>28</v>
      </c>
      <c r="C1224" s="9">
        <v>1</v>
      </c>
      <c r="D1224" s="9" t="s">
        <v>664</v>
      </c>
      <c r="E1224" s="9" t="s">
        <v>5125</v>
      </c>
      <c r="F1224" s="9" t="s">
        <v>5127</v>
      </c>
      <c r="G1224" s="9">
        <v>33242</v>
      </c>
      <c r="H1224" s="9" t="s">
        <v>5128</v>
      </c>
      <c r="I1224" s="9">
        <v>185</v>
      </c>
      <c r="J1224" s="9">
        <v>40</v>
      </c>
      <c r="K1224" s="9">
        <v>0</v>
      </c>
    </row>
    <row r="1225" spans="1:11" x14ac:dyDescent="0.4">
      <c r="A1225" s="9" t="s">
        <v>302</v>
      </c>
      <c r="B1225" s="9" t="s">
        <v>28</v>
      </c>
      <c r="C1225" s="9">
        <v>2</v>
      </c>
      <c r="D1225" s="9" t="s">
        <v>669</v>
      </c>
      <c r="E1225" s="9" t="s">
        <v>5129</v>
      </c>
      <c r="F1225" s="9" t="s">
        <v>5131</v>
      </c>
      <c r="G1225" s="9">
        <v>38046</v>
      </c>
      <c r="H1225" s="9" t="s">
        <v>727</v>
      </c>
      <c r="I1225" s="9">
        <v>186</v>
      </c>
      <c r="J1225" s="9">
        <v>27</v>
      </c>
      <c r="K1225" s="9">
        <v>0</v>
      </c>
    </row>
    <row r="1226" spans="1:11" x14ac:dyDescent="0.4">
      <c r="A1226" s="9" t="s">
        <v>302</v>
      </c>
      <c r="B1226" s="9" t="s">
        <v>28</v>
      </c>
      <c r="C1226" s="9">
        <v>3</v>
      </c>
      <c r="D1226" s="9" t="s">
        <v>669</v>
      </c>
      <c r="E1226" s="9" t="s">
        <v>5132</v>
      </c>
      <c r="F1226" s="9" t="s">
        <v>5134</v>
      </c>
      <c r="G1226" s="9">
        <v>35539</v>
      </c>
      <c r="H1226" s="9" t="s">
        <v>2892</v>
      </c>
      <c r="I1226" s="9">
        <v>180</v>
      </c>
      <c r="J1226" s="9">
        <v>40</v>
      </c>
      <c r="K1226" s="9">
        <v>2</v>
      </c>
    </row>
    <row r="1227" spans="1:11" x14ac:dyDescent="0.4">
      <c r="A1227" s="9" t="s">
        <v>302</v>
      </c>
      <c r="B1227" s="9" t="s">
        <v>28</v>
      </c>
      <c r="C1227" s="9">
        <v>4</v>
      </c>
      <c r="D1227" s="9" t="s">
        <v>669</v>
      </c>
      <c r="E1227" s="9" t="s">
        <v>5135</v>
      </c>
      <c r="F1227" s="9" t="s">
        <v>5137</v>
      </c>
      <c r="G1227" s="9">
        <v>33255</v>
      </c>
      <c r="H1227" s="9" t="s">
        <v>5138</v>
      </c>
      <c r="I1227" s="9">
        <v>183</v>
      </c>
      <c r="J1227" s="9">
        <v>46</v>
      </c>
      <c r="K1227" s="9">
        <v>1</v>
      </c>
    </row>
    <row r="1228" spans="1:11" x14ac:dyDescent="0.4">
      <c r="A1228" s="9" t="s">
        <v>302</v>
      </c>
      <c r="B1228" s="9" t="s">
        <v>28</v>
      </c>
      <c r="C1228" s="9">
        <v>5</v>
      </c>
      <c r="D1228" s="9" t="s">
        <v>669</v>
      </c>
      <c r="E1228" s="9" t="s">
        <v>5139</v>
      </c>
      <c r="F1228" s="9" t="s">
        <v>5141</v>
      </c>
      <c r="G1228" s="9">
        <v>35253</v>
      </c>
      <c r="H1228" s="9" t="s">
        <v>2704</v>
      </c>
      <c r="I1228" s="9">
        <v>186</v>
      </c>
      <c r="J1228" s="9">
        <v>49</v>
      </c>
      <c r="K1228" s="9">
        <v>1</v>
      </c>
    </row>
    <row r="1229" spans="1:11" x14ac:dyDescent="0.4">
      <c r="A1229" s="9" t="s">
        <v>302</v>
      </c>
      <c r="B1229" s="9" t="s">
        <v>28</v>
      </c>
      <c r="C1229" s="9">
        <v>6</v>
      </c>
      <c r="D1229" s="9" t="s">
        <v>686</v>
      </c>
      <c r="E1229" s="9" t="s">
        <v>5142</v>
      </c>
      <c r="F1229" s="9" t="s">
        <v>5144</v>
      </c>
      <c r="G1229" s="9">
        <v>36252</v>
      </c>
      <c r="H1229" s="9" t="s">
        <v>2892</v>
      </c>
      <c r="I1229" s="9">
        <v>180</v>
      </c>
      <c r="J1229" s="9">
        <v>25</v>
      </c>
      <c r="K1229" s="9">
        <v>1</v>
      </c>
    </row>
    <row r="1230" spans="1:11" x14ac:dyDescent="0.4">
      <c r="A1230" s="9" t="s">
        <v>302</v>
      </c>
      <c r="B1230" s="9" t="s">
        <v>28</v>
      </c>
      <c r="C1230" s="9">
        <v>7</v>
      </c>
      <c r="D1230" s="9" t="s">
        <v>686</v>
      </c>
      <c r="E1230" s="9" t="s">
        <v>5145</v>
      </c>
      <c r="F1230" s="9" t="s">
        <v>5147</v>
      </c>
      <c r="G1230" s="9">
        <v>35238</v>
      </c>
      <c r="H1230" s="9" t="s">
        <v>5148</v>
      </c>
      <c r="I1230" s="9">
        <v>183</v>
      </c>
      <c r="J1230" s="9">
        <v>84</v>
      </c>
      <c r="K1230" s="9">
        <v>9</v>
      </c>
    </row>
    <row r="1231" spans="1:11" x14ac:dyDescent="0.4">
      <c r="A1231" s="9" t="s">
        <v>302</v>
      </c>
      <c r="B1231" s="9" t="s">
        <v>28</v>
      </c>
      <c r="C1231" s="9">
        <v>8</v>
      </c>
      <c r="D1231" s="9" t="s">
        <v>686</v>
      </c>
      <c r="E1231" s="9" t="s">
        <v>5149</v>
      </c>
      <c r="F1231" s="9" t="s">
        <v>5151</v>
      </c>
      <c r="G1231" s="9">
        <v>34258</v>
      </c>
      <c r="H1231" s="9" t="s">
        <v>5138</v>
      </c>
      <c r="I1231" s="9">
        <v>171</v>
      </c>
      <c r="J1231" s="9">
        <v>38</v>
      </c>
      <c r="K1231" s="9">
        <v>4</v>
      </c>
    </row>
    <row r="1232" spans="1:11" x14ac:dyDescent="0.4">
      <c r="A1232" s="9" t="s">
        <v>302</v>
      </c>
      <c r="B1232" s="9" t="s">
        <v>28</v>
      </c>
      <c r="C1232" s="9">
        <v>9</v>
      </c>
      <c r="D1232" s="9" t="s">
        <v>686</v>
      </c>
      <c r="E1232" s="9" t="s">
        <v>5152</v>
      </c>
      <c r="F1232" s="9" t="s">
        <v>5154</v>
      </c>
      <c r="G1232" s="9">
        <v>35108</v>
      </c>
      <c r="H1232" s="9" t="s">
        <v>2771</v>
      </c>
      <c r="I1232" s="9">
        <v>180</v>
      </c>
      <c r="J1232" s="9">
        <v>72</v>
      </c>
      <c r="K1232" s="9">
        <v>1</v>
      </c>
    </row>
    <row r="1233" spans="1:11" x14ac:dyDescent="0.4">
      <c r="A1233" s="9" t="s">
        <v>302</v>
      </c>
      <c r="B1233" s="9" t="s">
        <v>28</v>
      </c>
      <c r="C1233" s="9">
        <v>10</v>
      </c>
      <c r="D1233" s="9" t="s">
        <v>686</v>
      </c>
      <c r="E1233" s="9" t="s">
        <v>5155</v>
      </c>
      <c r="F1233" s="9" t="s">
        <v>5157</v>
      </c>
      <c r="G1233" s="9">
        <v>37047</v>
      </c>
      <c r="H1233" s="9" t="s">
        <v>5128</v>
      </c>
      <c r="I1233" s="9">
        <v>176</v>
      </c>
      <c r="J1233" s="9">
        <v>5</v>
      </c>
      <c r="K1233" s="9">
        <v>0</v>
      </c>
    </row>
    <row r="1234" spans="1:11" x14ac:dyDescent="0.4">
      <c r="A1234" s="9" t="s">
        <v>302</v>
      </c>
      <c r="B1234" s="9" t="s">
        <v>28</v>
      </c>
      <c r="C1234" s="9">
        <v>11</v>
      </c>
      <c r="D1234" s="9" t="s">
        <v>686</v>
      </c>
      <c r="E1234" s="9" t="s">
        <v>5158</v>
      </c>
      <c r="F1234" s="9" t="s">
        <v>5160</v>
      </c>
      <c r="G1234" s="9">
        <v>36879</v>
      </c>
      <c r="H1234" s="9" t="s">
        <v>2789</v>
      </c>
      <c r="I1234" s="9">
        <v>181</v>
      </c>
      <c r="J1234" s="9">
        <v>42</v>
      </c>
      <c r="K1234" s="9">
        <v>10</v>
      </c>
    </row>
    <row r="1235" spans="1:11" x14ac:dyDescent="0.4">
      <c r="A1235" s="9" t="s">
        <v>302</v>
      </c>
      <c r="B1235" s="9" t="s">
        <v>28</v>
      </c>
      <c r="C1235" s="9">
        <v>12</v>
      </c>
      <c r="D1235" s="9" t="s">
        <v>664</v>
      </c>
      <c r="E1235" s="9" t="s">
        <v>5161</v>
      </c>
      <c r="F1235" s="9" t="s">
        <v>5163</v>
      </c>
      <c r="G1235" s="9">
        <v>36970</v>
      </c>
      <c r="H1235" s="9" t="s">
        <v>5164</v>
      </c>
      <c r="I1235" s="9">
        <v>182</v>
      </c>
      <c r="J1235" s="9">
        <v>8</v>
      </c>
      <c r="K1235" s="9">
        <v>0</v>
      </c>
    </row>
    <row r="1236" spans="1:11" x14ac:dyDescent="0.4">
      <c r="A1236" s="9" t="s">
        <v>302</v>
      </c>
      <c r="B1236" s="9" t="s">
        <v>28</v>
      </c>
      <c r="C1236" s="9">
        <v>13</v>
      </c>
      <c r="D1236" s="9" t="s">
        <v>669</v>
      </c>
      <c r="E1236" s="9" t="s">
        <v>5165</v>
      </c>
      <c r="F1236" s="9" t="s">
        <v>5167</v>
      </c>
      <c r="G1236" s="9">
        <v>35999</v>
      </c>
      <c r="H1236" s="9" t="s">
        <v>2892</v>
      </c>
      <c r="I1236" s="9">
        <v>183</v>
      </c>
      <c r="J1236" s="9">
        <v>31</v>
      </c>
      <c r="K1236" s="9">
        <v>2</v>
      </c>
    </row>
    <row r="1237" spans="1:11" x14ac:dyDescent="0.4">
      <c r="A1237" s="9" t="s">
        <v>302</v>
      </c>
      <c r="B1237" s="9" t="s">
        <v>28</v>
      </c>
      <c r="C1237" s="9">
        <v>14</v>
      </c>
      <c r="D1237" s="9" t="s">
        <v>691</v>
      </c>
      <c r="E1237" s="9" t="s">
        <v>5168</v>
      </c>
      <c r="F1237" s="9" t="s">
        <v>5170</v>
      </c>
      <c r="G1237" s="9">
        <v>34879</v>
      </c>
      <c r="H1237" s="9" t="s">
        <v>1349</v>
      </c>
      <c r="I1237" s="9">
        <v>190</v>
      </c>
      <c r="J1237" s="9">
        <v>92</v>
      </c>
      <c r="K1237" s="9">
        <v>44</v>
      </c>
    </row>
    <row r="1238" spans="1:11" x14ac:dyDescent="0.4">
      <c r="A1238" s="9" t="s">
        <v>302</v>
      </c>
      <c r="B1238" s="9" t="s">
        <v>28</v>
      </c>
      <c r="C1238" s="9">
        <v>15</v>
      </c>
      <c r="D1238" s="9" t="s">
        <v>669</v>
      </c>
      <c r="E1238" s="9" t="s">
        <v>5171</v>
      </c>
      <c r="F1238" s="9" t="s">
        <v>5173</v>
      </c>
      <c r="G1238" s="9">
        <v>33938</v>
      </c>
      <c r="H1238" s="9" t="s">
        <v>5164</v>
      </c>
      <c r="I1238" s="9">
        <v>185</v>
      </c>
      <c r="J1238" s="9">
        <v>29</v>
      </c>
      <c r="K1238" s="9">
        <v>0</v>
      </c>
    </row>
    <row r="1239" spans="1:11" x14ac:dyDescent="0.4">
      <c r="A1239" s="9" t="s">
        <v>302</v>
      </c>
      <c r="B1239" s="9" t="s">
        <v>28</v>
      </c>
      <c r="C1239" s="9">
        <v>16</v>
      </c>
      <c r="D1239" s="9" t="s">
        <v>664</v>
      </c>
      <c r="E1239" s="9" t="s">
        <v>5174</v>
      </c>
      <c r="F1239" s="9" t="s">
        <v>5176</v>
      </c>
      <c r="G1239" s="9">
        <v>34873</v>
      </c>
      <c r="H1239" s="9" t="s">
        <v>5138</v>
      </c>
      <c r="I1239" s="9">
        <v>189</v>
      </c>
      <c r="J1239" s="9">
        <v>2</v>
      </c>
      <c r="K1239" s="9">
        <v>0</v>
      </c>
    </row>
    <row r="1240" spans="1:11" x14ac:dyDescent="0.4">
      <c r="A1240" s="9" t="s">
        <v>302</v>
      </c>
      <c r="B1240" s="9" t="s">
        <v>28</v>
      </c>
      <c r="C1240" s="9">
        <v>17</v>
      </c>
      <c r="D1240" s="9" t="s">
        <v>686</v>
      </c>
      <c r="E1240" s="9" t="s">
        <v>5177</v>
      </c>
      <c r="F1240" s="9" t="s">
        <v>5179</v>
      </c>
      <c r="G1240" s="9">
        <v>35270</v>
      </c>
      <c r="H1240" s="9" t="s">
        <v>2892</v>
      </c>
      <c r="I1240" s="9">
        <v>178</v>
      </c>
      <c r="J1240" s="9">
        <v>34</v>
      </c>
      <c r="K1240" s="9">
        <v>5</v>
      </c>
    </row>
    <row r="1241" spans="1:11" x14ac:dyDescent="0.4">
      <c r="A1241" s="9" t="s">
        <v>302</v>
      </c>
      <c r="B1241" s="9" t="s">
        <v>28</v>
      </c>
      <c r="C1241" s="9">
        <v>18</v>
      </c>
      <c r="D1241" s="9" t="s">
        <v>669</v>
      </c>
      <c r="E1241" s="9" t="s">
        <v>5180</v>
      </c>
      <c r="F1241" s="9" t="s">
        <v>5182</v>
      </c>
      <c r="G1241" s="9">
        <v>35674</v>
      </c>
      <c r="H1241" s="9" t="s">
        <v>2921</v>
      </c>
      <c r="I1241" s="9">
        <v>181</v>
      </c>
      <c r="J1241" s="9">
        <v>17</v>
      </c>
      <c r="K1241" s="9">
        <v>0</v>
      </c>
    </row>
    <row r="1242" spans="1:11" x14ac:dyDescent="0.4">
      <c r="A1242" s="9" t="s">
        <v>302</v>
      </c>
      <c r="B1242" s="9" t="s">
        <v>28</v>
      </c>
      <c r="C1242" s="9">
        <v>19</v>
      </c>
      <c r="D1242" s="9" t="s">
        <v>686</v>
      </c>
      <c r="E1242" s="9" t="s">
        <v>5183</v>
      </c>
      <c r="F1242" s="9" t="s">
        <v>5185</v>
      </c>
      <c r="G1242" s="9">
        <v>35848</v>
      </c>
      <c r="H1242" s="9" t="s">
        <v>1265</v>
      </c>
      <c r="I1242" s="9">
        <v>178</v>
      </c>
      <c r="J1242" s="9">
        <v>19</v>
      </c>
      <c r="K1242" s="9">
        <v>0</v>
      </c>
    </row>
    <row r="1243" spans="1:11" x14ac:dyDescent="0.4">
      <c r="A1243" s="9" t="s">
        <v>302</v>
      </c>
      <c r="B1243" s="9" t="s">
        <v>28</v>
      </c>
      <c r="C1243" s="9">
        <v>20</v>
      </c>
      <c r="D1243" s="9" t="s">
        <v>691</v>
      </c>
      <c r="E1243" s="9" t="s">
        <v>5186</v>
      </c>
      <c r="F1243" s="9" t="s">
        <v>5188</v>
      </c>
      <c r="G1243" s="9">
        <v>35733</v>
      </c>
      <c r="H1243" s="9" t="s">
        <v>5189</v>
      </c>
      <c r="I1243" s="9">
        <v>181</v>
      </c>
      <c r="J1243" s="9">
        <v>12</v>
      </c>
      <c r="K1243" s="9">
        <v>2</v>
      </c>
    </row>
    <row r="1244" spans="1:11" x14ac:dyDescent="0.4">
      <c r="A1244" s="9" t="s">
        <v>302</v>
      </c>
      <c r="B1244" s="9" t="s">
        <v>28</v>
      </c>
      <c r="C1244" s="9">
        <v>21</v>
      </c>
      <c r="D1244" s="9" t="s">
        <v>691</v>
      </c>
      <c r="E1244" s="9" t="s">
        <v>5190</v>
      </c>
      <c r="F1244" s="9" t="s">
        <v>5191</v>
      </c>
      <c r="G1244" s="9">
        <v>34089</v>
      </c>
      <c r="H1244" s="9" t="s">
        <v>2789</v>
      </c>
      <c r="I1244" s="9">
        <v>185</v>
      </c>
      <c r="J1244" s="9">
        <v>83</v>
      </c>
      <c r="K1244" s="9">
        <v>25</v>
      </c>
    </row>
    <row r="1245" spans="1:11" x14ac:dyDescent="0.4">
      <c r="A1245" s="9" t="s">
        <v>302</v>
      </c>
      <c r="B1245" s="9" t="s">
        <v>28</v>
      </c>
      <c r="C1245" s="9">
        <v>22</v>
      </c>
      <c r="D1245" s="9" t="s">
        <v>686</v>
      </c>
      <c r="E1245" s="9" t="s">
        <v>5192</v>
      </c>
      <c r="F1245" s="9" t="s">
        <v>5194</v>
      </c>
      <c r="G1245" s="9">
        <v>37897</v>
      </c>
      <c r="H1245" s="9" t="s">
        <v>1349</v>
      </c>
      <c r="I1245" s="9">
        <v>167</v>
      </c>
      <c r="J1245" s="9">
        <v>32</v>
      </c>
      <c r="K1245" s="9">
        <v>9</v>
      </c>
    </row>
    <row r="1246" spans="1:11" x14ac:dyDescent="0.4">
      <c r="A1246" s="9" t="s">
        <v>302</v>
      </c>
      <c r="B1246" s="9" t="s">
        <v>28</v>
      </c>
      <c r="C1246" s="9">
        <v>23</v>
      </c>
      <c r="D1246" s="9" t="s">
        <v>686</v>
      </c>
      <c r="E1246" s="9" t="s">
        <v>5195</v>
      </c>
      <c r="F1246" s="9" t="s">
        <v>5196</v>
      </c>
      <c r="G1246" s="9">
        <v>37653</v>
      </c>
      <c r="H1246" s="9" t="s">
        <v>5197</v>
      </c>
      <c r="I1246" s="9">
        <v>190</v>
      </c>
      <c r="J1246" s="9">
        <v>1</v>
      </c>
      <c r="K1246" s="9">
        <v>0</v>
      </c>
    </row>
    <row r="1247" spans="1:11" x14ac:dyDescent="0.4">
      <c r="A1247" s="9" t="s">
        <v>302</v>
      </c>
      <c r="B1247" s="9" t="s">
        <v>28</v>
      </c>
      <c r="C1247" s="9">
        <v>24</v>
      </c>
      <c r="D1247" s="9" t="s">
        <v>669</v>
      </c>
      <c r="E1247" s="9" t="s">
        <v>5198</v>
      </c>
      <c r="F1247" s="9" t="s">
        <v>5200</v>
      </c>
      <c r="G1247" s="9">
        <v>39301</v>
      </c>
      <c r="H1247" s="9" t="s">
        <v>5201</v>
      </c>
      <c r="I1247" s="9">
        <v>172</v>
      </c>
      <c r="J1247" s="9">
        <v>2</v>
      </c>
      <c r="K1247" s="9">
        <v>0</v>
      </c>
    </row>
    <row r="1248" spans="1:11" x14ac:dyDescent="0.4">
      <c r="A1248" s="9" t="s">
        <v>302</v>
      </c>
      <c r="B1248" s="9" t="s">
        <v>28</v>
      </c>
      <c r="C1248" s="9">
        <v>25</v>
      </c>
      <c r="D1248" s="9" t="s">
        <v>669</v>
      </c>
      <c r="E1248" s="9" t="s">
        <v>5202</v>
      </c>
      <c r="F1248" s="9" t="s">
        <v>5204</v>
      </c>
      <c r="G1248" s="9">
        <v>36612</v>
      </c>
      <c r="H1248" s="9" t="s">
        <v>5205</v>
      </c>
      <c r="I1248" s="9">
        <v>187</v>
      </c>
      <c r="J1248" s="9">
        <v>0</v>
      </c>
      <c r="K1248" s="9">
        <v>0</v>
      </c>
    </row>
    <row r="1249" spans="1:11" x14ac:dyDescent="0.4">
      <c r="A1249" s="9" t="s">
        <v>302</v>
      </c>
      <c r="B1249" s="9" t="s">
        <v>28</v>
      </c>
      <c r="C1249" s="9">
        <v>26</v>
      </c>
      <c r="D1249" s="9" t="s">
        <v>669</v>
      </c>
      <c r="E1249" s="9" t="s">
        <v>5206</v>
      </c>
      <c r="F1249" s="9" t="s">
        <v>5208</v>
      </c>
      <c r="G1249" s="9">
        <v>38004</v>
      </c>
      <c r="H1249" s="9" t="s">
        <v>5189</v>
      </c>
      <c r="I1249" s="9">
        <v>190</v>
      </c>
      <c r="J1249" s="9">
        <v>4</v>
      </c>
      <c r="K1249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B52C-71E7-43FE-B16F-025630DDAC42}">
  <dimension ref="A1:L146"/>
  <sheetViews>
    <sheetView workbookViewId="0">
      <selection sqref="A1:G1048576"/>
    </sheetView>
  </sheetViews>
  <sheetFormatPr defaultRowHeight="14.25" x14ac:dyDescent="0.45"/>
  <sheetData>
    <row r="1" spans="1:11" x14ac:dyDescent="0.45">
      <c r="A1" t="s">
        <v>53</v>
      </c>
      <c r="E1" t="s">
        <v>54</v>
      </c>
    </row>
    <row r="2" spans="1:11" x14ac:dyDescent="0.45"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58</v>
      </c>
      <c r="I2" t="s">
        <v>61</v>
      </c>
    </row>
    <row r="3" spans="1:11" x14ac:dyDescent="0.45">
      <c r="B3" t="s">
        <v>62</v>
      </c>
      <c r="C3" t="s">
        <v>63</v>
      </c>
      <c r="D3" t="s">
        <v>64</v>
      </c>
      <c r="E3" t="s">
        <v>65</v>
      </c>
    </row>
    <row r="4" spans="1:11" x14ac:dyDescent="0.45">
      <c r="A4" t="str">
        <f>_xlfn.CONCAT(B3:D3)</f>
        <v>Bosnia&amp;Herzegovina</v>
      </c>
      <c r="B4" t="s">
        <v>57</v>
      </c>
      <c r="C4" t="s">
        <v>66</v>
      </c>
      <c r="D4" t="s">
        <v>67</v>
      </c>
    </row>
    <row r="5" spans="1:11" x14ac:dyDescent="0.45">
      <c r="B5" t="s">
        <v>62</v>
      </c>
      <c r="C5" t="s">
        <v>63</v>
      </c>
      <c r="D5" t="s">
        <v>64</v>
      </c>
      <c r="E5">
        <v>1</v>
      </c>
      <c r="F5">
        <v>385.84</v>
      </c>
      <c r="G5" t="s">
        <v>68</v>
      </c>
      <c r="H5">
        <v>24</v>
      </c>
      <c r="I5" t="s">
        <v>69</v>
      </c>
      <c r="J5" t="s">
        <v>70</v>
      </c>
      <c r="K5" t="s">
        <v>71</v>
      </c>
    </row>
    <row r="6" spans="1:11" x14ac:dyDescent="0.45">
      <c r="B6" t="s">
        <v>17</v>
      </c>
      <c r="C6" t="s">
        <v>65</v>
      </c>
    </row>
    <row r="7" spans="1:11" x14ac:dyDescent="0.45">
      <c r="A7" t="str">
        <f>B6</f>
        <v>Sweden</v>
      </c>
      <c r="B7" t="s">
        <v>57</v>
      </c>
      <c r="C7" t="s">
        <v>72</v>
      </c>
      <c r="D7" t="s">
        <v>73</v>
      </c>
    </row>
    <row r="8" spans="1:11" x14ac:dyDescent="0.45">
      <c r="B8" t="s">
        <v>17</v>
      </c>
      <c r="C8">
        <v>1</v>
      </c>
      <c r="D8">
        <v>514.77</v>
      </c>
      <c r="E8" t="s">
        <v>68</v>
      </c>
      <c r="F8">
        <v>28</v>
      </c>
      <c r="G8" t="s">
        <v>69</v>
      </c>
      <c r="H8" t="s">
        <v>70</v>
      </c>
      <c r="I8" t="s">
        <v>74</v>
      </c>
    </row>
    <row r="9" spans="1:11" x14ac:dyDescent="0.45">
      <c r="B9" t="s">
        <v>32</v>
      </c>
      <c r="C9" t="s">
        <v>65</v>
      </c>
    </row>
    <row r="10" spans="1:11" x14ac:dyDescent="0.45">
      <c r="A10" t="str">
        <f>B9</f>
        <v>Turkey</v>
      </c>
      <c r="B10" t="s">
        <v>57</v>
      </c>
      <c r="C10" t="s">
        <v>75</v>
      </c>
      <c r="D10" t="s">
        <v>76</v>
      </c>
    </row>
    <row r="11" spans="1:11" x14ac:dyDescent="0.45">
      <c r="B11" t="s">
        <v>32</v>
      </c>
      <c r="C11">
        <v>1</v>
      </c>
      <c r="D11">
        <v>599.04</v>
      </c>
      <c r="E11" t="s">
        <v>68</v>
      </c>
      <c r="F11">
        <v>16</v>
      </c>
      <c r="G11" t="s">
        <v>69</v>
      </c>
      <c r="H11" t="s">
        <v>70</v>
      </c>
      <c r="I11" t="s">
        <v>77</v>
      </c>
    </row>
    <row r="12" spans="1:11" x14ac:dyDescent="0.45">
      <c r="B12" t="s">
        <v>78</v>
      </c>
      <c r="C12" t="s">
        <v>79</v>
      </c>
      <c r="D12" t="s">
        <v>65</v>
      </c>
    </row>
    <row r="13" spans="1:11" x14ac:dyDescent="0.45">
      <c r="A13" t="str">
        <f>_xlfn.CONCAT(B12:C12)</f>
        <v>IvoryCoast</v>
      </c>
      <c r="B13" t="s">
        <v>57</v>
      </c>
      <c r="C13" t="s">
        <v>80</v>
      </c>
      <c r="D13" t="s">
        <v>76</v>
      </c>
    </row>
    <row r="14" spans="1:11" x14ac:dyDescent="0.45">
      <c r="B14" t="s">
        <v>78</v>
      </c>
      <c r="C14" t="s">
        <v>79</v>
      </c>
      <c r="D14">
        <v>1</v>
      </c>
      <c r="E14">
        <v>532.98</v>
      </c>
      <c r="F14" t="s">
        <v>68</v>
      </c>
      <c r="G14">
        <v>11</v>
      </c>
      <c r="H14" t="s">
        <v>81</v>
      </c>
      <c r="I14" t="s">
        <v>70</v>
      </c>
      <c r="J14" t="s">
        <v>82</v>
      </c>
    </row>
    <row r="15" spans="1:11" x14ac:dyDescent="0.45">
      <c r="B15" t="s">
        <v>34</v>
      </c>
      <c r="C15" t="s">
        <v>65</v>
      </c>
    </row>
    <row r="16" spans="1:11" x14ac:dyDescent="0.45">
      <c r="A16" t="str">
        <f>B15</f>
        <v>Tunisia</v>
      </c>
      <c r="B16" t="s">
        <v>57</v>
      </c>
      <c r="C16" t="s">
        <v>83</v>
      </c>
      <c r="D16" t="s">
        <v>76</v>
      </c>
    </row>
    <row r="17" spans="1:12" x14ac:dyDescent="0.45">
      <c r="B17" t="s">
        <v>34</v>
      </c>
      <c r="C17">
        <v>1</v>
      </c>
      <c r="D17">
        <v>483.05</v>
      </c>
      <c r="E17" t="s">
        <v>68</v>
      </c>
      <c r="F17">
        <v>4</v>
      </c>
      <c r="G17" t="s">
        <v>81</v>
      </c>
      <c r="H17" t="s">
        <v>70</v>
      </c>
      <c r="I17" t="s">
        <v>74</v>
      </c>
    </row>
    <row r="18" spans="1:12" x14ac:dyDescent="0.45">
      <c r="B18" t="s">
        <v>21</v>
      </c>
      <c r="C18" t="s">
        <v>65</v>
      </c>
    </row>
    <row r="19" spans="1:12" x14ac:dyDescent="0.45">
      <c r="A19" t="str">
        <f>B18</f>
        <v>France</v>
      </c>
      <c r="B19" t="s">
        <v>57</v>
      </c>
      <c r="C19" t="s">
        <v>84</v>
      </c>
      <c r="D19" t="s">
        <v>85</v>
      </c>
    </row>
    <row r="20" spans="1:12" x14ac:dyDescent="0.45">
      <c r="B20" t="s">
        <v>21</v>
      </c>
      <c r="C20">
        <v>1</v>
      </c>
      <c r="D20">
        <v>877.32</v>
      </c>
      <c r="E20" t="s">
        <v>68</v>
      </c>
      <c r="F20">
        <v>7</v>
      </c>
      <c r="G20" t="s">
        <v>69</v>
      </c>
      <c r="H20" t="s">
        <v>70</v>
      </c>
      <c r="I20" t="s">
        <v>86</v>
      </c>
    </row>
    <row r="21" spans="1:12" x14ac:dyDescent="0.45">
      <c r="B21" t="s">
        <v>87</v>
      </c>
      <c r="C21" t="s">
        <v>88</v>
      </c>
      <c r="D21" t="s">
        <v>65</v>
      </c>
    </row>
    <row r="22" spans="1:12" x14ac:dyDescent="0.45">
      <c r="A22" t="str">
        <f>_xlfn.CONCAT(B21:C21)</f>
        <v>DRCongo</v>
      </c>
      <c r="B22" t="s">
        <v>57</v>
      </c>
      <c r="C22" t="s">
        <v>89</v>
      </c>
      <c r="D22" t="s">
        <v>85</v>
      </c>
    </row>
    <row r="23" spans="1:12" x14ac:dyDescent="0.45">
      <c r="B23" t="s">
        <v>87</v>
      </c>
      <c r="C23" t="s">
        <v>88</v>
      </c>
      <c r="D23">
        <v>1</v>
      </c>
      <c r="E23">
        <v>478.35</v>
      </c>
      <c r="F23" t="s">
        <v>68</v>
      </c>
      <c r="G23">
        <v>10</v>
      </c>
      <c r="H23" t="s">
        <v>81</v>
      </c>
      <c r="I23" t="s">
        <v>70</v>
      </c>
      <c r="J23" t="s">
        <v>90</v>
      </c>
    </row>
    <row r="24" spans="1:12" x14ac:dyDescent="0.45">
      <c r="B24" t="s">
        <v>28</v>
      </c>
      <c r="C24" t="s">
        <v>65</v>
      </c>
    </row>
    <row r="25" spans="1:12" x14ac:dyDescent="0.45">
      <c r="A25" t="str">
        <f>B24</f>
        <v>Uzbekistan</v>
      </c>
      <c r="B25" t="s">
        <v>57</v>
      </c>
      <c r="C25" t="s">
        <v>91</v>
      </c>
      <c r="D25" t="s">
        <v>85</v>
      </c>
    </row>
    <row r="26" spans="1:12" x14ac:dyDescent="0.45">
      <c r="B26" t="s">
        <v>28</v>
      </c>
      <c r="C26">
        <v>1</v>
      </c>
      <c r="D26">
        <v>465.34</v>
      </c>
      <c r="E26" t="s">
        <v>68</v>
      </c>
      <c r="F26">
        <v>3</v>
      </c>
      <c r="G26" t="s">
        <v>92</v>
      </c>
      <c r="H26" t="s">
        <v>70</v>
      </c>
      <c r="I26" t="s">
        <v>90</v>
      </c>
    </row>
    <row r="27" spans="1:12" x14ac:dyDescent="0.45">
      <c r="B27" t="s">
        <v>25</v>
      </c>
      <c r="C27" t="s">
        <v>65</v>
      </c>
    </row>
    <row r="28" spans="1:12" x14ac:dyDescent="0.45">
      <c r="A28" t="str">
        <f>B27</f>
        <v>Portugal</v>
      </c>
      <c r="B28" t="s">
        <v>57</v>
      </c>
      <c r="C28" t="s">
        <v>93</v>
      </c>
      <c r="D28" t="s">
        <v>94</v>
      </c>
    </row>
    <row r="29" spans="1:12" x14ac:dyDescent="0.45">
      <c r="B29" t="s">
        <v>25</v>
      </c>
      <c r="C29">
        <v>1</v>
      </c>
      <c r="D29">
        <v>763.83</v>
      </c>
      <c r="E29" t="s">
        <v>68</v>
      </c>
      <c r="F29">
        <v>4</v>
      </c>
      <c r="G29" t="s">
        <v>69</v>
      </c>
      <c r="H29" t="s">
        <v>70</v>
      </c>
      <c r="I29" t="s">
        <v>90</v>
      </c>
      <c r="J29" t="s">
        <v>70</v>
      </c>
      <c r="K29" t="s">
        <v>95</v>
      </c>
      <c r="L29" t="s">
        <v>96</v>
      </c>
    </row>
    <row r="30" spans="1:12" x14ac:dyDescent="0.45">
      <c r="B30" t="s">
        <v>40</v>
      </c>
      <c r="C30" t="s">
        <v>65</v>
      </c>
    </row>
    <row r="31" spans="1:12" x14ac:dyDescent="0.45">
      <c r="A31" t="str">
        <f>B30</f>
        <v>Colombia</v>
      </c>
      <c r="B31" t="s">
        <v>57</v>
      </c>
      <c r="C31" t="s">
        <v>97</v>
      </c>
      <c r="D31" t="s">
        <v>94</v>
      </c>
    </row>
    <row r="32" spans="1:12" x14ac:dyDescent="0.45">
      <c r="B32" t="s">
        <v>40</v>
      </c>
      <c r="C32">
        <v>1</v>
      </c>
      <c r="D32">
        <v>693.09</v>
      </c>
      <c r="E32" t="s">
        <v>68</v>
      </c>
      <c r="F32">
        <v>-8</v>
      </c>
      <c r="G32" t="s">
        <v>98</v>
      </c>
      <c r="H32" t="s">
        <v>70</v>
      </c>
      <c r="I32" t="s">
        <v>90</v>
      </c>
    </row>
    <row r="33" spans="1:10" x14ac:dyDescent="0.45">
      <c r="B33" t="s">
        <v>5</v>
      </c>
      <c r="C33" t="s">
        <v>65</v>
      </c>
    </row>
    <row r="34" spans="1:10" x14ac:dyDescent="0.45">
      <c r="A34" t="str">
        <f>B33</f>
        <v>Mexico</v>
      </c>
      <c r="B34" t="s">
        <v>57</v>
      </c>
      <c r="C34" t="s">
        <v>99</v>
      </c>
      <c r="D34" t="s">
        <v>94</v>
      </c>
    </row>
    <row r="35" spans="1:10" x14ac:dyDescent="0.45">
      <c r="B35" t="s">
        <v>5</v>
      </c>
      <c r="C35">
        <v>1</v>
      </c>
      <c r="D35">
        <v>681.03</v>
      </c>
      <c r="E35" t="s">
        <v>68</v>
      </c>
      <c r="F35">
        <v>5</v>
      </c>
      <c r="G35" t="s">
        <v>100</v>
      </c>
      <c r="H35" t="s">
        <v>70</v>
      </c>
      <c r="I35" t="s">
        <v>101</v>
      </c>
    </row>
    <row r="36" spans="1:10" x14ac:dyDescent="0.45">
      <c r="B36" t="s">
        <v>46</v>
      </c>
      <c r="C36" t="s">
        <v>65</v>
      </c>
    </row>
    <row r="37" spans="1:10" x14ac:dyDescent="0.45">
      <c r="A37" t="str">
        <f>B36</f>
        <v>Japan</v>
      </c>
      <c r="B37" t="s">
        <v>57</v>
      </c>
      <c r="C37" t="s">
        <v>102</v>
      </c>
      <c r="D37" t="s">
        <v>94</v>
      </c>
    </row>
    <row r="38" spans="1:10" x14ac:dyDescent="0.45">
      <c r="B38" t="s">
        <v>46</v>
      </c>
      <c r="C38">
        <v>1</v>
      </c>
      <c r="D38">
        <v>660.43</v>
      </c>
      <c r="E38" t="s">
        <v>68</v>
      </c>
      <c r="F38">
        <v>10</v>
      </c>
      <c r="G38" t="s">
        <v>92</v>
      </c>
      <c r="H38" t="s">
        <v>70</v>
      </c>
      <c r="I38" t="s">
        <v>74</v>
      </c>
    </row>
    <row r="39" spans="1:10" x14ac:dyDescent="0.45">
      <c r="B39" t="s">
        <v>49</v>
      </c>
      <c r="C39" t="s">
        <v>65</v>
      </c>
    </row>
    <row r="40" spans="1:10" x14ac:dyDescent="0.45">
      <c r="A40" t="str">
        <f>B39</f>
        <v>Egypt</v>
      </c>
      <c r="B40" t="s">
        <v>57</v>
      </c>
      <c r="C40" t="s">
        <v>103</v>
      </c>
      <c r="D40" t="s">
        <v>94</v>
      </c>
    </row>
    <row r="41" spans="1:10" x14ac:dyDescent="0.45">
      <c r="B41" t="s">
        <v>49</v>
      </c>
      <c r="C41">
        <v>1</v>
      </c>
      <c r="D41">
        <v>563.24</v>
      </c>
      <c r="E41" t="s">
        <v>68</v>
      </c>
      <c r="F41">
        <v>6</v>
      </c>
      <c r="G41" t="s">
        <v>81</v>
      </c>
      <c r="H41" t="s">
        <v>70</v>
      </c>
      <c r="I41" t="s">
        <v>104</v>
      </c>
    </row>
    <row r="42" spans="1:10" x14ac:dyDescent="0.45">
      <c r="B42" t="s">
        <v>37</v>
      </c>
      <c r="C42" t="s">
        <v>65</v>
      </c>
    </row>
    <row r="43" spans="1:10" x14ac:dyDescent="0.45">
      <c r="A43" t="str">
        <f>B42</f>
        <v>Norway</v>
      </c>
      <c r="B43" t="s">
        <v>57</v>
      </c>
      <c r="C43" t="s">
        <v>105</v>
      </c>
      <c r="D43" t="s">
        <v>94</v>
      </c>
    </row>
    <row r="44" spans="1:10" x14ac:dyDescent="0.45">
      <c r="B44" t="s">
        <v>37</v>
      </c>
      <c r="C44">
        <v>1</v>
      </c>
      <c r="D44">
        <v>550.94000000000005</v>
      </c>
      <c r="E44" t="s">
        <v>68</v>
      </c>
      <c r="F44">
        <v>-2</v>
      </c>
      <c r="G44" t="s">
        <v>69</v>
      </c>
      <c r="H44" t="s">
        <v>70</v>
      </c>
      <c r="I44" t="s">
        <v>86</v>
      </c>
    </row>
    <row r="45" spans="1:10" x14ac:dyDescent="0.45">
      <c r="B45" t="s">
        <v>106</v>
      </c>
      <c r="C45" t="s">
        <v>107</v>
      </c>
      <c r="D45" t="s">
        <v>65</v>
      </c>
    </row>
    <row r="46" spans="1:10" x14ac:dyDescent="0.45">
      <c r="A46" t="str">
        <f>_xlfn.CONCAT(B45:C45)</f>
        <v>CzechRepublic</v>
      </c>
      <c r="B46" t="s">
        <v>57</v>
      </c>
      <c r="C46" t="s">
        <v>108</v>
      </c>
      <c r="D46" t="s">
        <v>94</v>
      </c>
    </row>
    <row r="47" spans="1:10" x14ac:dyDescent="0.45">
      <c r="B47" t="s">
        <v>106</v>
      </c>
      <c r="C47" t="s">
        <v>107</v>
      </c>
      <c r="D47">
        <v>1</v>
      </c>
      <c r="E47">
        <v>501.38</v>
      </c>
      <c r="F47" t="s">
        <v>68</v>
      </c>
      <c r="G47">
        <v>14</v>
      </c>
      <c r="H47" t="s">
        <v>69</v>
      </c>
      <c r="I47" t="s">
        <v>70</v>
      </c>
      <c r="J47" t="s">
        <v>101</v>
      </c>
    </row>
    <row r="48" spans="1:10" x14ac:dyDescent="0.45">
      <c r="B48" t="s">
        <v>9</v>
      </c>
      <c r="C48" t="s">
        <v>65</v>
      </c>
    </row>
    <row r="49" spans="1:9" x14ac:dyDescent="0.45">
      <c r="A49" t="str">
        <f>B48</f>
        <v>Qatar</v>
      </c>
      <c r="B49" t="s">
        <v>57</v>
      </c>
      <c r="C49" t="s">
        <v>109</v>
      </c>
      <c r="D49" t="s">
        <v>94</v>
      </c>
    </row>
    <row r="50" spans="1:9" x14ac:dyDescent="0.45">
      <c r="B50" t="s">
        <v>9</v>
      </c>
      <c r="C50">
        <v>1</v>
      </c>
      <c r="D50">
        <v>454.96</v>
      </c>
      <c r="E50" t="s">
        <v>68</v>
      </c>
      <c r="F50">
        <v>0</v>
      </c>
      <c r="G50" t="s">
        <v>92</v>
      </c>
      <c r="H50" t="s">
        <v>70</v>
      </c>
      <c r="I50" t="s">
        <v>71</v>
      </c>
    </row>
    <row r="51" spans="1:9" x14ac:dyDescent="0.45">
      <c r="B51" t="s">
        <v>22</v>
      </c>
      <c r="C51" t="s">
        <v>65</v>
      </c>
    </row>
    <row r="52" spans="1:9" x14ac:dyDescent="0.45">
      <c r="A52" t="str">
        <f>B51</f>
        <v>Iraq</v>
      </c>
      <c r="B52" t="s">
        <v>57</v>
      </c>
      <c r="C52" t="s">
        <v>110</v>
      </c>
      <c r="D52" t="s">
        <v>94</v>
      </c>
    </row>
    <row r="53" spans="1:9" x14ac:dyDescent="0.45">
      <c r="B53" t="s">
        <v>22</v>
      </c>
      <c r="C53">
        <v>1</v>
      </c>
      <c r="D53">
        <v>447.14</v>
      </c>
      <c r="E53" t="s">
        <v>68</v>
      </c>
      <c r="F53">
        <v>10</v>
      </c>
      <c r="G53" t="s">
        <v>92</v>
      </c>
      <c r="H53" t="s">
        <v>70</v>
      </c>
      <c r="I53" t="s">
        <v>86</v>
      </c>
    </row>
    <row r="54" spans="1:9" x14ac:dyDescent="0.45">
      <c r="B54" t="s">
        <v>38</v>
      </c>
      <c r="C54" t="s">
        <v>65</v>
      </c>
    </row>
    <row r="55" spans="1:9" x14ac:dyDescent="0.45">
      <c r="A55" t="str">
        <f>B54</f>
        <v>Jordan</v>
      </c>
      <c r="B55" t="s">
        <v>57</v>
      </c>
      <c r="C55" t="s">
        <v>111</v>
      </c>
      <c r="D55" t="s">
        <v>94</v>
      </c>
    </row>
    <row r="56" spans="1:9" x14ac:dyDescent="0.45">
      <c r="B56" t="s">
        <v>38</v>
      </c>
      <c r="C56">
        <v>1</v>
      </c>
      <c r="D56">
        <v>391.45</v>
      </c>
      <c r="E56" t="s">
        <v>68</v>
      </c>
      <c r="F56">
        <v>2</v>
      </c>
      <c r="G56" t="s">
        <v>92</v>
      </c>
      <c r="H56" t="s">
        <v>70</v>
      </c>
      <c r="I56" t="s">
        <v>112</v>
      </c>
    </row>
    <row r="57" spans="1:9" x14ac:dyDescent="0.45">
      <c r="B57" t="s">
        <v>26</v>
      </c>
      <c r="C57" t="s">
        <v>65</v>
      </c>
    </row>
    <row r="58" spans="1:9" x14ac:dyDescent="0.45">
      <c r="A58" t="str">
        <f>B57</f>
        <v>England</v>
      </c>
      <c r="B58" t="s">
        <v>57</v>
      </c>
      <c r="C58" t="s">
        <v>113</v>
      </c>
      <c r="D58" t="s">
        <v>114</v>
      </c>
    </row>
    <row r="59" spans="1:9" x14ac:dyDescent="0.45">
      <c r="B59" t="s">
        <v>26</v>
      </c>
      <c r="C59">
        <v>1</v>
      </c>
      <c r="D59">
        <v>825.97</v>
      </c>
      <c r="E59" t="s">
        <v>68</v>
      </c>
      <c r="F59">
        <v>-8</v>
      </c>
      <c r="G59" t="s">
        <v>69</v>
      </c>
      <c r="H59" t="s">
        <v>70</v>
      </c>
      <c r="I59" t="s">
        <v>115</v>
      </c>
    </row>
    <row r="60" spans="1:9" x14ac:dyDescent="0.45">
      <c r="B60" t="s">
        <v>14</v>
      </c>
      <c r="C60" t="s">
        <v>65</v>
      </c>
    </row>
    <row r="61" spans="1:9" x14ac:dyDescent="0.45">
      <c r="A61" t="str">
        <f>B60</f>
        <v>Netherlands</v>
      </c>
      <c r="B61" t="s">
        <v>57</v>
      </c>
      <c r="C61" t="s">
        <v>116</v>
      </c>
      <c r="D61" t="s">
        <v>114</v>
      </c>
    </row>
    <row r="62" spans="1:9" x14ac:dyDescent="0.45">
      <c r="B62" t="s">
        <v>14</v>
      </c>
      <c r="C62">
        <v>1</v>
      </c>
      <c r="D62">
        <v>757.87</v>
      </c>
      <c r="E62" t="s">
        <v>68</v>
      </c>
      <c r="F62">
        <v>2</v>
      </c>
      <c r="G62" t="s">
        <v>69</v>
      </c>
      <c r="H62" t="s">
        <v>70</v>
      </c>
      <c r="I62" t="s">
        <v>74</v>
      </c>
    </row>
    <row r="63" spans="1:9" x14ac:dyDescent="0.45">
      <c r="B63" t="s">
        <v>39</v>
      </c>
      <c r="C63" t="s">
        <v>65</v>
      </c>
    </row>
    <row r="64" spans="1:9" x14ac:dyDescent="0.45">
      <c r="A64" t="str">
        <f>B63</f>
        <v>Morocco</v>
      </c>
      <c r="B64" t="s">
        <v>57</v>
      </c>
      <c r="C64" t="s">
        <v>117</v>
      </c>
      <c r="D64" t="s">
        <v>114</v>
      </c>
    </row>
    <row r="65" spans="1:12" x14ac:dyDescent="0.45">
      <c r="B65" t="s">
        <v>39</v>
      </c>
      <c r="C65">
        <v>1</v>
      </c>
      <c r="D65">
        <v>755.87</v>
      </c>
      <c r="E65" t="s">
        <v>68</v>
      </c>
      <c r="F65">
        <v>19</v>
      </c>
      <c r="G65" t="s">
        <v>81</v>
      </c>
      <c r="H65" t="s">
        <v>70</v>
      </c>
      <c r="I65" t="s">
        <v>118</v>
      </c>
    </row>
    <row r="66" spans="1:12" x14ac:dyDescent="0.45">
      <c r="B66" t="s">
        <v>16</v>
      </c>
      <c r="C66" t="s">
        <v>65</v>
      </c>
    </row>
    <row r="67" spans="1:12" x14ac:dyDescent="0.45">
      <c r="A67" t="str">
        <f>B66</f>
        <v>Belgium</v>
      </c>
      <c r="B67" t="s">
        <v>57</v>
      </c>
      <c r="C67" t="s">
        <v>119</v>
      </c>
      <c r="D67" t="s">
        <v>114</v>
      </c>
    </row>
    <row r="68" spans="1:12" x14ac:dyDescent="0.45">
      <c r="B68" t="s">
        <v>16</v>
      </c>
      <c r="C68">
        <v>1</v>
      </c>
      <c r="D68">
        <v>734.71</v>
      </c>
      <c r="E68" t="s">
        <v>68</v>
      </c>
      <c r="F68">
        <v>4</v>
      </c>
      <c r="G68" t="s">
        <v>69</v>
      </c>
      <c r="H68" t="s">
        <v>70</v>
      </c>
      <c r="I68" t="s">
        <v>104</v>
      </c>
    </row>
    <row r="69" spans="1:12" x14ac:dyDescent="0.45">
      <c r="B69" t="s">
        <v>13</v>
      </c>
      <c r="C69" t="s">
        <v>65</v>
      </c>
    </row>
    <row r="70" spans="1:12" x14ac:dyDescent="0.45">
      <c r="A70" t="str">
        <f>B69</f>
        <v>Germany</v>
      </c>
      <c r="B70" t="s">
        <v>57</v>
      </c>
      <c r="C70" t="s">
        <v>120</v>
      </c>
      <c r="D70" t="s">
        <v>114</v>
      </c>
    </row>
    <row r="71" spans="1:12" x14ac:dyDescent="0.45">
      <c r="B71" t="s">
        <v>13</v>
      </c>
      <c r="C71">
        <v>1</v>
      </c>
      <c r="D71">
        <v>730.37</v>
      </c>
      <c r="E71" t="s">
        <v>68</v>
      </c>
      <c r="F71">
        <v>6</v>
      </c>
      <c r="G71" t="s">
        <v>69</v>
      </c>
      <c r="H71" t="s">
        <v>70</v>
      </c>
      <c r="I71" t="s">
        <v>82</v>
      </c>
    </row>
    <row r="72" spans="1:12" x14ac:dyDescent="0.45">
      <c r="B72" t="s">
        <v>50</v>
      </c>
      <c r="C72" t="s">
        <v>65</v>
      </c>
    </row>
    <row r="73" spans="1:12" x14ac:dyDescent="0.45">
      <c r="A73" t="str">
        <f>B72</f>
        <v>Croatia</v>
      </c>
      <c r="B73" t="s">
        <v>57</v>
      </c>
      <c r="C73" t="s">
        <v>121</v>
      </c>
      <c r="D73" t="s">
        <v>114</v>
      </c>
    </row>
    <row r="74" spans="1:12" x14ac:dyDescent="0.45">
      <c r="B74" t="s">
        <v>50</v>
      </c>
      <c r="C74">
        <v>1</v>
      </c>
      <c r="D74">
        <v>717.07</v>
      </c>
      <c r="E74" t="s">
        <v>68</v>
      </c>
      <c r="F74">
        <v>0</v>
      </c>
      <c r="G74" t="s">
        <v>69</v>
      </c>
      <c r="H74" t="s">
        <v>70</v>
      </c>
      <c r="I74" t="s">
        <v>115</v>
      </c>
      <c r="J74" t="s">
        <v>70</v>
      </c>
      <c r="K74" t="s">
        <v>95</v>
      </c>
      <c r="L74" t="s">
        <v>122</v>
      </c>
    </row>
    <row r="75" spans="1:12" x14ac:dyDescent="0.45">
      <c r="B75" t="s">
        <v>33</v>
      </c>
      <c r="C75" t="s">
        <v>65</v>
      </c>
    </row>
    <row r="76" spans="1:12" x14ac:dyDescent="0.45">
      <c r="A76" t="str">
        <f>B75</f>
        <v>Uruguay</v>
      </c>
      <c r="B76" t="s">
        <v>57</v>
      </c>
      <c r="C76" t="s">
        <v>123</v>
      </c>
      <c r="D76" t="s">
        <v>114</v>
      </c>
    </row>
    <row r="77" spans="1:12" x14ac:dyDescent="0.45">
      <c r="B77" t="s">
        <v>33</v>
      </c>
      <c r="C77">
        <v>1</v>
      </c>
      <c r="D77">
        <v>673.07</v>
      </c>
      <c r="E77" t="s">
        <v>68</v>
      </c>
      <c r="F77">
        <v>0</v>
      </c>
      <c r="G77" t="s">
        <v>98</v>
      </c>
      <c r="H77" t="s">
        <v>70</v>
      </c>
      <c r="I77" t="s">
        <v>124</v>
      </c>
    </row>
    <row r="78" spans="1:12" x14ac:dyDescent="0.45">
      <c r="B78" t="s">
        <v>35</v>
      </c>
      <c r="C78" t="s">
        <v>65</v>
      </c>
    </row>
    <row r="79" spans="1:12" x14ac:dyDescent="0.45">
      <c r="A79" t="str">
        <f>B78</f>
        <v>Ecuador</v>
      </c>
      <c r="B79" t="s">
        <v>57</v>
      </c>
      <c r="C79" t="s">
        <v>125</v>
      </c>
      <c r="D79" t="s">
        <v>114</v>
      </c>
    </row>
    <row r="80" spans="1:12" x14ac:dyDescent="0.45">
      <c r="B80" t="s">
        <v>35</v>
      </c>
      <c r="C80">
        <v>1</v>
      </c>
      <c r="D80">
        <v>594.78</v>
      </c>
      <c r="E80" t="s">
        <v>68</v>
      </c>
      <c r="F80">
        <v>3</v>
      </c>
      <c r="G80" t="s">
        <v>98</v>
      </c>
      <c r="H80" t="s">
        <v>70</v>
      </c>
      <c r="I80" t="s">
        <v>82</v>
      </c>
    </row>
    <row r="81" spans="1:9" x14ac:dyDescent="0.45">
      <c r="B81" t="s">
        <v>24</v>
      </c>
      <c r="C81" t="s">
        <v>65</v>
      </c>
    </row>
    <row r="82" spans="1:9" x14ac:dyDescent="0.45">
      <c r="A82" t="str">
        <f>B81</f>
        <v>Austria</v>
      </c>
      <c r="B82" t="s">
        <v>57</v>
      </c>
      <c r="C82" t="s">
        <v>126</v>
      </c>
      <c r="D82" t="s">
        <v>114</v>
      </c>
    </row>
    <row r="83" spans="1:9" x14ac:dyDescent="0.45">
      <c r="B83" t="s">
        <v>24</v>
      </c>
      <c r="C83">
        <v>1</v>
      </c>
      <c r="D83">
        <v>593.45000000000005</v>
      </c>
      <c r="E83" t="s">
        <v>68</v>
      </c>
      <c r="F83">
        <v>7</v>
      </c>
      <c r="G83" t="s">
        <v>69</v>
      </c>
      <c r="H83" t="s">
        <v>70</v>
      </c>
      <c r="I83" t="s">
        <v>112</v>
      </c>
    </row>
    <row r="84" spans="1:9" x14ac:dyDescent="0.45">
      <c r="B84" t="s">
        <v>12</v>
      </c>
      <c r="C84" t="s">
        <v>65</v>
      </c>
    </row>
    <row r="85" spans="1:9" x14ac:dyDescent="0.45">
      <c r="A85" t="str">
        <f>B84</f>
        <v>Australia</v>
      </c>
      <c r="B85" t="s">
        <v>57</v>
      </c>
      <c r="C85" t="s">
        <v>127</v>
      </c>
      <c r="D85" t="s">
        <v>114</v>
      </c>
    </row>
    <row r="86" spans="1:9" x14ac:dyDescent="0.45">
      <c r="B86" t="s">
        <v>12</v>
      </c>
      <c r="C86">
        <v>1</v>
      </c>
      <c r="D86">
        <v>580.66999999999996</v>
      </c>
      <c r="E86" t="s">
        <v>68</v>
      </c>
      <c r="F86">
        <v>7</v>
      </c>
      <c r="G86" t="s">
        <v>92</v>
      </c>
      <c r="H86" t="s">
        <v>70</v>
      </c>
      <c r="I86" t="s">
        <v>77</v>
      </c>
    </row>
    <row r="87" spans="1:9" x14ac:dyDescent="0.45">
      <c r="B87" t="s">
        <v>52</v>
      </c>
      <c r="C87" t="s">
        <v>65</v>
      </c>
    </row>
    <row r="88" spans="1:9" x14ac:dyDescent="0.45">
      <c r="A88" t="str">
        <f>B87</f>
        <v>Algeria</v>
      </c>
      <c r="B88" t="s">
        <v>57</v>
      </c>
      <c r="C88" t="s">
        <v>128</v>
      </c>
      <c r="D88" t="s">
        <v>114</v>
      </c>
    </row>
    <row r="89" spans="1:9" x14ac:dyDescent="0.45">
      <c r="B89" t="s">
        <v>52</v>
      </c>
      <c r="C89">
        <v>1</v>
      </c>
      <c r="D89">
        <v>564.26</v>
      </c>
      <c r="E89" t="s">
        <v>68</v>
      </c>
      <c r="F89">
        <v>3</v>
      </c>
      <c r="G89" t="s">
        <v>81</v>
      </c>
      <c r="H89" t="s">
        <v>70</v>
      </c>
      <c r="I89" t="s">
        <v>112</v>
      </c>
    </row>
    <row r="90" spans="1:9" x14ac:dyDescent="0.45">
      <c r="B90" t="s">
        <v>41</v>
      </c>
      <c r="C90" t="s">
        <v>65</v>
      </c>
    </row>
    <row r="91" spans="1:9" x14ac:dyDescent="0.45">
      <c r="A91" t="str">
        <f>B90</f>
        <v>Panama</v>
      </c>
      <c r="B91" t="s">
        <v>57</v>
      </c>
      <c r="C91" t="s">
        <v>129</v>
      </c>
      <c r="D91" t="s">
        <v>114</v>
      </c>
    </row>
    <row r="92" spans="1:9" x14ac:dyDescent="0.45">
      <c r="B92" t="s">
        <v>41</v>
      </c>
      <c r="C92">
        <v>1</v>
      </c>
      <c r="D92">
        <v>540.64</v>
      </c>
      <c r="E92" t="s">
        <v>68</v>
      </c>
      <c r="F92">
        <v>2</v>
      </c>
      <c r="G92" t="s">
        <v>100</v>
      </c>
      <c r="H92" t="s">
        <v>70</v>
      </c>
      <c r="I92" t="s">
        <v>115</v>
      </c>
    </row>
    <row r="93" spans="1:9" x14ac:dyDescent="0.45">
      <c r="B93" t="s">
        <v>47</v>
      </c>
      <c r="C93" t="s">
        <v>65</v>
      </c>
    </row>
    <row r="94" spans="1:9" x14ac:dyDescent="0.45">
      <c r="A94" t="str">
        <f>B93</f>
        <v>Paraguay</v>
      </c>
      <c r="B94" t="s">
        <v>57</v>
      </c>
      <c r="C94" t="s">
        <v>130</v>
      </c>
      <c r="D94" t="s">
        <v>114</v>
      </c>
    </row>
    <row r="95" spans="1:9" x14ac:dyDescent="0.45">
      <c r="B95" t="s">
        <v>47</v>
      </c>
      <c r="C95">
        <v>1</v>
      </c>
      <c r="D95">
        <v>503.5</v>
      </c>
      <c r="E95" t="s">
        <v>68</v>
      </c>
      <c r="F95">
        <v>2</v>
      </c>
      <c r="G95" t="s">
        <v>98</v>
      </c>
      <c r="H95" t="s">
        <v>70</v>
      </c>
      <c r="I95" t="s">
        <v>77</v>
      </c>
    </row>
    <row r="96" spans="1:9" x14ac:dyDescent="0.45">
      <c r="B96" t="s">
        <v>131</v>
      </c>
      <c r="C96" t="s">
        <v>132</v>
      </c>
      <c r="D96" t="s">
        <v>65</v>
      </c>
    </row>
    <row r="97" spans="1:12" x14ac:dyDescent="0.45">
      <c r="A97" t="str">
        <f>_xlfn.CONCAT(B96:C96)</f>
        <v>SouthAfrica</v>
      </c>
      <c r="B97" t="s">
        <v>57</v>
      </c>
      <c r="C97" t="s">
        <v>133</v>
      </c>
      <c r="D97" t="s">
        <v>114</v>
      </c>
    </row>
    <row r="98" spans="1:12" x14ac:dyDescent="0.45">
      <c r="B98" t="s">
        <v>131</v>
      </c>
      <c r="C98" t="s">
        <v>132</v>
      </c>
      <c r="D98">
        <v>1</v>
      </c>
      <c r="E98">
        <v>429.73</v>
      </c>
      <c r="F98" t="s">
        <v>68</v>
      </c>
      <c r="G98">
        <v>-3</v>
      </c>
      <c r="H98" t="s">
        <v>81</v>
      </c>
      <c r="I98" t="s">
        <v>70</v>
      </c>
      <c r="J98" t="s">
        <v>101</v>
      </c>
    </row>
    <row r="99" spans="1:12" x14ac:dyDescent="0.45">
      <c r="B99" t="s">
        <v>134</v>
      </c>
      <c r="C99" t="s">
        <v>135</v>
      </c>
      <c r="D99" t="s">
        <v>65</v>
      </c>
    </row>
    <row r="100" spans="1:12" x14ac:dyDescent="0.45">
      <c r="A100" t="str">
        <f>_xlfn.CONCAT(B99:C99)</f>
        <v>SaudiArabia</v>
      </c>
      <c r="B100" t="s">
        <v>57</v>
      </c>
      <c r="C100" t="s">
        <v>136</v>
      </c>
      <c r="D100" t="s">
        <v>114</v>
      </c>
    </row>
    <row r="101" spans="1:12" x14ac:dyDescent="0.45">
      <c r="B101" t="s">
        <v>134</v>
      </c>
      <c r="C101" t="s">
        <v>135</v>
      </c>
      <c r="D101">
        <v>1</v>
      </c>
      <c r="E101">
        <v>421.43</v>
      </c>
      <c r="F101" t="s">
        <v>68</v>
      </c>
      <c r="G101">
        <v>-8</v>
      </c>
      <c r="H101" t="s">
        <v>92</v>
      </c>
      <c r="I101" t="s">
        <v>70</v>
      </c>
      <c r="J101" t="s">
        <v>124</v>
      </c>
    </row>
    <row r="102" spans="1:12" x14ac:dyDescent="0.45">
      <c r="B102" t="s">
        <v>11</v>
      </c>
      <c r="C102" t="s">
        <v>65</v>
      </c>
    </row>
    <row r="103" spans="1:12" x14ac:dyDescent="0.45">
      <c r="A103" t="str">
        <f>B102</f>
        <v>Haiti</v>
      </c>
      <c r="B103" t="s">
        <v>57</v>
      </c>
      <c r="C103" t="s">
        <v>137</v>
      </c>
      <c r="D103" t="s">
        <v>114</v>
      </c>
    </row>
    <row r="104" spans="1:12" x14ac:dyDescent="0.45">
      <c r="B104" t="s">
        <v>11</v>
      </c>
      <c r="C104">
        <v>1</v>
      </c>
      <c r="D104">
        <v>291.70999999999998</v>
      </c>
      <c r="E104" t="s">
        <v>68</v>
      </c>
      <c r="F104">
        <v>-2</v>
      </c>
      <c r="G104" t="s">
        <v>100</v>
      </c>
      <c r="H104" t="s">
        <v>70</v>
      </c>
      <c r="I104" t="s">
        <v>118</v>
      </c>
    </row>
    <row r="105" spans="1:12" x14ac:dyDescent="0.45">
      <c r="B105" t="s">
        <v>138</v>
      </c>
      <c r="C105" t="s">
        <v>139</v>
      </c>
      <c r="D105" t="s">
        <v>65</v>
      </c>
    </row>
    <row r="106" spans="1:12" x14ac:dyDescent="0.45">
      <c r="A106" t="str">
        <f>_xlfn.CONCAT(B105:C105)</f>
        <v>NewZealand</v>
      </c>
      <c r="B106" t="s">
        <v>57</v>
      </c>
      <c r="C106" t="s">
        <v>140</v>
      </c>
      <c r="D106" t="s">
        <v>114</v>
      </c>
    </row>
    <row r="107" spans="1:12" x14ac:dyDescent="0.45">
      <c r="B107" t="s">
        <v>138</v>
      </c>
      <c r="C107" t="s">
        <v>139</v>
      </c>
      <c r="D107">
        <v>1</v>
      </c>
      <c r="E107">
        <v>281.57</v>
      </c>
      <c r="F107" t="s">
        <v>68</v>
      </c>
      <c r="G107">
        <v>3</v>
      </c>
      <c r="H107" t="s">
        <v>141</v>
      </c>
      <c r="I107" t="s">
        <v>70</v>
      </c>
      <c r="J107" t="s">
        <v>104</v>
      </c>
    </row>
    <row r="108" spans="1:12" x14ac:dyDescent="0.45">
      <c r="B108" t="s">
        <v>19</v>
      </c>
      <c r="C108" t="s">
        <v>65</v>
      </c>
    </row>
    <row r="109" spans="1:12" x14ac:dyDescent="0.45">
      <c r="A109" t="str">
        <f>B108</f>
        <v>Spain</v>
      </c>
      <c r="B109" t="s">
        <v>57</v>
      </c>
      <c r="C109" t="s">
        <v>142</v>
      </c>
      <c r="D109" t="s">
        <v>143</v>
      </c>
    </row>
    <row r="110" spans="1:12" x14ac:dyDescent="0.45">
      <c r="B110" t="s">
        <v>19</v>
      </c>
      <c r="C110">
        <v>1</v>
      </c>
      <c r="D110">
        <v>876.4</v>
      </c>
      <c r="E110" t="s">
        <v>68</v>
      </c>
      <c r="F110">
        <v>-1</v>
      </c>
      <c r="G110" t="s">
        <v>69</v>
      </c>
      <c r="H110" t="s">
        <v>70</v>
      </c>
      <c r="I110" t="s">
        <v>124</v>
      </c>
      <c r="J110" t="s">
        <v>70</v>
      </c>
      <c r="K110" t="s">
        <v>95</v>
      </c>
      <c r="L110" t="s">
        <v>144</v>
      </c>
    </row>
    <row r="111" spans="1:12" x14ac:dyDescent="0.45">
      <c r="B111" t="s">
        <v>23</v>
      </c>
      <c r="C111" t="s">
        <v>65</v>
      </c>
    </row>
    <row r="112" spans="1:12" x14ac:dyDescent="0.45">
      <c r="A112" t="str">
        <f>B111</f>
        <v>Argentina</v>
      </c>
      <c r="B112" t="s">
        <v>57</v>
      </c>
      <c r="C112" t="s">
        <v>145</v>
      </c>
      <c r="D112" t="s">
        <v>143</v>
      </c>
    </row>
    <row r="113" spans="1:12" x14ac:dyDescent="0.45">
      <c r="B113" t="s">
        <v>23</v>
      </c>
      <c r="C113">
        <v>1</v>
      </c>
      <c r="D113">
        <v>874.81</v>
      </c>
      <c r="E113" t="s">
        <v>68</v>
      </c>
      <c r="F113">
        <v>2</v>
      </c>
      <c r="G113" t="s">
        <v>98</v>
      </c>
      <c r="H113" t="s">
        <v>70</v>
      </c>
      <c r="I113" t="s">
        <v>112</v>
      </c>
      <c r="J113" t="s">
        <v>70</v>
      </c>
      <c r="K113" t="s">
        <v>95</v>
      </c>
      <c r="L113" t="s">
        <v>146</v>
      </c>
    </row>
    <row r="114" spans="1:12" x14ac:dyDescent="0.45">
      <c r="B114" t="s">
        <v>10</v>
      </c>
      <c r="C114" t="s">
        <v>65</v>
      </c>
    </row>
    <row r="115" spans="1:12" x14ac:dyDescent="0.45">
      <c r="A115" t="str">
        <f>B114</f>
        <v>Brazil</v>
      </c>
      <c r="B115" t="s">
        <v>57</v>
      </c>
      <c r="C115" t="s">
        <v>147</v>
      </c>
      <c r="D115" t="s">
        <v>143</v>
      </c>
    </row>
    <row r="116" spans="1:12" x14ac:dyDescent="0.45">
      <c r="B116" t="s">
        <v>10</v>
      </c>
      <c r="C116">
        <v>1</v>
      </c>
      <c r="D116">
        <v>761.16</v>
      </c>
      <c r="E116" t="s">
        <v>68</v>
      </c>
      <c r="F116">
        <v>1</v>
      </c>
      <c r="G116" t="s">
        <v>98</v>
      </c>
      <c r="H116" t="s">
        <v>70</v>
      </c>
      <c r="I116" t="s">
        <v>118</v>
      </c>
      <c r="J116" t="s">
        <v>70</v>
      </c>
      <c r="K116" t="s">
        <v>95</v>
      </c>
      <c r="L116" t="s">
        <v>148</v>
      </c>
    </row>
    <row r="117" spans="1:12" x14ac:dyDescent="0.45">
      <c r="B117" t="s">
        <v>149</v>
      </c>
      <c r="C117" t="s">
        <v>150</v>
      </c>
      <c r="D117" t="s">
        <v>65</v>
      </c>
    </row>
    <row r="118" spans="1:12" x14ac:dyDescent="0.45">
      <c r="A118" t="str">
        <f>_xlfn.CONCAT(B117:C117)</f>
        <v>UnitedStates</v>
      </c>
      <c r="B118" t="s">
        <v>57</v>
      </c>
      <c r="C118" t="s">
        <v>151</v>
      </c>
      <c r="D118" t="s">
        <v>143</v>
      </c>
    </row>
    <row r="119" spans="1:12" x14ac:dyDescent="0.45">
      <c r="B119" t="s">
        <v>149</v>
      </c>
      <c r="C119" t="s">
        <v>150</v>
      </c>
      <c r="D119">
        <v>1</v>
      </c>
      <c r="E119">
        <v>673.13</v>
      </c>
      <c r="F119" t="s">
        <v>68</v>
      </c>
      <c r="G119">
        <v>-9</v>
      </c>
      <c r="H119" t="s">
        <v>100</v>
      </c>
      <c r="I119" t="s">
        <v>70</v>
      </c>
      <c r="J119" t="s">
        <v>77</v>
      </c>
    </row>
    <row r="120" spans="1:12" x14ac:dyDescent="0.45">
      <c r="B120" t="s">
        <v>27</v>
      </c>
      <c r="C120" t="s">
        <v>65</v>
      </c>
    </row>
    <row r="121" spans="1:12" x14ac:dyDescent="0.45">
      <c r="A121" t="str">
        <f>B120</f>
        <v>Switzerland</v>
      </c>
      <c r="B121" t="s">
        <v>57</v>
      </c>
      <c r="C121" t="s">
        <v>152</v>
      </c>
      <c r="D121" t="s">
        <v>143</v>
      </c>
    </row>
    <row r="122" spans="1:12" x14ac:dyDescent="0.45">
      <c r="B122" t="s">
        <v>27</v>
      </c>
      <c r="C122">
        <v>1</v>
      </c>
      <c r="D122">
        <v>649.4</v>
      </c>
      <c r="E122" t="s">
        <v>68</v>
      </c>
      <c r="F122">
        <v>-6</v>
      </c>
      <c r="G122" t="s">
        <v>69</v>
      </c>
      <c r="H122" t="s">
        <v>70</v>
      </c>
      <c r="I122" t="s">
        <v>71</v>
      </c>
    </row>
    <row r="123" spans="1:12" x14ac:dyDescent="0.45">
      <c r="B123" t="s">
        <v>20</v>
      </c>
      <c r="C123" t="s">
        <v>65</v>
      </c>
    </row>
    <row r="124" spans="1:12" x14ac:dyDescent="0.45">
      <c r="A124" t="str">
        <f>B123</f>
        <v>Iran</v>
      </c>
      <c r="B124" t="s">
        <v>57</v>
      </c>
      <c r="C124" t="s">
        <v>153</v>
      </c>
      <c r="D124" t="s">
        <v>143</v>
      </c>
    </row>
    <row r="125" spans="1:12" x14ac:dyDescent="0.45">
      <c r="B125" t="s">
        <v>20</v>
      </c>
      <c r="C125">
        <v>1</v>
      </c>
      <c r="D125">
        <v>615.29999999999995</v>
      </c>
      <c r="E125" t="s">
        <v>68</v>
      </c>
      <c r="F125">
        <v>-2</v>
      </c>
      <c r="G125" t="s">
        <v>92</v>
      </c>
      <c r="H125" t="s">
        <v>70</v>
      </c>
      <c r="I125" t="s">
        <v>104</v>
      </c>
    </row>
    <row r="126" spans="1:12" x14ac:dyDescent="0.45">
      <c r="B126" t="s">
        <v>7</v>
      </c>
      <c r="C126" t="s">
        <v>65</v>
      </c>
    </row>
    <row r="127" spans="1:12" x14ac:dyDescent="0.45">
      <c r="A127" t="str">
        <f>B126</f>
        <v>Canada</v>
      </c>
      <c r="B127" t="s">
        <v>57</v>
      </c>
      <c r="C127" t="s">
        <v>154</v>
      </c>
      <c r="D127" t="s">
        <v>143</v>
      </c>
    </row>
    <row r="128" spans="1:12" x14ac:dyDescent="0.45">
      <c r="B128" t="s">
        <v>7</v>
      </c>
      <c r="C128">
        <v>1</v>
      </c>
      <c r="D128">
        <v>556.48</v>
      </c>
      <c r="E128" t="s">
        <v>68</v>
      </c>
      <c r="F128">
        <v>-3</v>
      </c>
      <c r="G128" t="s">
        <v>100</v>
      </c>
      <c r="H128" t="s">
        <v>70</v>
      </c>
      <c r="I128" t="s">
        <v>71</v>
      </c>
    </row>
    <row r="129" spans="1:10" x14ac:dyDescent="0.45">
      <c r="B129" t="s">
        <v>155</v>
      </c>
      <c r="C129" t="s">
        <v>156</v>
      </c>
      <c r="D129" t="s">
        <v>65</v>
      </c>
    </row>
    <row r="130" spans="1:10" x14ac:dyDescent="0.45">
      <c r="A130" t="str">
        <f>_xlfn.CONCAT(B129:C129)</f>
        <v>CapeVerde</v>
      </c>
      <c r="B130" t="s">
        <v>57</v>
      </c>
      <c r="C130" t="s">
        <v>157</v>
      </c>
      <c r="D130" t="s">
        <v>143</v>
      </c>
    </row>
    <row r="131" spans="1:10" x14ac:dyDescent="0.45">
      <c r="B131" t="s">
        <v>155</v>
      </c>
      <c r="C131" t="s">
        <v>156</v>
      </c>
      <c r="D131">
        <v>1</v>
      </c>
      <c r="E131">
        <v>366.13</v>
      </c>
      <c r="F131" t="s">
        <v>68</v>
      </c>
      <c r="G131">
        <v>-4</v>
      </c>
      <c r="H131" t="s">
        <v>81</v>
      </c>
      <c r="I131" t="s">
        <v>70</v>
      </c>
      <c r="J131" t="s">
        <v>124</v>
      </c>
    </row>
    <row r="132" spans="1:10" x14ac:dyDescent="0.45">
      <c r="B132" t="s">
        <v>44</v>
      </c>
      <c r="C132" t="s">
        <v>65</v>
      </c>
    </row>
    <row r="133" spans="1:10" x14ac:dyDescent="0.45">
      <c r="A133" t="str">
        <f>B132</f>
        <v>Curacao</v>
      </c>
      <c r="B133" t="s">
        <v>57</v>
      </c>
      <c r="C133" t="s">
        <v>158</v>
      </c>
      <c r="D133" t="s">
        <v>143</v>
      </c>
    </row>
    <row r="134" spans="1:10" x14ac:dyDescent="0.45">
      <c r="B134" t="s">
        <v>44</v>
      </c>
      <c r="C134">
        <v>1</v>
      </c>
      <c r="D134">
        <v>294.64999999999998</v>
      </c>
      <c r="E134" t="s">
        <v>68</v>
      </c>
      <c r="F134">
        <v>-8</v>
      </c>
      <c r="G134" t="s">
        <v>100</v>
      </c>
      <c r="H134" t="s">
        <v>70</v>
      </c>
      <c r="I134" t="s">
        <v>82</v>
      </c>
    </row>
    <row r="135" spans="1:10" x14ac:dyDescent="0.45">
      <c r="B135" t="s">
        <v>45</v>
      </c>
      <c r="C135" t="s">
        <v>65</v>
      </c>
    </row>
    <row r="136" spans="1:10" x14ac:dyDescent="0.45">
      <c r="A136" t="str">
        <f>B135</f>
        <v>Senegal</v>
      </c>
      <c r="B136" t="s">
        <v>57</v>
      </c>
      <c r="C136" t="s">
        <v>159</v>
      </c>
      <c r="D136" t="s">
        <v>160</v>
      </c>
    </row>
    <row r="137" spans="1:10" x14ac:dyDescent="0.45">
      <c r="B137" t="s">
        <v>45</v>
      </c>
      <c r="C137">
        <v>1</v>
      </c>
      <c r="D137">
        <v>688.99</v>
      </c>
      <c r="E137" t="s">
        <v>68</v>
      </c>
      <c r="F137">
        <v>-18</v>
      </c>
      <c r="G137" t="s">
        <v>81</v>
      </c>
      <c r="H137" t="s">
        <v>70</v>
      </c>
      <c r="I137" t="s">
        <v>86</v>
      </c>
    </row>
    <row r="138" spans="1:10" x14ac:dyDescent="0.45">
      <c r="B138" t="s">
        <v>29</v>
      </c>
      <c r="C138" t="s">
        <v>65</v>
      </c>
    </row>
    <row r="139" spans="1:10" x14ac:dyDescent="0.45">
      <c r="A139" t="str">
        <f>B138</f>
        <v>Ghana</v>
      </c>
      <c r="B139" t="s">
        <v>57</v>
      </c>
      <c r="C139" t="s">
        <v>161</v>
      </c>
      <c r="D139" t="s">
        <v>160</v>
      </c>
    </row>
    <row r="140" spans="1:10" x14ac:dyDescent="0.45">
      <c r="B140" t="s">
        <v>29</v>
      </c>
      <c r="C140">
        <v>1</v>
      </c>
      <c r="D140">
        <v>346.31</v>
      </c>
      <c r="E140" t="s">
        <v>68</v>
      </c>
      <c r="F140">
        <v>-5</v>
      </c>
      <c r="G140" t="s">
        <v>81</v>
      </c>
      <c r="H140" t="s">
        <v>70</v>
      </c>
      <c r="I140" t="s">
        <v>115</v>
      </c>
    </row>
    <row r="141" spans="1:10" x14ac:dyDescent="0.45">
      <c r="B141" t="s">
        <v>131</v>
      </c>
      <c r="C141" t="s">
        <v>162</v>
      </c>
      <c r="D141" t="s">
        <v>65</v>
      </c>
    </row>
    <row r="142" spans="1:10" x14ac:dyDescent="0.45">
      <c r="A142" t="str">
        <f>_xlfn.CONCAT(B141:C141)</f>
        <v>SouthKorea</v>
      </c>
      <c r="B142" t="s">
        <v>57</v>
      </c>
      <c r="C142" t="s">
        <v>163</v>
      </c>
      <c r="D142" t="s">
        <v>164</v>
      </c>
    </row>
    <row r="143" spans="1:10" x14ac:dyDescent="0.45">
      <c r="B143" t="s">
        <v>131</v>
      </c>
      <c r="C143" t="s">
        <v>162</v>
      </c>
      <c r="D143">
        <v>1</v>
      </c>
      <c r="E143">
        <v>588.66</v>
      </c>
      <c r="F143" t="s">
        <v>68</v>
      </c>
      <c r="G143">
        <v>-10</v>
      </c>
      <c r="H143" t="s">
        <v>92</v>
      </c>
      <c r="I143" t="s">
        <v>70</v>
      </c>
      <c r="J143" t="s">
        <v>101</v>
      </c>
    </row>
    <row r="144" spans="1:10" x14ac:dyDescent="0.45">
      <c r="B144" t="s">
        <v>31</v>
      </c>
      <c r="C144" t="s">
        <v>65</v>
      </c>
    </row>
    <row r="145" spans="1:9" x14ac:dyDescent="0.45">
      <c r="A145" t="str">
        <f>B144</f>
        <v>Scotland</v>
      </c>
      <c r="B145" t="s">
        <v>57</v>
      </c>
      <c r="C145" t="s">
        <v>165</v>
      </c>
      <c r="D145" t="s">
        <v>166</v>
      </c>
    </row>
    <row r="146" spans="1:9" x14ac:dyDescent="0.45">
      <c r="B146" t="s">
        <v>31</v>
      </c>
      <c r="C146">
        <v>1</v>
      </c>
      <c r="D146">
        <v>498.35</v>
      </c>
      <c r="E146" t="s">
        <v>68</v>
      </c>
      <c r="F146">
        <v>-9</v>
      </c>
      <c r="G146" t="s">
        <v>69</v>
      </c>
      <c r="H146" t="s">
        <v>70</v>
      </c>
      <c r="I146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A584-4381-4128-9A10-BA8C8A5A8736}">
  <dimension ref="A1:H49"/>
  <sheetViews>
    <sheetView workbookViewId="0">
      <selection sqref="A1:G1048576"/>
    </sheetView>
  </sheetViews>
  <sheetFormatPr defaultRowHeight="14.25" x14ac:dyDescent="0.45"/>
  <cols>
    <col min="3" max="3" width="14.3984375" customWidth="1"/>
    <col min="4" max="4" width="19.73046875" customWidth="1"/>
  </cols>
  <sheetData>
    <row r="1" spans="1:8" x14ac:dyDescent="0.45">
      <c r="A1" t="s">
        <v>57</v>
      </c>
      <c r="B1" t="s">
        <v>167</v>
      </c>
      <c r="C1" t="s">
        <v>168</v>
      </c>
      <c r="D1" t="s">
        <v>169</v>
      </c>
      <c r="H1" t="s">
        <v>170</v>
      </c>
    </row>
    <row r="2" spans="1:8" x14ac:dyDescent="0.45">
      <c r="A2">
        <v>1</v>
      </c>
      <c r="B2" t="s">
        <v>10</v>
      </c>
      <c r="C2" t="s">
        <v>171</v>
      </c>
      <c r="D2" t="s">
        <v>172</v>
      </c>
    </row>
    <row r="3" spans="1:8" x14ac:dyDescent="0.45">
      <c r="A3">
        <v>2</v>
      </c>
      <c r="B3" t="s">
        <v>26</v>
      </c>
      <c r="C3" t="s">
        <v>173</v>
      </c>
      <c r="D3" t="s">
        <v>174</v>
      </c>
    </row>
    <row r="4" spans="1:8" x14ac:dyDescent="0.45">
      <c r="A4">
        <v>3</v>
      </c>
      <c r="B4" t="s">
        <v>175</v>
      </c>
      <c r="C4" t="s">
        <v>176</v>
      </c>
      <c r="D4" t="s">
        <v>177</v>
      </c>
    </row>
    <row r="5" spans="1:8" x14ac:dyDescent="0.45">
      <c r="A5">
        <v>4</v>
      </c>
      <c r="B5" t="s">
        <v>13</v>
      </c>
      <c r="C5" t="s">
        <v>178</v>
      </c>
      <c r="D5" t="s">
        <v>179</v>
      </c>
    </row>
    <row r="6" spans="1:8" x14ac:dyDescent="0.45">
      <c r="A6">
        <v>5</v>
      </c>
      <c r="B6" t="s">
        <v>25</v>
      </c>
      <c r="C6" t="s">
        <v>180</v>
      </c>
      <c r="D6" t="s">
        <v>181</v>
      </c>
    </row>
    <row r="7" spans="1:8" x14ac:dyDescent="0.45">
      <c r="A7">
        <v>6</v>
      </c>
      <c r="B7" t="s">
        <v>28</v>
      </c>
      <c r="C7" t="s">
        <v>182</v>
      </c>
      <c r="D7" t="s">
        <v>181</v>
      </c>
    </row>
    <row r="8" spans="1:8" x14ac:dyDescent="0.45">
      <c r="A8">
        <v>7</v>
      </c>
      <c r="B8" t="s">
        <v>21</v>
      </c>
      <c r="C8" t="s">
        <v>183</v>
      </c>
      <c r="D8" t="s">
        <v>184</v>
      </c>
    </row>
    <row r="9" spans="1:8" x14ac:dyDescent="0.45">
      <c r="A9">
        <v>8</v>
      </c>
      <c r="B9" t="s">
        <v>23</v>
      </c>
      <c r="C9" t="s">
        <v>185</v>
      </c>
      <c r="D9" t="s">
        <v>186</v>
      </c>
    </row>
    <row r="10" spans="1:8" x14ac:dyDescent="0.45">
      <c r="A10">
        <v>9</v>
      </c>
      <c r="B10" t="s">
        <v>14</v>
      </c>
      <c r="C10" t="s">
        <v>187</v>
      </c>
      <c r="D10" t="s">
        <v>186</v>
      </c>
    </row>
    <row r="11" spans="1:8" x14ac:dyDescent="0.45">
      <c r="A11">
        <v>10</v>
      </c>
      <c r="B11" t="s">
        <v>33</v>
      </c>
      <c r="C11" t="s">
        <v>188</v>
      </c>
      <c r="D11" t="s">
        <v>186</v>
      </c>
    </row>
    <row r="12" spans="1:8" x14ac:dyDescent="0.45">
      <c r="A12">
        <v>11</v>
      </c>
      <c r="B12" t="s">
        <v>7</v>
      </c>
      <c r="C12" t="s">
        <v>189</v>
      </c>
      <c r="D12" t="s">
        <v>190</v>
      </c>
    </row>
    <row r="13" spans="1:8" x14ac:dyDescent="0.45">
      <c r="A13">
        <v>12</v>
      </c>
      <c r="B13" t="s">
        <v>5</v>
      </c>
      <c r="C13" t="s">
        <v>191</v>
      </c>
      <c r="D13" t="s">
        <v>190</v>
      </c>
    </row>
    <row r="14" spans="1:8" x14ac:dyDescent="0.45">
      <c r="A14">
        <v>13</v>
      </c>
      <c r="B14" t="s">
        <v>47</v>
      </c>
      <c r="C14" t="s">
        <v>192</v>
      </c>
      <c r="D14" t="s">
        <v>190</v>
      </c>
    </row>
    <row r="15" spans="1:8" x14ac:dyDescent="0.45">
      <c r="A15">
        <v>14</v>
      </c>
      <c r="B15" t="s">
        <v>9</v>
      </c>
      <c r="C15" t="s">
        <v>193</v>
      </c>
      <c r="D15" t="s">
        <v>194</v>
      </c>
    </row>
    <row r="16" spans="1:8" x14ac:dyDescent="0.45">
      <c r="A16">
        <v>15</v>
      </c>
      <c r="B16" t="s">
        <v>195</v>
      </c>
      <c r="C16" t="s">
        <v>196</v>
      </c>
      <c r="D16" t="s">
        <v>197</v>
      </c>
    </row>
    <row r="17" spans="1:4" x14ac:dyDescent="0.45">
      <c r="A17">
        <v>16</v>
      </c>
      <c r="B17" t="s">
        <v>198</v>
      </c>
      <c r="C17" t="s">
        <v>199</v>
      </c>
      <c r="D17" t="s">
        <v>200</v>
      </c>
    </row>
    <row r="18" spans="1:4" x14ac:dyDescent="0.45">
      <c r="A18">
        <v>17</v>
      </c>
      <c r="B18" t="s">
        <v>40</v>
      </c>
      <c r="C18" t="s">
        <v>201</v>
      </c>
      <c r="D18" t="s">
        <v>202</v>
      </c>
    </row>
    <row r="19" spans="1:4" x14ac:dyDescent="0.45">
      <c r="A19">
        <v>18</v>
      </c>
      <c r="B19" t="s">
        <v>35</v>
      </c>
      <c r="C19" t="s">
        <v>203</v>
      </c>
      <c r="D19" t="s">
        <v>202</v>
      </c>
    </row>
    <row r="20" spans="1:4" x14ac:dyDescent="0.45">
      <c r="A20">
        <v>19</v>
      </c>
      <c r="B20" t="s">
        <v>19</v>
      </c>
      <c r="C20" t="s">
        <v>204</v>
      </c>
      <c r="D20" t="s">
        <v>202</v>
      </c>
    </row>
    <row r="21" spans="1:4" x14ac:dyDescent="0.45">
      <c r="A21">
        <v>20</v>
      </c>
      <c r="B21" t="s">
        <v>16</v>
      </c>
      <c r="C21" t="s">
        <v>205</v>
      </c>
      <c r="D21" t="s">
        <v>206</v>
      </c>
    </row>
    <row r="22" spans="1:4" x14ac:dyDescent="0.45">
      <c r="A22">
        <v>21</v>
      </c>
      <c r="B22" t="s">
        <v>27</v>
      </c>
      <c r="C22" t="s">
        <v>207</v>
      </c>
      <c r="D22" t="s">
        <v>208</v>
      </c>
    </row>
    <row r="23" spans="1:4" x14ac:dyDescent="0.45">
      <c r="A23">
        <v>22</v>
      </c>
      <c r="B23" t="s">
        <v>24</v>
      </c>
      <c r="C23" t="s">
        <v>209</v>
      </c>
      <c r="D23" t="s">
        <v>210</v>
      </c>
    </row>
    <row r="24" spans="1:4" x14ac:dyDescent="0.45">
      <c r="A24">
        <v>23</v>
      </c>
      <c r="B24" t="s">
        <v>50</v>
      </c>
      <c r="C24" t="s">
        <v>211</v>
      </c>
      <c r="D24" t="s">
        <v>210</v>
      </c>
    </row>
    <row r="25" spans="1:4" x14ac:dyDescent="0.45">
      <c r="A25">
        <v>24</v>
      </c>
      <c r="B25" t="s">
        <v>52</v>
      </c>
      <c r="C25" t="s">
        <v>212</v>
      </c>
      <c r="D25" t="s">
        <v>213</v>
      </c>
    </row>
    <row r="26" spans="1:4" x14ac:dyDescent="0.45">
      <c r="A26">
        <v>25</v>
      </c>
      <c r="B26" t="s">
        <v>15</v>
      </c>
      <c r="C26" t="s">
        <v>214</v>
      </c>
      <c r="D26" t="s">
        <v>215</v>
      </c>
    </row>
    <row r="27" spans="1:4" x14ac:dyDescent="0.45">
      <c r="A27">
        <v>26</v>
      </c>
      <c r="B27" t="s">
        <v>29</v>
      </c>
      <c r="C27" t="s">
        <v>216</v>
      </c>
      <c r="D27" t="s">
        <v>217</v>
      </c>
    </row>
    <row r="28" spans="1:4" x14ac:dyDescent="0.45">
      <c r="A28">
        <v>27</v>
      </c>
      <c r="B28" t="s">
        <v>45</v>
      </c>
      <c r="C28" t="s">
        <v>218</v>
      </c>
      <c r="D28" t="s">
        <v>219</v>
      </c>
    </row>
    <row r="29" spans="1:4" x14ac:dyDescent="0.45">
      <c r="A29">
        <v>28</v>
      </c>
      <c r="B29" t="s">
        <v>43</v>
      </c>
      <c r="C29" t="s">
        <v>220</v>
      </c>
      <c r="D29" t="s">
        <v>221</v>
      </c>
    </row>
    <row r="30" spans="1:4" x14ac:dyDescent="0.45">
      <c r="A30">
        <v>29</v>
      </c>
      <c r="B30" t="s">
        <v>46</v>
      </c>
      <c r="C30" t="s">
        <v>222</v>
      </c>
      <c r="D30" t="s">
        <v>223</v>
      </c>
    </row>
    <row r="31" spans="1:4" x14ac:dyDescent="0.45">
      <c r="A31">
        <v>30</v>
      </c>
      <c r="B31" t="s">
        <v>224</v>
      </c>
      <c r="C31" t="s">
        <v>225</v>
      </c>
      <c r="D31" t="s">
        <v>226</v>
      </c>
    </row>
    <row r="32" spans="1:4" x14ac:dyDescent="0.45">
      <c r="A32">
        <v>31</v>
      </c>
      <c r="B32" t="s">
        <v>39</v>
      </c>
      <c r="C32" t="s">
        <v>227</v>
      </c>
      <c r="D32" t="s">
        <v>228</v>
      </c>
    </row>
    <row r="33" spans="1:4" x14ac:dyDescent="0.45">
      <c r="A33">
        <v>32</v>
      </c>
      <c r="B33" t="s">
        <v>41</v>
      </c>
      <c r="C33" t="s">
        <v>229</v>
      </c>
      <c r="D33" t="s">
        <v>230</v>
      </c>
    </row>
    <row r="34" spans="1:4" x14ac:dyDescent="0.45">
      <c r="A34">
        <v>33</v>
      </c>
      <c r="B34" t="s">
        <v>12</v>
      </c>
      <c r="C34" t="s">
        <v>231</v>
      </c>
      <c r="D34" t="s">
        <v>232</v>
      </c>
    </row>
    <row r="35" spans="1:4" x14ac:dyDescent="0.45">
      <c r="A35">
        <v>34</v>
      </c>
      <c r="B35" t="s">
        <v>22</v>
      </c>
      <c r="C35" t="s">
        <v>233</v>
      </c>
      <c r="D35" t="s">
        <v>232</v>
      </c>
    </row>
    <row r="36" spans="1:4" x14ac:dyDescent="0.45">
      <c r="A36">
        <v>35</v>
      </c>
      <c r="B36" t="s">
        <v>17</v>
      </c>
      <c r="C36" t="s">
        <v>234</v>
      </c>
      <c r="D36" t="s">
        <v>235</v>
      </c>
    </row>
    <row r="37" spans="1:4" x14ac:dyDescent="0.45">
      <c r="A37">
        <v>36</v>
      </c>
      <c r="B37" t="s">
        <v>37</v>
      </c>
      <c r="C37" t="s">
        <v>236</v>
      </c>
      <c r="D37" t="s">
        <v>237</v>
      </c>
    </row>
    <row r="38" spans="1:4" x14ac:dyDescent="0.45">
      <c r="A38">
        <v>37</v>
      </c>
      <c r="B38" t="s">
        <v>31</v>
      </c>
      <c r="C38" t="s">
        <v>238</v>
      </c>
      <c r="D38" t="s">
        <v>239</v>
      </c>
    </row>
    <row r="39" spans="1:4" x14ac:dyDescent="0.45">
      <c r="A39">
        <v>38</v>
      </c>
      <c r="B39" t="s">
        <v>240</v>
      </c>
      <c r="C39" t="s">
        <v>241</v>
      </c>
      <c r="D39" t="s">
        <v>242</v>
      </c>
    </row>
    <row r="40" spans="1:4" x14ac:dyDescent="0.45">
      <c r="A40">
        <v>39</v>
      </c>
      <c r="B40" t="s">
        <v>34</v>
      </c>
      <c r="C40" t="s">
        <v>243</v>
      </c>
      <c r="D40" t="s">
        <v>244</v>
      </c>
    </row>
    <row r="41" spans="1:4" x14ac:dyDescent="0.45">
      <c r="A41">
        <v>40</v>
      </c>
      <c r="B41" t="s">
        <v>245</v>
      </c>
      <c r="C41" t="s">
        <v>246</v>
      </c>
      <c r="D41" t="s">
        <v>247</v>
      </c>
    </row>
    <row r="42" spans="1:4" x14ac:dyDescent="0.45">
      <c r="A42">
        <v>41</v>
      </c>
      <c r="B42" t="s">
        <v>38</v>
      </c>
      <c r="C42" t="s">
        <v>248</v>
      </c>
      <c r="D42" t="s">
        <v>249</v>
      </c>
    </row>
    <row r="43" spans="1:4" x14ac:dyDescent="0.45">
      <c r="A43">
        <v>42</v>
      </c>
      <c r="B43" t="s">
        <v>42</v>
      </c>
      <c r="C43" t="s">
        <v>250</v>
      </c>
      <c r="D43" t="s">
        <v>251</v>
      </c>
    </row>
    <row r="44" spans="1:4" x14ac:dyDescent="0.45">
      <c r="A44">
        <v>43</v>
      </c>
      <c r="B44" t="s">
        <v>11</v>
      </c>
      <c r="C44" t="s">
        <v>252</v>
      </c>
      <c r="D44" t="s">
        <v>253</v>
      </c>
    </row>
    <row r="45" spans="1:4" x14ac:dyDescent="0.45">
      <c r="A45">
        <v>44</v>
      </c>
      <c r="B45" t="s">
        <v>254</v>
      </c>
      <c r="C45" t="s">
        <v>255</v>
      </c>
      <c r="D45" t="s">
        <v>256</v>
      </c>
    </row>
    <row r="46" spans="1:4" x14ac:dyDescent="0.45">
      <c r="A46">
        <v>45</v>
      </c>
      <c r="B46" t="s">
        <v>49</v>
      </c>
      <c r="C46" t="s">
        <v>257</v>
      </c>
      <c r="D46" t="s">
        <v>258</v>
      </c>
    </row>
    <row r="47" spans="1:4" x14ac:dyDescent="0.45">
      <c r="A47">
        <v>46</v>
      </c>
      <c r="B47" t="s">
        <v>36</v>
      </c>
      <c r="C47" t="s">
        <v>259</v>
      </c>
      <c r="D47" t="s">
        <v>260</v>
      </c>
    </row>
    <row r="48" spans="1:4" x14ac:dyDescent="0.45">
      <c r="A48">
        <v>47</v>
      </c>
      <c r="B48" t="s">
        <v>261</v>
      </c>
      <c r="C48" t="s">
        <v>262</v>
      </c>
      <c r="D48" t="s">
        <v>263</v>
      </c>
    </row>
    <row r="49" spans="1:4" x14ac:dyDescent="0.45">
      <c r="A49">
        <v>48</v>
      </c>
      <c r="B49" t="s">
        <v>264</v>
      </c>
      <c r="C49" t="s">
        <v>265</v>
      </c>
      <c r="D49" t="s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B5E2-7BC7-4A2A-B6CC-9940125E3FD9}">
  <dimension ref="A1:M209"/>
  <sheetViews>
    <sheetView zoomScale="85" zoomScaleNormal="85" workbookViewId="0">
      <selection sqref="A1:G1048576"/>
    </sheetView>
  </sheetViews>
  <sheetFormatPr defaultRowHeight="14.25" x14ac:dyDescent="0.45"/>
  <cols>
    <col min="1" max="1" width="11" customWidth="1"/>
    <col min="4" max="4" width="11.73046875" customWidth="1"/>
    <col min="7" max="7" width="9.86328125" customWidth="1"/>
  </cols>
  <sheetData>
    <row r="1" spans="1:13" ht="114" x14ac:dyDescent="0.45">
      <c r="A1" s="2" t="s">
        <v>267</v>
      </c>
      <c r="B1" s="3" t="s">
        <v>268</v>
      </c>
      <c r="C1" s="4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5" t="s">
        <v>279</v>
      </c>
    </row>
    <row r="2" spans="1:13" x14ac:dyDescent="0.45">
      <c r="A2" s="6">
        <v>46184</v>
      </c>
      <c r="B2" t="s">
        <v>5</v>
      </c>
      <c r="C2" t="s">
        <v>280</v>
      </c>
      <c r="D2">
        <v>178</v>
      </c>
      <c r="E2">
        <v>2500000</v>
      </c>
      <c r="F2">
        <v>15</v>
      </c>
      <c r="G2" s="7">
        <v>0.20626631853785901</v>
      </c>
      <c r="H2">
        <v>127</v>
      </c>
      <c r="I2" t="e">
        <f>_xlfn.XLOOKUP(C2,#REF!,#REF!)</f>
        <v>#REF!</v>
      </c>
      <c r="J2" t="e">
        <f>_xlfn.XLOOKUP(C2,#REF!,#REF!)</f>
        <v>#REF!</v>
      </c>
      <c r="K2" t="e">
        <f>_xlfn.XLOOKUP(C2,#REF!,#REF!)</f>
        <v>#REF!</v>
      </c>
      <c r="L2" t="e">
        <f>_xlfn.XLOOKUP('208Team_match_stat'!C2,#REF!,#REF!)</f>
        <v>#REF!</v>
      </c>
      <c r="M2">
        <v>2</v>
      </c>
    </row>
    <row r="3" spans="1:13" x14ac:dyDescent="0.45">
      <c r="A3" s="6">
        <v>46185</v>
      </c>
      <c r="B3" t="s">
        <v>6</v>
      </c>
      <c r="C3" t="s">
        <v>281</v>
      </c>
      <c r="D3">
        <v>103</v>
      </c>
      <c r="E3">
        <v>2160000</v>
      </c>
      <c r="F3">
        <v>25</v>
      </c>
      <c r="G3" s="7">
        <v>0.33632286995515698</v>
      </c>
      <c r="H3">
        <v>144</v>
      </c>
      <c r="I3" t="e">
        <f>_xlfn.XLOOKUP(C3,#REF!,#REF!)</f>
        <v>#REF!</v>
      </c>
      <c r="J3" t="e">
        <f>_xlfn.XLOOKUP(C3,#REF!,#REF!)</f>
        <v>#REF!</v>
      </c>
      <c r="K3" t="e">
        <f>_xlfn.XLOOKUP(C3,#REF!,#REF!)</f>
        <v>#REF!</v>
      </c>
      <c r="L3" t="e">
        <f>_xlfn.XLOOKUP('208Team_match_stat'!C3,#REF!,#REF!)</f>
        <v>#REF!</v>
      </c>
      <c r="M3">
        <v>2</v>
      </c>
    </row>
    <row r="4" spans="1:13" x14ac:dyDescent="0.45">
      <c r="A4" s="6">
        <v>46185</v>
      </c>
      <c r="B4" t="s">
        <v>7</v>
      </c>
      <c r="C4" t="s">
        <v>282</v>
      </c>
      <c r="D4">
        <v>90</v>
      </c>
      <c r="E4">
        <v>2500000</v>
      </c>
      <c r="F4">
        <v>30</v>
      </c>
      <c r="G4" s="7">
        <v>0.28048780487804881</v>
      </c>
      <c r="H4">
        <v>141</v>
      </c>
      <c r="I4" t="e">
        <f>_xlfn.XLOOKUP(C4,#REF!,#REF!)</f>
        <v>#REF!</v>
      </c>
      <c r="J4" t="e">
        <f>_xlfn.XLOOKUP(C4,#REF!,#REF!)</f>
        <v>#REF!</v>
      </c>
      <c r="K4" t="e">
        <f>_xlfn.XLOOKUP(C4,#REF!,#REF!)</f>
        <v>#REF!</v>
      </c>
      <c r="L4" t="e">
        <f>_xlfn.XLOOKUP('208Team_match_stat'!C4,#REF!,#REF!)</f>
        <v>#REF!</v>
      </c>
      <c r="M4">
        <v>1</v>
      </c>
    </row>
    <row r="5" spans="1:13" x14ac:dyDescent="0.45">
      <c r="A5" s="6">
        <v>46186</v>
      </c>
      <c r="B5" t="s">
        <v>8</v>
      </c>
      <c r="C5" t="s">
        <v>8</v>
      </c>
      <c r="D5">
        <v>287</v>
      </c>
      <c r="E5">
        <v>5200000</v>
      </c>
      <c r="F5">
        <v>16</v>
      </c>
      <c r="G5" s="7">
        <v>0.26602564102564102</v>
      </c>
      <c r="H5">
        <v>134</v>
      </c>
      <c r="I5" t="e">
        <f>_xlfn.XLOOKUP(C5,#REF!,#REF!)</f>
        <v>#REF!</v>
      </c>
      <c r="J5" t="e">
        <f>_xlfn.XLOOKUP(C5,#REF!,#REF!)</f>
        <v>#REF!</v>
      </c>
      <c r="K5" t="e">
        <f>_xlfn.XLOOKUP(C5,#REF!,#REF!)</f>
        <v>#REF!</v>
      </c>
      <c r="L5" t="e">
        <f>_xlfn.XLOOKUP('208Team_match_stat'!C5,#REF!,#REF!)</f>
        <v>#REF!</v>
      </c>
      <c r="M5">
        <v>4</v>
      </c>
    </row>
    <row r="6" spans="1:13" x14ac:dyDescent="0.45">
      <c r="A6" s="6">
        <v>46186</v>
      </c>
      <c r="B6" t="s">
        <v>9</v>
      </c>
      <c r="C6" t="s">
        <v>283</v>
      </c>
      <c r="D6">
        <v>31</v>
      </c>
      <c r="E6">
        <v>2400000</v>
      </c>
      <c r="F6">
        <v>55</v>
      </c>
      <c r="G6" s="7">
        <v>0.2413793103448276</v>
      </c>
      <c r="H6">
        <v>217</v>
      </c>
      <c r="I6" t="e">
        <f>_xlfn.XLOOKUP(C6,#REF!,#REF!)</f>
        <v>#REF!</v>
      </c>
      <c r="J6" t="e">
        <f>_xlfn.XLOOKUP(C6,#REF!,#REF!)</f>
        <v>#REF!</v>
      </c>
      <c r="K6" t="e">
        <f>_xlfn.XLOOKUP(C6,#REF!,#REF!)</f>
        <v>#REF!</v>
      </c>
      <c r="L6" t="e">
        <f>_xlfn.XLOOKUP('208Team_match_stat'!C6,#REF!,#REF!)</f>
        <v>#REF!</v>
      </c>
      <c r="M6">
        <v>1</v>
      </c>
    </row>
    <row r="7" spans="1:13" x14ac:dyDescent="0.45">
      <c r="A7" s="6">
        <v>46186</v>
      </c>
      <c r="B7" t="s">
        <v>10</v>
      </c>
      <c r="C7" t="s">
        <v>284</v>
      </c>
      <c r="D7">
        <v>660</v>
      </c>
      <c r="E7">
        <v>9500000</v>
      </c>
      <c r="F7">
        <v>6</v>
      </c>
      <c r="G7" s="7">
        <v>0.37195121951219512</v>
      </c>
      <c r="H7">
        <v>162</v>
      </c>
      <c r="I7" t="e">
        <f>_xlfn.XLOOKUP(C7,#REF!,#REF!)</f>
        <v>#REF!</v>
      </c>
      <c r="J7" t="e">
        <f>_xlfn.XLOOKUP(C7,#REF!,#REF!)</f>
        <v>#REF!</v>
      </c>
      <c r="K7" t="e">
        <f>_xlfn.XLOOKUP(C7,#REF!,#REF!)</f>
        <v>#REF!</v>
      </c>
      <c r="L7" t="e">
        <f>_xlfn.XLOOKUP('208Team_match_stat'!C7,#REF!,#REF!)</f>
        <v>#REF!</v>
      </c>
      <c r="M7">
        <v>1</v>
      </c>
    </row>
    <row r="8" spans="1:13" x14ac:dyDescent="0.45">
      <c r="A8" s="6">
        <v>46187</v>
      </c>
      <c r="B8" t="s">
        <v>11</v>
      </c>
      <c r="C8" t="s">
        <v>285</v>
      </c>
      <c r="D8">
        <v>2</v>
      </c>
      <c r="E8">
        <v>190000</v>
      </c>
      <c r="F8">
        <v>83</v>
      </c>
      <c r="G8" s="7">
        <v>0.38007380073800739</v>
      </c>
      <c r="H8">
        <v>116</v>
      </c>
      <c r="I8" t="e">
        <f>_xlfn.XLOOKUP(C8,#REF!,#REF!)</f>
        <v>#REF!</v>
      </c>
      <c r="J8" t="e">
        <f>_xlfn.XLOOKUP(C8,#REF!,#REF!)</f>
        <v>#REF!</v>
      </c>
      <c r="K8" t="e">
        <f>_xlfn.XLOOKUP(C8,#REF!,#REF!)</f>
        <v>#REF!</v>
      </c>
      <c r="L8" t="e">
        <f>_xlfn.XLOOKUP('208Team_match_stat'!C8,#REF!,#REF!)</f>
        <v>#REF!</v>
      </c>
      <c r="M8">
        <v>0</v>
      </c>
    </row>
    <row r="9" spans="1:13" x14ac:dyDescent="0.45">
      <c r="A9" s="6">
        <v>46187</v>
      </c>
      <c r="B9" t="s">
        <v>12</v>
      </c>
      <c r="C9" t="s">
        <v>286</v>
      </c>
      <c r="D9">
        <v>111</v>
      </c>
      <c r="E9">
        <v>605000</v>
      </c>
      <c r="F9">
        <v>27</v>
      </c>
      <c r="G9" s="7">
        <v>0.1875</v>
      </c>
      <c r="H9">
        <v>75</v>
      </c>
      <c r="I9" t="e">
        <f>_xlfn.XLOOKUP(C9,#REF!,#REF!)</f>
        <v>#REF!</v>
      </c>
      <c r="J9" t="e">
        <f>_xlfn.XLOOKUP(C9,#REF!,#REF!)</f>
        <v>#REF!</v>
      </c>
      <c r="K9" t="e">
        <f>_xlfn.XLOOKUP(C9,#REF!,#REF!)</f>
        <v>#REF!</v>
      </c>
      <c r="L9" t="e">
        <f>_xlfn.XLOOKUP('208Team_match_stat'!C9,#REF!,#REF!)</f>
        <v>#REF!</v>
      </c>
      <c r="M9">
        <v>2</v>
      </c>
    </row>
    <row r="10" spans="1:13" x14ac:dyDescent="0.45">
      <c r="A10" s="6">
        <v>46187</v>
      </c>
      <c r="B10" t="s">
        <v>13</v>
      </c>
      <c r="C10" t="s">
        <v>287</v>
      </c>
      <c r="D10">
        <v>262</v>
      </c>
      <c r="E10">
        <v>4800000</v>
      </c>
      <c r="F10">
        <v>10</v>
      </c>
      <c r="G10" s="7">
        <v>0.39175257731958762</v>
      </c>
      <c r="H10">
        <v>116</v>
      </c>
      <c r="I10" t="e">
        <f>_xlfn.XLOOKUP(C10,#REF!,#REF!)</f>
        <v>#REF!</v>
      </c>
      <c r="J10" t="e">
        <f>_xlfn.XLOOKUP(C10,#REF!,#REF!)</f>
        <v>#REF!</v>
      </c>
      <c r="K10" t="e">
        <f>_xlfn.XLOOKUP(C10,#REF!,#REF!)</f>
        <v>#REF!</v>
      </c>
      <c r="L10" t="e">
        <f>_xlfn.XLOOKUP('208Team_match_stat'!C10,#REF!,#REF!)</f>
        <v>#REF!</v>
      </c>
      <c r="M10">
        <v>7</v>
      </c>
    </row>
    <row r="11" spans="1:13" x14ac:dyDescent="0.45">
      <c r="A11" s="6">
        <v>46187</v>
      </c>
      <c r="B11" t="s">
        <v>14</v>
      </c>
      <c r="C11" t="s">
        <v>288</v>
      </c>
      <c r="D11">
        <v>148</v>
      </c>
      <c r="E11">
        <v>3000000</v>
      </c>
      <c r="F11">
        <v>7</v>
      </c>
      <c r="G11" s="7">
        <v>0.36624203821656048</v>
      </c>
      <c r="H11">
        <v>163</v>
      </c>
      <c r="I11" t="e">
        <f>_xlfn.XLOOKUP(C11,#REF!,#REF!)</f>
        <v>#REF!</v>
      </c>
      <c r="J11" t="e">
        <f>_xlfn.XLOOKUP(C11,#REF!,#REF!)</f>
        <v>#REF!</v>
      </c>
      <c r="K11" t="e">
        <f>_xlfn.XLOOKUP(C11,#REF!,#REF!)</f>
        <v>#REF!</v>
      </c>
      <c r="L11" t="e">
        <f>_xlfn.XLOOKUP('208Team_match_stat'!C11,#REF!,#REF!)</f>
        <v>#REF!</v>
      </c>
      <c r="M11">
        <v>2</v>
      </c>
    </row>
    <row r="12" spans="1:13" x14ac:dyDescent="0.45">
      <c r="A12" s="6">
        <v>46188</v>
      </c>
      <c r="B12" t="s">
        <v>15</v>
      </c>
      <c r="C12" t="s">
        <v>289</v>
      </c>
      <c r="D12">
        <v>146</v>
      </c>
      <c r="E12">
        <v>1040000</v>
      </c>
      <c r="F12">
        <v>61</v>
      </c>
      <c r="G12" s="7">
        <v>0.20238095238095238</v>
      </c>
      <c r="H12">
        <v>68</v>
      </c>
      <c r="I12" t="e">
        <f>_xlfn.XLOOKUP(C12,#REF!,#REF!)</f>
        <v>#REF!</v>
      </c>
      <c r="J12" t="e">
        <f>_xlfn.XLOOKUP(C12,#REF!,#REF!)</f>
        <v>#REF!</v>
      </c>
      <c r="K12" t="e">
        <f>_xlfn.XLOOKUP(C12,#REF!,#REF!)</f>
        <v>#REF!</v>
      </c>
      <c r="L12" t="e">
        <f>_xlfn.XLOOKUP('208Team_match_stat'!C12,#REF!,#REF!)</f>
        <v>#REF!</v>
      </c>
      <c r="M12">
        <v>1</v>
      </c>
    </row>
    <row r="13" spans="1:13" x14ac:dyDescent="0.45">
      <c r="A13" s="6">
        <v>46188</v>
      </c>
      <c r="B13" t="s">
        <v>16</v>
      </c>
      <c r="C13" t="s">
        <v>290</v>
      </c>
      <c r="D13">
        <v>153</v>
      </c>
      <c r="E13">
        <v>1700000</v>
      </c>
      <c r="F13">
        <v>9</v>
      </c>
      <c r="G13" s="7">
        <v>0.41612903225806452</v>
      </c>
      <c r="H13">
        <v>227</v>
      </c>
      <c r="I13" t="e">
        <f>_xlfn.XLOOKUP(C13,#REF!,#REF!)</f>
        <v>#REF!</v>
      </c>
      <c r="J13" t="e">
        <f>_xlfn.XLOOKUP(C13,#REF!,#REF!)</f>
        <v>#REF!</v>
      </c>
      <c r="K13" t="e">
        <f>_xlfn.XLOOKUP(C13,#REF!,#REF!)</f>
        <v>#REF!</v>
      </c>
      <c r="L13" t="e">
        <f>_xlfn.XLOOKUP('208Team_match_stat'!C13,#REF!,#REF!)</f>
        <v>#REF!</v>
      </c>
      <c r="M13">
        <v>1</v>
      </c>
    </row>
    <row r="14" spans="1:13" x14ac:dyDescent="0.45">
      <c r="A14" s="6">
        <v>46188</v>
      </c>
      <c r="B14" t="s">
        <v>17</v>
      </c>
      <c r="C14" t="s">
        <v>291</v>
      </c>
      <c r="D14">
        <v>151</v>
      </c>
      <c r="E14">
        <v>580000</v>
      </c>
      <c r="F14">
        <v>38</v>
      </c>
      <c r="G14" s="7">
        <v>0.34693877551020408</v>
      </c>
      <c r="H14">
        <v>72</v>
      </c>
      <c r="I14" t="e">
        <f>_xlfn.XLOOKUP(C14,#REF!,#REF!)</f>
        <v>#REF!</v>
      </c>
      <c r="J14" t="e">
        <f>_xlfn.XLOOKUP(C14,#REF!,#REF!)</f>
        <v>#REF!</v>
      </c>
      <c r="K14" t="e">
        <f>_xlfn.XLOOKUP(C14,#REF!,#REF!)</f>
        <v>#REF!</v>
      </c>
      <c r="L14" t="e">
        <f>_xlfn.XLOOKUP('208Team_match_stat'!C14,#REF!,#REF!)</f>
        <v>#REF!</v>
      </c>
      <c r="M14">
        <v>5</v>
      </c>
    </row>
    <row r="15" spans="1:13" x14ac:dyDescent="0.45">
      <c r="A15" s="6">
        <v>46188</v>
      </c>
      <c r="B15" t="s">
        <v>18</v>
      </c>
      <c r="C15" t="s">
        <v>292</v>
      </c>
      <c r="D15">
        <v>84</v>
      </c>
      <c r="E15">
        <v>820000</v>
      </c>
      <c r="F15">
        <v>34</v>
      </c>
      <c r="G15" s="7">
        <v>0.21</v>
      </c>
      <c r="H15">
        <v>87</v>
      </c>
      <c r="I15" t="e">
        <f>_xlfn.XLOOKUP(C15,#REF!,#REF!)</f>
        <v>#REF!</v>
      </c>
      <c r="J15" t="e">
        <f>_xlfn.XLOOKUP(C15,#REF!,#REF!)</f>
        <v>#REF!</v>
      </c>
      <c r="K15" t="e">
        <f>_xlfn.XLOOKUP(C15,#REF!,#REF!)</f>
        <v>#REF!</v>
      </c>
      <c r="L15" t="e">
        <f>_xlfn.XLOOKUP('208Team_match_stat'!C15,#REF!,#REF!)</f>
        <v>#REF!</v>
      </c>
      <c r="M15">
        <v>1</v>
      </c>
    </row>
    <row r="16" spans="1:13" x14ac:dyDescent="0.45">
      <c r="A16" s="6">
        <v>46188</v>
      </c>
      <c r="B16" t="s">
        <v>19</v>
      </c>
      <c r="C16" t="s">
        <v>293</v>
      </c>
      <c r="D16">
        <v>421</v>
      </c>
      <c r="E16">
        <v>2000000</v>
      </c>
      <c r="F16">
        <v>2</v>
      </c>
      <c r="G16" s="7">
        <v>0.29411764705882354</v>
      </c>
      <c r="H16">
        <v>130</v>
      </c>
      <c r="I16" t="e">
        <f>_xlfn.XLOOKUP(C16,#REF!,#REF!)</f>
        <v>#REF!</v>
      </c>
      <c r="J16" t="e">
        <f>_xlfn.XLOOKUP(C16,#REF!,#REF!)</f>
        <v>#REF!</v>
      </c>
      <c r="K16" t="e">
        <f>_xlfn.XLOOKUP(C16,#REF!,#REF!)</f>
        <v>#REF!</v>
      </c>
      <c r="L16" t="e">
        <f>_xlfn.XLOOKUP('208Team_match_stat'!C16,#REF!,#REF!)</f>
        <v>#REF!</v>
      </c>
      <c r="M16">
        <v>0</v>
      </c>
    </row>
    <row r="17" spans="1:13" x14ac:dyDescent="0.45">
      <c r="A17" s="6">
        <v>46189</v>
      </c>
      <c r="B17" t="s">
        <v>20</v>
      </c>
      <c r="C17" t="s">
        <v>294</v>
      </c>
      <c r="D17">
        <v>15</v>
      </c>
      <c r="E17">
        <v>330000</v>
      </c>
      <c r="F17">
        <v>21</v>
      </c>
      <c r="G17" s="7">
        <v>0.38693467336683418</v>
      </c>
      <c r="H17">
        <v>151</v>
      </c>
      <c r="I17" t="e">
        <f>_xlfn.XLOOKUP(C17,#REF!,#REF!)</f>
        <v>#REF!</v>
      </c>
      <c r="J17" t="e">
        <f>_xlfn.XLOOKUP(C17,#REF!,#REF!)</f>
        <v>#REF!</v>
      </c>
      <c r="K17" t="e">
        <f>_xlfn.XLOOKUP(C17,#REF!,#REF!)</f>
        <v>#REF!</v>
      </c>
      <c r="L17" t="e">
        <f>_xlfn.XLOOKUP('208Team_match_stat'!C17,#REF!,#REF!)</f>
        <v>#REF!</v>
      </c>
      <c r="M17">
        <v>2</v>
      </c>
    </row>
    <row r="18" spans="1:13" x14ac:dyDescent="0.45">
      <c r="A18" s="6">
        <v>46189</v>
      </c>
      <c r="B18" t="s">
        <v>21</v>
      </c>
      <c r="C18" t="s">
        <v>295</v>
      </c>
      <c r="D18">
        <v>258</v>
      </c>
      <c r="E18">
        <v>3800000</v>
      </c>
      <c r="F18">
        <v>1</v>
      </c>
      <c r="G18" s="7">
        <v>0.35335689045936397</v>
      </c>
      <c r="H18">
        <v>120</v>
      </c>
      <c r="I18" t="e">
        <f>_xlfn.XLOOKUP(C18,#REF!,#REF!)</f>
        <v>#REF!</v>
      </c>
      <c r="J18" t="e">
        <f>_xlfn.XLOOKUP(C18,#REF!,#REF!)</f>
        <v>#REF!</v>
      </c>
      <c r="K18" t="e">
        <f>_xlfn.XLOOKUP(C18,#REF!,#REF!)</f>
        <v>#REF!</v>
      </c>
      <c r="L18" t="e">
        <f>_xlfn.XLOOKUP('208Team_match_stat'!C18,#REF!,#REF!)</f>
        <v>#REF!</v>
      </c>
      <c r="M18">
        <v>3</v>
      </c>
    </row>
    <row r="19" spans="1:13" x14ac:dyDescent="0.45">
      <c r="A19" s="6">
        <v>46189</v>
      </c>
      <c r="B19" t="s">
        <v>22</v>
      </c>
      <c r="C19" t="s">
        <v>296</v>
      </c>
      <c r="D19">
        <v>116</v>
      </c>
      <c r="E19">
        <v>605000</v>
      </c>
      <c r="F19">
        <v>57</v>
      </c>
      <c r="G19" s="7">
        <v>0.26254826254826252</v>
      </c>
      <c r="H19">
        <v>89</v>
      </c>
      <c r="I19" t="e">
        <f>_xlfn.XLOOKUP(C19,#REF!,#REF!)</f>
        <v>#REF!</v>
      </c>
      <c r="J19" t="e">
        <f>_xlfn.XLOOKUP(C19,#REF!,#REF!)</f>
        <v>#REF!</v>
      </c>
      <c r="K19" t="e">
        <f>_xlfn.XLOOKUP(C19,#REF!,#REF!)</f>
        <v>#REF!</v>
      </c>
      <c r="L19" t="e">
        <f>_xlfn.XLOOKUP('208Team_match_stat'!C19,#REF!,#REF!)</f>
        <v>#REF!</v>
      </c>
      <c r="M19">
        <v>1</v>
      </c>
    </row>
    <row r="20" spans="1:13" x14ac:dyDescent="0.45">
      <c r="A20" s="6">
        <v>46190</v>
      </c>
      <c r="B20" t="s">
        <v>23</v>
      </c>
      <c r="C20" t="s">
        <v>297</v>
      </c>
      <c r="D20">
        <v>465</v>
      </c>
      <c r="E20">
        <v>3000000</v>
      </c>
      <c r="F20">
        <v>3</v>
      </c>
      <c r="G20" s="7">
        <v>0.46419753086419752</v>
      </c>
      <c r="H20">
        <v>241</v>
      </c>
      <c r="I20" t="e">
        <f>_xlfn.XLOOKUP(C20,#REF!,#REF!)</f>
        <v>#REF!</v>
      </c>
      <c r="J20" t="e">
        <f>_xlfn.XLOOKUP(C20,#REF!,#REF!)</f>
        <v>#REF!</v>
      </c>
      <c r="K20" t="e">
        <f>_xlfn.XLOOKUP(C20,#REF!,#REF!)</f>
        <v>#REF!</v>
      </c>
      <c r="L20" t="e">
        <f>_xlfn.XLOOKUP('208Team_match_stat'!C20,#REF!,#REF!)</f>
        <v>#REF!</v>
      </c>
      <c r="M20">
        <v>3</v>
      </c>
    </row>
    <row r="21" spans="1:13" x14ac:dyDescent="0.45">
      <c r="A21" s="6">
        <v>46190</v>
      </c>
      <c r="B21" t="s">
        <v>24</v>
      </c>
      <c r="C21" t="s">
        <v>298</v>
      </c>
      <c r="D21">
        <v>73</v>
      </c>
      <c r="E21">
        <v>1500000</v>
      </c>
      <c r="F21">
        <v>24</v>
      </c>
      <c r="G21" s="7">
        <v>0.29044117647058826</v>
      </c>
      <c r="H21">
        <v>154</v>
      </c>
      <c r="I21" t="e">
        <f>_xlfn.XLOOKUP(C21,#REF!,#REF!)</f>
        <v>#REF!</v>
      </c>
      <c r="J21" t="e">
        <f>_xlfn.XLOOKUP(C21,#REF!,#REF!)</f>
        <v>#REF!</v>
      </c>
      <c r="K21" t="e">
        <f>_xlfn.XLOOKUP(C21,#REF!,#REF!)</f>
        <v>#REF!</v>
      </c>
      <c r="L21" t="e">
        <f>_xlfn.XLOOKUP('208Team_match_stat'!C21,#REF!,#REF!)</f>
        <v>#REF!</v>
      </c>
      <c r="M21">
        <v>3</v>
      </c>
    </row>
    <row r="22" spans="1:13" x14ac:dyDescent="0.45">
      <c r="A22" s="6">
        <v>46190</v>
      </c>
      <c r="B22" t="s">
        <v>25</v>
      </c>
      <c r="C22" t="s">
        <v>299</v>
      </c>
      <c r="D22">
        <v>315</v>
      </c>
      <c r="E22">
        <v>4000000</v>
      </c>
      <c r="F22">
        <v>5</v>
      </c>
      <c r="G22" s="7">
        <v>0.40976645435244163</v>
      </c>
      <c r="H22">
        <v>266</v>
      </c>
      <c r="I22" t="e">
        <f>_xlfn.XLOOKUP(C22,#REF!,#REF!)</f>
        <v>#REF!</v>
      </c>
      <c r="J22" t="e">
        <f>_xlfn.XLOOKUP(C22,#REF!,#REF!)</f>
        <v>#REF!</v>
      </c>
      <c r="K22" t="e">
        <f>_xlfn.XLOOKUP(C22,#REF!,#REF!)</f>
        <v>#REF!</v>
      </c>
      <c r="L22" t="e">
        <f>_xlfn.XLOOKUP('208Team_match_stat'!C22,#REF!,#REF!)</f>
        <v>#REF!</v>
      </c>
      <c r="M22">
        <v>1</v>
      </c>
    </row>
    <row r="23" spans="1:13" x14ac:dyDescent="0.45">
      <c r="A23" s="6">
        <v>46190</v>
      </c>
      <c r="B23" t="s">
        <v>26</v>
      </c>
      <c r="C23" t="s">
        <v>300</v>
      </c>
      <c r="D23">
        <v>399</v>
      </c>
      <c r="E23">
        <v>5800000</v>
      </c>
      <c r="F23">
        <v>4</v>
      </c>
      <c r="G23" s="7">
        <v>0.40606060606060607</v>
      </c>
      <c r="H23">
        <v>169</v>
      </c>
      <c r="I23" t="e">
        <f>_xlfn.XLOOKUP(C23,#REF!,#REF!)</f>
        <v>#REF!</v>
      </c>
      <c r="J23" t="e">
        <f>_xlfn.XLOOKUP(C23,#REF!,#REF!)</f>
        <v>#REF!</v>
      </c>
      <c r="K23" t="e">
        <f>_xlfn.XLOOKUP(C23,#REF!,#REF!)</f>
        <v>#REF!</v>
      </c>
      <c r="L23" t="e">
        <f>_xlfn.XLOOKUP('208Team_match_stat'!C23,#REF!,#REF!)</f>
        <v>#REF!</v>
      </c>
      <c r="M23">
        <v>4</v>
      </c>
    </row>
    <row r="24" spans="1:13" x14ac:dyDescent="0.45">
      <c r="A24" s="6">
        <v>46191</v>
      </c>
      <c r="B24" t="s">
        <v>7</v>
      </c>
      <c r="C24" t="s">
        <v>282</v>
      </c>
      <c r="D24">
        <v>90</v>
      </c>
      <c r="E24">
        <v>2500000</v>
      </c>
      <c r="F24">
        <v>30</v>
      </c>
      <c r="G24" s="7">
        <v>0.28048780487804881</v>
      </c>
      <c r="H24">
        <v>141</v>
      </c>
      <c r="I24" t="e">
        <f>_xlfn.XLOOKUP(C24,#REF!,#REF!)</f>
        <v>#REF!</v>
      </c>
      <c r="J24" t="e">
        <f>_xlfn.XLOOKUP(C24,#REF!,#REF!)</f>
        <v>#REF!</v>
      </c>
      <c r="K24" t="e">
        <f>_xlfn.XLOOKUP(C24,#REF!,#REF!)</f>
        <v>#REF!</v>
      </c>
      <c r="L24" t="e">
        <f>_xlfn.XLOOKUP('208Team_match_stat'!C24,#REF!,#REF!)</f>
        <v>#REF!</v>
      </c>
      <c r="M24">
        <v>6</v>
      </c>
    </row>
    <row r="25" spans="1:13" x14ac:dyDescent="0.45">
      <c r="A25" s="6">
        <v>46191</v>
      </c>
      <c r="B25" t="s">
        <v>27</v>
      </c>
      <c r="C25" t="s">
        <v>301</v>
      </c>
      <c r="D25">
        <v>84</v>
      </c>
      <c r="E25">
        <v>1600000</v>
      </c>
      <c r="F25">
        <v>19</v>
      </c>
      <c r="G25" s="7">
        <v>0.24242424242424243</v>
      </c>
      <c r="H25">
        <v>134</v>
      </c>
      <c r="I25" t="e">
        <f>_xlfn.XLOOKUP(C25,#REF!,#REF!)</f>
        <v>#REF!</v>
      </c>
      <c r="J25" t="e">
        <f>_xlfn.XLOOKUP(C25,#REF!,#REF!)</f>
        <v>#REF!</v>
      </c>
      <c r="K25" t="e">
        <f>_xlfn.XLOOKUP(C25,#REF!,#REF!)</f>
        <v>#REF!</v>
      </c>
      <c r="L25" t="e">
        <f>_xlfn.XLOOKUP('208Team_match_stat'!C25,#REF!,#REF!)</f>
        <v>#REF!</v>
      </c>
      <c r="M25">
        <v>4</v>
      </c>
    </row>
    <row r="26" spans="1:13" x14ac:dyDescent="0.45">
      <c r="A26" s="6">
        <v>46191</v>
      </c>
      <c r="B26" t="s">
        <v>28</v>
      </c>
      <c r="C26" t="s">
        <v>302</v>
      </c>
      <c r="D26">
        <v>42</v>
      </c>
      <c r="E26">
        <v>4000000</v>
      </c>
      <c r="F26">
        <v>50</v>
      </c>
      <c r="G26" s="7">
        <v>0.36363636363636365</v>
      </c>
      <c r="H26">
        <v>121</v>
      </c>
      <c r="I26" t="e">
        <f>_xlfn.XLOOKUP(C26,#REF!,#REF!)</f>
        <v>#REF!</v>
      </c>
      <c r="J26" t="e">
        <f>_xlfn.XLOOKUP(C26,#REF!,#REF!)</f>
        <v>#REF!</v>
      </c>
      <c r="K26" t="e">
        <f>_xlfn.XLOOKUP(C26,#REF!,#REF!)</f>
        <v>#REF!</v>
      </c>
      <c r="L26" t="e">
        <f>_xlfn.XLOOKUP('208Team_match_stat'!C26,#REF!,#REF!)</f>
        <v>#REF!</v>
      </c>
      <c r="M26">
        <v>1</v>
      </c>
    </row>
    <row r="27" spans="1:13" x14ac:dyDescent="0.45">
      <c r="A27" s="6">
        <v>46191</v>
      </c>
      <c r="B27" t="s">
        <v>29</v>
      </c>
      <c r="C27" t="s">
        <v>303</v>
      </c>
      <c r="D27">
        <v>102</v>
      </c>
      <c r="E27">
        <v>935000</v>
      </c>
      <c r="F27">
        <v>74</v>
      </c>
      <c r="G27" s="7">
        <v>0.17110266159695817</v>
      </c>
      <c r="H27">
        <v>70</v>
      </c>
      <c r="I27" t="e">
        <f>_xlfn.XLOOKUP(C27,#REF!,#REF!)</f>
        <v>#REF!</v>
      </c>
      <c r="J27" t="e">
        <f>_xlfn.XLOOKUP(C27,#REF!,#REF!)</f>
        <v>#REF!</v>
      </c>
      <c r="K27" t="e">
        <f>_xlfn.XLOOKUP(C27,#REF!,#REF!)</f>
        <v>#REF!</v>
      </c>
      <c r="L27" t="e">
        <f>_xlfn.XLOOKUP('208Team_match_stat'!C27,#REF!,#REF!)</f>
        <v>#REF!</v>
      </c>
      <c r="M27">
        <v>1</v>
      </c>
    </row>
    <row r="28" spans="1:13" x14ac:dyDescent="0.45">
      <c r="A28" s="6">
        <v>46191</v>
      </c>
      <c r="B28" t="s">
        <v>30</v>
      </c>
      <c r="C28" t="s">
        <v>304</v>
      </c>
      <c r="D28">
        <v>100</v>
      </c>
      <c r="E28">
        <v>180000</v>
      </c>
      <c r="F28">
        <v>41</v>
      </c>
      <c r="G28" s="7">
        <v>0.2560386473429952</v>
      </c>
      <c r="H28">
        <v>100</v>
      </c>
      <c r="I28" t="e">
        <f>_xlfn.XLOOKUP(C28,#REF!,#REF!)</f>
        <v>#REF!</v>
      </c>
      <c r="J28" t="e">
        <f>_xlfn.XLOOKUP(C28,#REF!,#REF!)</f>
        <v>#REF!</v>
      </c>
      <c r="K28" t="e">
        <f>_xlfn.XLOOKUP(C28,#REF!,#REF!)</f>
        <v>#REF!</v>
      </c>
      <c r="L28" t="e">
        <f>_xlfn.XLOOKUP('208Team_match_stat'!C28,#REF!,#REF!)</f>
        <v>#REF!</v>
      </c>
      <c r="M28">
        <v>1</v>
      </c>
    </row>
    <row r="29" spans="1:13" x14ac:dyDescent="0.45">
      <c r="A29" s="6">
        <v>46192</v>
      </c>
      <c r="B29" t="s">
        <v>5</v>
      </c>
      <c r="C29" t="s">
        <v>280</v>
      </c>
      <c r="D29">
        <v>178</v>
      </c>
      <c r="E29">
        <v>2500000</v>
      </c>
      <c r="F29">
        <v>15</v>
      </c>
      <c r="G29" s="7">
        <v>0.20626631853785901</v>
      </c>
      <c r="H29">
        <v>127</v>
      </c>
      <c r="I29" t="e">
        <f>_xlfn.XLOOKUP(C29,#REF!,#REF!)</f>
        <v>#REF!</v>
      </c>
      <c r="J29" t="e">
        <f>_xlfn.XLOOKUP(C29,#REF!,#REF!)</f>
        <v>#REF!</v>
      </c>
      <c r="K29" t="e">
        <f>_xlfn.XLOOKUP(C29,#REF!,#REF!)</f>
        <v>#REF!</v>
      </c>
      <c r="L29" t="e">
        <f>_xlfn.XLOOKUP('208Team_match_stat'!C29,#REF!,#REF!)</f>
        <v>#REF!</v>
      </c>
      <c r="M29">
        <v>1</v>
      </c>
    </row>
    <row r="30" spans="1:13" x14ac:dyDescent="0.45">
      <c r="A30" s="6">
        <v>46192</v>
      </c>
      <c r="B30" t="s">
        <v>8</v>
      </c>
      <c r="C30" t="s">
        <v>8</v>
      </c>
      <c r="D30">
        <v>287</v>
      </c>
      <c r="E30">
        <v>5200000</v>
      </c>
      <c r="F30">
        <v>16</v>
      </c>
      <c r="G30" s="7">
        <v>0.26602564102564102</v>
      </c>
      <c r="H30">
        <v>134</v>
      </c>
      <c r="I30" t="e">
        <f>_xlfn.XLOOKUP(C30,#REF!,#REF!)</f>
        <v>#REF!</v>
      </c>
      <c r="J30" t="e">
        <f>_xlfn.XLOOKUP(C30,#REF!,#REF!)</f>
        <v>#REF!</v>
      </c>
      <c r="K30" t="e">
        <f>_xlfn.XLOOKUP(C30,#REF!,#REF!)</f>
        <v>#REF!</v>
      </c>
      <c r="L30" t="e">
        <f>_xlfn.XLOOKUP('208Team_match_stat'!C30,#REF!,#REF!)</f>
        <v>#REF!</v>
      </c>
      <c r="M30">
        <v>2</v>
      </c>
    </row>
    <row r="31" spans="1:13" x14ac:dyDescent="0.45">
      <c r="A31" s="6">
        <v>46192</v>
      </c>
      <c r="B31" t="s">
        <v>31</v>
      </c>
      <c r="C31" t="s">
        <v>305</v>
      </c>
      <c r="D31">
        <v>139</v>
      </c>
      <c r="E31">
        <v>500000</v>
      </c>
      <c r="F31">
        <v>43</v>
      </c>
      <c r="G31" s="7">
        <v>0.20496894409937888</v>
      </c>
      <c r="H31">
        <v>99</v>
      </c>
      <c r="I31" t="e">
        <f>_xlfn.XLOOKUP(C31,#REF!,#REF!)</f>
        <v>#REF!</v>
      </c>
      <c r="J31" t="e">
        <f>_xlfn.XLOOKUP(C31,#REF!,#REF!)</f>
        <v>#REF!</v>
      </c>
      <c r="K31" t="e">
        <f>_xlfn.XLOOKUP(C31,#REF!,#REF!)</f>
        <v>#REF!</v>
      </c>
      <c r="L31" t="e">
        <f>_xlfn.XLOOKUP('208Team_match_stat'!C31,#REF!,#REF!)</f>
        <v>#REF!</v>
      </c>
      <c r="M31">
        <v>0</v>
      </c>
    </row>
    <row r="32" spans="1:13" x14ac:dyDescent="0.45">
      <c r="A32" s="6">
        <v>46193</v>
      </c>
      <c r="B32" t="s">
        <v>10</v>
      </c>
      <c r="C32" t="s">
        <v>284</v>
      </c>
      <c r="D32">
        <v>660</v>
      </c>
      <c r="E32">
        <v>9500000</v>
      </c>
      <c r="F32">
        <v>6</v>
      </c>
      <c r="G32" s="7">
        <v>0.37195121951219512</v>
      </c>
      <c r="H32">
        <v>162</v>
      </c>
      <c r="I32" t="e">
        <f>_xlfn.XLOOKUP(C32,#REF!,#REF!)</f>
        <v>#REF!</v>
      </c>
      <c r="J32" t="e">
        <f>_xlfn.XLOOKUP(C32,#REF!,#REF!)</f>
        <v>#REF!</v>
      </c>
      <c r="K32" t="e">
        <f>_xlfn.XLOOKUP(C32,#REF!,#REF!)</f>
        <v>#REF!</v>
      </c>
      <c r="L32" t="e">
        <f>_xlfn.XLOOKUP('208Team_match_stat'!C32,#REF!,#REF!)</f>
        <v>#REF!</v>
      </c>
      <c r="M32">
        <v>3</v>
      </c>
    </row>
    <row r="33" spans="1:13" x14ac:dyDescent="0.45">
      <c r="A33" s="6">
        <v>46193</v>
      </c>
      <c r="B33" t="s">
        <v>32</v>
      </c>
      <c r="C33" t="s">
        <v>306</v>
      </c>
      <c r="D33">
        <v>146</v>
      </c>
      <c r="E33">
        <v>2200000</v>
      </c>
      <c r="F33">
        <v>22</v>
      </c>
      <c r="G33" s="7">
        <v>0.17647058823529413</v>
      </c>
      <c r="H33">
        <v>100</v>
      </c>
      <c r="I33" t="e">
        <f>_xlfn.XLOOKUP(C33,#REF!,#REF!)</f>
        <v>#REF!</v>
      </c>
      <c r="J33" t="e">
        <f>_xlfn.XLOOKUP(C33,#REF!,#REF!)</f>
        <v>#REF!</v>
      </c>
      <c r="K33" t="e">
        <f>_xlfn.XLOOKUP(C33,#REF!,#REF!)</f>
        <v>#REF!</v>
      </c>
      <c r="L33" t="e">
        <f>_xlfn.XLOOKUP('208Team_match_stat'!C33,#REF!,#REF!)</f>
        <v>#REF!</v>
      </c>
      <c r="M33">
        <v>0</v>
      </c>
    </row>
    <row r="34" spans="1:13" x14ac:dyDescent="0.45">
      <c r="A34" s="6">
        <v>46193</v>
      </c>
      <c r="B34" t="s">
        <v>14</v>
      </c>
      <c r="C34" t="s">
        <v>288</v>
      </c>
      <c r="D34">
        <v>148</v>
      </c>
      <c r="E34">
        <v>3000000</v>
      </c>
      <c r="F34">
        <v>7</v>
      </c>
      <c r="G34" s="7">
        <v>0.36624203821656048</v>
      </c>
      <c r="H34">
        <v>163</v>
      </c>
      <c r="I34" t="e">
        <f>_xlfn.XLOOKUP(C34,#REF!,#REF!)</f>
        <v>#REF!</v>
      </c>
      <c r="J34" t="e">
        <f>_xlfn.XLOOKUP(C34,#REF!,#REF!)</f>
        <v>#REF!</v>
      </c>
      <c r="K34" t="e">
        <f>_xlfn.XLOOKUP(C34,#REF!,#REF!)</f>
        <v>#REF!</v>
      </c>
      <c r="L34" t="e">
        <f>_xlfn.XLOOKUP('208Team_match_stat'!C34,#REF!,#REF!)</f>
        <v>#REF!</v>
      </c>
      <c r="M34">
        <v>5</v>
      </c>
    </row>
    <row r="35" spans="1:13" x14ac:dyDescent="0.45">
      <c r="A35" s="6">
        <v>46193</v>
      </c>
      <c r="B35" t="s">
        <v>13</v>
      </c>
      <c r="C35" t="s">
        <v>287</v>
      </c>
      <c r="D35">
        <v>262</v>
      </c>
      <c r="E35">
        <v>4800000</v>
      </c>
      <c r="F35">
        <v>10</v>
      </c>
      <c r="G35" s="7">
        <v>0.39175257731958762</v>
      </c>
      <c r="H35">
        <v>116</v>
      </c>
      <c r="I35" t="e">
        <f>_xlfn.XLOOKUP(C35,#REF!,#REF!)</f>
        <v>#REF!</v>
      </c>
      <c r="J35" t="e">
        <f>_xlfn.XLOOKUP(C35,#REF!,#REF!)</f>
        <v>#REF!</v>
      </c>
      <c r="K35" t="e">
        <f>_xlfn.XLOOKUP(C35,#REF!,#REF!)</f>
        <v>#REF!</v>
      </c>
      <c r="L35" t="e">
        <f>_xlfn.XLOOKUP('208Team_match_stat'!C35,#REF!,#REF!)</f>
        <v>#REF!</v>
      </c>
      <c r="M35">
        <v>2</v>
      </c>
    </row>
    <row r="36" spans="1:13" x14ac:dyDescent="0.45">
      <c r="A36" s="6">
        <v>46194</v>
      </c>
      <c r="B36" t="s">
        <v>19</v>
      </c>
      <c r="C36" t="s">
        <v>293</v>
      </c>
      <c r="D36">
        <v>421</v>
      </c>
      <c r="E36">
        <v>2000000</v>
      </c>
      <c r="F36">
        <v>2</v>
      </c>
      <c r="G36" s="7">
        <v>0.29411764705882354</v>
      </c>
      <c r="H36">
        <v>130</v>
      </c>
      <c r="I36" t="e">
        <f>_xlfn.XLOOKUP(C36,#REF!,#REF!)</f>
        <v>#REF!</v>
      </c>
      <c r="J36" t="e">
        <f>_xlfn.XLOOKUP(C36,#REF!,#REF!)</f>
        <v>#REF!</v>
      </c>
      <c r="K36" t="e">
        <f>_xlfn.XLOOKUP(C36,#REF!,#REF!)</f>
        <v>#REF!</v>
      </c>
      <c r="L36" t="e">
        <f>_xlfn.XLOOKUP('208Team_match_stat'!C36,#REF!,#REF!)</f>
        <v>#REF!</v>
      </c>
      <c r="M36">
        <v>4</v>
      </c>
    </row>
    <row r="37" spans="1:13" x14ac:dyDescent="0.45">
      <c r="A37" s="6">
        <v>46194</v>
      </c>
      <c r="B37" t="s">
        <v>33</v>
      </c>
      <c r="C37" t="s">
        <v>307</v>
      </c>
      <c r="D37">
        <v>203</v>
      </c>
      <c r="E37">
        <v>3000000</v>
      </c>
      <c r="F37">
        <v>17</v>
      </c>
      <c r="G37" s="7">
        <v>0.1702127659574468</v>
      </c>
      <c r="H37">
        <v>77</v>
      </c>
      <c r="I37" t="e">
        <f>_xlfn.XLOOKUP(C37,#REF!,#REF!)</f>
        <v>#REF!</v>
      </c>
      <c r="J37" t="e">
        <f>_xlfn.XLOOKUP(C37,#REF!,#REF!)</f>
        <v>#REF!</v>
      </c>
      <c r="K37" t="e">
        <f>_xlfn.XLOOKUP(C37,#REF!,#REF!)</f>
        <v>#REF!</v>
      </c>
      <c r="L37" t="e">
        <f>_xlfn.XLOOKUP('208Team_match_stat'!C37,#REF!,#REF!)</f>
        <v>#REF!</v>
      </c>
      <c r="M37">
        <v>2</v>
      </c>
    </row>
    <row r="38" spans="1:13" x14ac:dyDescent="0.45">
      <c r="A38" s="6">
        <v>46194</v>
      </c>
      <c r="B38" t="s">
        <v>16</v>
      </c>
      <c r="C38" t="s">
        <v>290</v>
      </c>
      <c r="D38">
        <v>153</v>
      </c>
      <c r="E38">
        <v>1700000</v>
      </c>
      <c r="F38">
        <v>9</v>
      </c>
      <c r="G38" s="7">
        <v>0.41612903225806452</v>
      </c>
      <c r="H38">
        <v>227</v>
      </c>
      <c r="I38" t="e">
        <f>_xlfn.XLOOKUP(C38,#REF!,#REF!)</f>
        <v>#REF!</v>
      </c>
      <c r="J38" t="e">
        <f>_xlfn.XLOOKUP(C38,#REF!,#REF!)</f>
        <v>#REF!</v>
      </c>
      <c r="K38" t="e">
        <f>_xlfn.XLOOKUP(C38,#REF!,#REF!)</f>
        <v>#REF!</v>
      </c>
      <c r="L38" t="e">
        <f>_xlfn.XLOOKUP('208Team_match_stat'!C38,#REF!,#REF!)</f>
        <v>#REF!</v>
      </c>
      <c r="M38">
        <v>0</v>
      </c>
    </row>
    <row r="39" spans="1:13" x14ac:dyDescent="0.45">
      <c r="A39" s="6">
        <v>46194</v>
      </c>
      <c r="B39" t="s">
        <v>34</v>
      </c>
      <c r="C39" t="s">
        <v>308</v>
      </c>
      <c r="D39">
        <v>109</v>
      </c>
      <c r="E39">
        <v>350000</v>
      </c>
      <c r="F39">
        <v>44</v>
      </c>
      <c r="G39" s="7">
        <v>0.17757009345794392</v>
      </c>
      <c r="H39">
        <v>45</v>
      </c>
      <c r="I39" t="e">
        <f>_xlfn.XLOOKUP(C39,#REF!,#REF!)</f>
        <v>#REF!</v>
      </c>
      <c r="J39" t="e">
        <f>_xlfn.XLOOKUP(C39,#REF!,#REF!)</f>
        <v>#REF!</v>
      </c>
      <c r="K39" t="e">
        <f>_xlfn.XLOOKUP(C39,#REF!,#REF!)</f>
        <v>#REF!</v>
      </c>
      <c r="L39" t="e">
        <f>_xlfn.XLOOKUP('208Team_match_stat'!C39,#REF!,#REF!)</f>
        <v>#REF!</v>
      </c>
      <c r="M39">
        <v>0</v>
      </c>
    </row>
    <row r="40" spans="1:13" x14ac:dyDescent="0.45">
      <c r="A40" s="6">
        <v>46194</v>
      </c>
      <c r="B40" t="s">
        <v>35</v>
      </c>
      <c r="C40" t="s">
        <v>309</v>
      </c>
      <c r="D40">
        <v>124</v>
      </c>
      <c r="E40">
        <v>2000000</v>
      </c>
      <c r="F40">
        <v>23</v>
      </c>
      <c r="G40" s="7">
        <v>0.26022304832713755</v>
      </c>
      <c r="H40">
        <v>96</v>
      </c>
      <c r="I40" t="e">
        <f>_xlfn.XLOOKUP(C40,#REF!,#REF!)</f>
        <v>#REF!</v>
      </c>
      <c r="J40" t="e">
        <f>_xlfn.XLOOKUP(C40,#REF!,#REF!)</f>
        <v>#REF!</v>
      </c>
      <c r="K40" t="e">
        <f>_xlfn.XLOOKUP(C40,#REF!,#REF!)</f>
        <v>#REF!</v>
      </c>
      <c r="L40" t="e">
        <f>_xlfn.XLOOKUP('208Team_match_stat'!C40,#REF!,#REF!)</f>
        <v>#REF!</v>
      </c>
      <c r="M40">
        <v>0</v>
      </c>
    </row>
    <row r="41" spans="1:13" x14ac:dyDescent="0.45">
      <c r="A41" s="6">
        <v>46195</v>
      </c>
      <c r="B41" t="s">
        <v>36</v>
      </c>
      <c r="C41" t="s">
        <v>310</v>
      </c>
      <c r="D41">
        <v>28</v>
      </c>
      <c r="E41">
        <v>130000</v>
      </c>
      <c r="F41">
        <v>85</v>
      </c>
      <c r="G41" s="7">
        <v>0.29310344827586204</v>
      </c>
      <c r="H41">
        <v>110</v>
      </c>
      <c r="I41" t="e">
        <f>_xlfn.XLOOKUP(C41,#REF!,#REF!)</f>
        <v>#REF!</v>
      </c>
      <c r="J41" t="e">
        <f>_xlfn.XLOOKUP(C41,#REF!,#REF!)</f>
        <v>#REF!</v>
      </c>
      <c r="K41" t="e">
        <f>_xlfn.XLOOKUP(C41,#REF!,#REF!)</f>
        <v>#REF!</v>
      </c>
      <c r="L41" t="e">
        <f>_xlfn.XLOOKUP('208Team_match_stat'!C41,#REF!,#REF!)</f>
        <v>#REF!</v>
      </c>
      <c r="M41">
        <v>1</v>
      </c>
    </row>
    <row r="42" spans="1:13" x14ac:dyDescent="0.45">
      <c r="A42" s="6">
        <v>46195</v>
      </c>
      <c r="B42" t="s">
        <v>23</v>
      </c>
      <c r="C42" t="s">
        <v>297</v>
      </c>
      <c r="D42">
        <v>465</v>
      </c>
      <c r="E42">
        <v>3000000</v>
      </c>
      <c r="F42">
        <v>3</v>
      </c>
      <c r="G42" s="7">
        <v>0.46419753086419752</v>
      </c>
      <c r="H42">
        <v>241</v>
      </c>
      <c r="I42" t="e">
        <f>_xlfn.XLOOKUP(C42,#REF!,#REF!)</f>
        <v>#REF!</v>
      </c>
      <c r="J42" t="e">
        <f>_xlfn.XLOOKUP(C42,#REF!,#REF!)</f>
        <v>#REF!</v>
      </c>
      <c r="K42" t="e">
        <f>_xlfn.XLOOKUP(C42,#REF!,#REF!)</f>
        <v>#REF!</v>
      </c>
      <c r="L42" t="e">
        <f>_xlfn.XLOOKUP('208Team_match_stat'!C42,#REF!,#REF!)</f>
        <v>#REF!</v>
      </c>
      <c r="M42">
        <v>2</v>
      </c>
    </row>
    <row r="43" spans="1:13" x14ac:dyDescent="0.45">
      <c r="A43" s="6">
        <v>46195</v>
      </c>
      <c r="B43" t="s">
        <v>21</v>
      </c>
      <c r="C43" t="s">
        <v>295</v>
      </c>
      <c r="D43">
        <v>258</v>
      </c>
      <c r="E43">
        <v>3800000</v>
      </c>
      <c r="F43">
        <v>1</v>
      </c>
      <c r="G43" s="7">
        <v>0.35335689045936397</v>
      </c>
      <c r="H43">
        <v>120</v>
      </c>
      <c r="I43" t="e">
        <f>_xlfn.XLOOKUP(C43,#REF!,#REF!)</f>
        <v>#REF!</v>
      </c>
      <c r="J43" t="e">
        <f>_xlfn.XLOOKUP(C43,#REF!,#REF!)</f>
        <v>#REF!</v>
      </c>
      <c r="K43" t="e">
        <f>_xlfn.XLOOKUP(C43,#REF!,#REF!)</f>
        <v>#REF!</v>
      </c>
      <c r="L43" t="e">
        <f>_xlfn.XLOOKUP('208Team_match_stat'!C43,#REF!,#REF!)</f>
        <v>#REF!</v>
      </c>
      <c r="M43">
        <v>3</v>
      </c>
    </row>
    <row r="44" spans="1:13" x14ac:dyDescent="0.45">
      <c r="A44" s="6">
        <v>46196</v>
      </c>
      <c r="B44" t="s">
        <v>37</v>
      </c>
      <c r="C44" t="s">
        <v>311</v>
      </c>
      <c r="D44">
        <v>111</v>
      </c>
      <c r="E44">
        <v>575000</v>
      </c>
      <c r="F44">
        <v>31</v>
      </c>
      <c r="G44" s="7">
        <v>0.43514644351464438</v>
      </c>
      <c r="H44">
        <v>133</v>
      </c>
      <c r="I44" t="e">
        <f>_xlfn.XLOOKUP(C44,#REF!,#REF!)</f>
        <v>#REF!</v>
      </c>
      <c r="J44" t="e">
        <f>_xlfn.XLOOKUP(C44,#REF!,#REF!)</f>
        <v>#REF!</v>
      </c>
      <c r="K44" t="e">
        <f>_xlfn.XLOOKUP(C44,#REF!,#REF!)</f>
        <v>#REF!</v>
      </c>
      <c r="L44" t="e">
        <f>_xlfn.XLOOKUP('208Team_match_stat'!C44,#REF!,#REF!)</f>
        <v>#REF!</v>
      </c>
      <c r="M44">
        <v>3</v>
      </c>
    </row>
    <row r="45" spans="1:13" x14ac:dyDescent="0.45">
      <c r="A45" s="6">
        <v>46196</v>
      </c>
      <c r="B45" t="s">
        <v>38</v>
      </c>
      <c r="C45" t="s">
        <v>312</v>
      </c>
      <c r="D45">
        <v>42</v>
      </c>
      <c r="E45">
        <v>300000</v>
      </c>
      <c r="F45">
        <v>63</v>
      </c>
      <c r="G45" s="7">
        <v>0.21835443037974683</v>
      </c>
      <c r="H45">
        <v>93</v>
      </c>
      <c r="I45" t="e">
        <f>_xlfn.XLOOKUP(C45,#REF!,#REF!)</f>
        <v>#REF!</v>
      </c>
      <c r="J45" t="e">
        <f>_xlfn.XLOOKUP(C45,#REF!,#REF!)</f>
        <v>#REF!</v>
      </c>
      <c r="K45" t="e">
        <f>_xlfn.XLOOKUP(C45,#REF!,#REF!)</f>
        <v>#REF!</v>
      </c>
      <c r="L45" t="e">
        <f>_xlfn.XLOOKUP('208Team_match_stat'!C45,#REF!,#REF!)</f>
        <v>#REF!</v>
      </c>
      <c r="M45">
        <v>1</v>
      </c>
    </row>
    <row r="46" spans="1:13" x14ac:dyDescent="0.45">
      <c r="A46" s="6">
        <v>46196</v>
      </c>
      <c r="B46" t="s">
        <v>25</v>
      </c>
      <c r="C46" t="s">
        <v>299</v>
      </c>
      <c r="D46">
        <v>315</v>
      </c>
      <c r="E46">
        <v>4000000</v>
      </c>
      <c r="F46">
        <v>5</v>
      </c>
      <c r="G46" s="7">
        <v>0.40976645435244163</v>
      </c>
      <c r="H46">
        <v>266</v>
      </c>
      <c r="I46" t="e">
        <f>_xlfn.XLOOKUP(C46,#REF!,#REF!)</f>
        <v>#REF!</v>
      </c>
      <c r="J46" t="e">
        <f>_xlfn.XLOOKUP(C46,#REF!,#REF!)</f>
        <v>#REF!</v>
      </c>
      <c r="K46" t="e">
        <f>_xlfn.XLOOKUP(C46,#REF!,#REF!)</f>
        <v>#REF!</v>
      </c>
      <c r="L46" t="e">
        <f>_xlfn.XLOOKUP('208Team_match_stat'!C46,#REF!,#REF!)</f>
        <v>#REF!</v>
      </c>
      <c r="M46">
        <v>5</v>
      </c>
    </row>
    <row r="47" spans="1:13" x14ac:dyDescent="0.45">
      <c r="A47" s="6">
        <v>46196</v>
      </c>
      <c r="B47" t="s">
        <v>26</v>
      </c>
      <c r="C47" t="s">
        <v>300</v>
      </c>
      <c r="D47">
        <v>399</v>
      </c>
      <c r="E47">
        <v>5800000</v>
      </c>
      <c r="F47">
        <v>4</v>
      </c>
      <c r="G47" s="7">
        <v>0.40606060606060607</v>
      </c>
      <c r="H47">
        <v>169</v>
      </c>
      <c r="I47" t="e">
        <f>_xlfn.XLOOKUP(C47,#REF!,#REF!)</f>
        <v>#REF!</v>
      </c>
      <c r="J47" t="e">
        <f>_xlfn.XLOOKUP(C47,#REF!,#REF!)</f>
        <v>#REF!</v>
      </c>
      <c r="K47" t="e">
        <f>_xlfn.XLOOKUP(C47,#REF!,#REF!)</f>
        <v>#REF!</v>
      </c>
      <c r="L47" t="e">
        <f>_xlfn.XLOOKUP('208Team_match_stat'!C47,#REF!,#REF!)</f>
        <v>#REF!</v>
      </c>
      <c r="M47">
        <v>0</v>
      </c>
    </row>
    <row r="48" spans="1:13" x14ac:dyDescent="0.45">
      <c r="A48" s="6">
        <v>46197</v>
      </c>
      <c r="B48" t="s">
        <v>39</v>
      </c>
      <c r="C48" t="s">
        <v>313</v>
      </c>
      <c r="D48">
        <v>127</v>
      </c>
      <c r="E48">
        <v>775000</v>
      </c>
      <c r="F48">
        <v>8</v>
      </c>
      <c r="G48" s="7">
        <v>0.40909090909090912</v>
      </c>
      <c r="H48">
        <v>109</v>
      </c>
      <c r="I48" t="e">
        <f>_xlfn.XLOOKUP(C48,#REF!,#REF!)</f>
        <v>#REF!</v>
      </c>
      <c r="J48" t="e">
        <f>_xlfn.XLOOKUP(C48,#REF!,#REF!)</f>
        <v>#REF!</v>
      </c>
      <c r="K48" t="e">
        <f>_xlfn.XLOOKUP(C48,#REF!,#REF!)</f>
        <v>#REF!</v>
      </c>
      <c r="L48" t="e">
        <f>_xlfn.XLOOKUP('208Team_match_stat'!C48,#REF!,#REF!)</f>
        <v>#REF!</v>
      </c>
      <c r="M48">
        <v>4</v>
      </c>
    </row>
    <row r="49" spans="1:13" x14ac:dyDescent="0.45">
      <c r="A49" s="6">
        <v>46197</v>
      </c>
      <c r="B49" t="s">
        <v>27</v>
      </c>
      <c r="C49" t="s">
        <v>301</v>
      </c>
      <c r="D49">
        <v>84</v>
      </c>
      <c r="E49">
        <v>1600000</v>
      </c>
      <c r="F49">
        <v>19</v>
      </c>
      <c r="G49" s="7">
        <v>0.24242424242424243</v>
      </c>
      <c r="H49">
        <v>134</v>
      </c>
      <c r="I49" t="e">
        <f>_xlfn.XLOOKUP(C49,#REF!,#REF!)</f>
        <v>#REF!</v>
      </c>
      <c r="J49" t="e">
        <f>_xlfn.XLOOKUP(C49,#REF!,#REF!)</f>
        <v>#REF!</v>
      </c>
      <c r="K49" t="e">
        <f>_xlfn.XLOOKUP(C49,#REF!,#REF!)</f>
        <v>#REF!</v>
      </c>
      <c r="L49" t="e">
        <f>_xlfn.XLOOKUP('208Team_match_stat'!C49,#REF!,#REF!)</f>
        <v>#REF!</v>
      </c>
      <c r="M49">
        <v>2</v>
      </c>
    </row>
    <row r="50" spans="1:13" x14ac:dyDescent="0.45">
      <c r="A50" s="6">
        <v>46197</v>
      </c>
      <c r="B50" t="s">
        <v>31</v>
      </c>
      <c r="C50" t="s">
        <v>305</v>
      </c>
      <c r="D50">
        <v>139</v>
      </c>
      <c r="E50">
        <v>500000</v>
      </c>
      <c r="F50">
        <v>43</v>
      </c>
      <c r="G50" s="7">
        <v>0.20496894409937888</v>
      </c>
      <c r="H50">
        <v>99</v>
      </c>
      <c r="I50" t="e">
        <f>_xlfn.XLOOKUP(C50,#REF!,#REF!)</f>
        <v>#REF!</v>
      </c>
      <c r="J50" t="e">
        <f>_xlfn.XLOOKUP(C50,#REF!,#REF!)</f>
        <v>#REF!</v>
      </c>
      <c r="K50" t="e">
        <f>_xlfn.XLOOKUP(C50,#REF!,#REF!)</f>
        <v>#REF!</v>
      </c>
      <c r="L50" t="e">
        <f>_xlfn.XLOOKUP('208Team_match_stat'!C50,#REF!,#REF!)</f>
        <v>#REF!</v>
      </c>
      <c r="M50">
        <v>0</v>
      </c>
    </row>
    <row r="51" spans="1:13" x14ac:dyDescent="0.45">
      <c r="A51" s="6">
        <v>46197</v>
      </c>
      <c r="B51" t="s">
        <v>40</v>
      </c>
      <c r="C51" t="s">
        <v>314</v>
      </c>
      <c r="D51">
        <v>241</v>
      </c>
      <c r="E51">
        <v>2000000</v>
      </c>
      <c r="F51">
        <v>13</v>
      </c>
      <c r="G51" s="7">
        <v>0.26143790849673204</v>
      </c>
      <c r="H51">
        <v>113</v>
      </c>
      <c r="I51" t="e">
        <f>_xlfn.XLOOKUP(C51,#REF!,#REF!)</f>
        <v>#REF!</v>
      </c>
      <c r="J51" t="e">
        <f>_xlfn.XLOOKUP(C51,#REF!,#REF!)</f>
        <v>#REF!</v>
      </c>
      <c r="K51" t="e">
        <f>_xlfn.XLOOKUP(C51,#REF!,#REF!)</f>
        <v>#REF!</v>
      </c>
      <c r="L51" t="e">
        <f>_xlfn.XLOOKUP('208Team_match_stat'!C51,#REF!,#REF!)</f>
        <v>#REF!</v>
      </c>
      <c r="M51">
        <v>1</v>
      </c>
    </row>
    <row r="52" spans="1:13" x14ac:dyDescent="0.45">
      <c r="A52" s="6">
        <v>46197</v>
      </c>
      <c r="B52" t="s">
        <v>41</v>
      </c>
      <c r="C52" t="s">
        <v>315</v>
      </c>
      <c r="D52">
        <v>69</v>
      </c>
      <c r="E52">
        <v>725000</v>
      </c>
      <c r="F52">
        <v>33</v>
      </c>
      <c r="G52" s="7">
        <v>0.23270440251572327</v>
      </c>
      <c r="H52">
        <v>127</v>
      </c>
      <c r="I52" t="e">
        <f>_xlfn.XLOOKUP(C52,#REF!,#REF!)</f>
        <v>#REF!</v>
      </c>
      <c r="J52" t="e">
        <f>_xlfn.XLOOKUP(C52,#REF!,#REF!)</f>
        <v>#REF!</v>
      </c>
      <c r="K52" t="e">
        <f>_xlfn.XLOOKUP(C52,#REF!,#REF!)</f>
        <v>#REF!</v>
      </c>
      <c r="L52" t="e">
        <f>_xlfn.XLOOKUP('208Team_match_stat'!C52,#REF!,#REF!)</f>
        <v>#REF!</v>
      </c>
      <c r="M52">
        <v>0</v>
      </c>
    </row>
    <row r="53" spans="1:13" x14ac:dyDescent="0.45">
      <c r="A53" s="6">
        <v>46197</v>
      </c>
      <c r="B53" t="s">
        <v>42</v>
      </c>
      <c r="C53" t="s">
        <v>316</v>
      </c>
      <c r="D53">
        <v>88</v>
      </c>
      <c r="E53">
        <v>230000</v>
      </c>
      <c r="F53">
        <v>65</v>
      </c>
      <c r="G53" s="7">
        <v>0.33204633204633205</v>
      </c>
      <c r="H53">
        <v>97</v>
      </c>
      <c r="I53" t="e">
        <f>_xlfn.XLOOKUP(C53,#REF!,#REF!)</f>
        <v>#REF!</v>
      </c>
      <c r="J53" t="e">
        <f>_xlfn.XLOOKUP(C53,#REF!,#REF!)</f>
        <v>#REF!</v>
      </c>
      <c r="K53" t="e">
        <f>_xlfn.XLOOKUP(C53,#REF!,#REF!)</f>
        <v>#REF!</v>
      </c>
      <c r="L53" t="e">
        <f>_xlfn.XLOOKUP('208Team_match_stat'!C53,#REF!,#REF!)</f>
        <v>#REF!</v>
      </c>
      <c r="M53">
        <v>3</v>
      </c>
    </row>
    <row r="54" spans="1:13" x14ac:dyDescent="0.45">
      <c r="A54" s="6">
        <v>46198</v>
      </c>
      <c r="B54" t="s">
        <v>30</v>
      </c>
      <c r="C54" t="s">
        <v>304</v>
      </c>
      <c r="D54">
        <v>100</v>
      </c>
      <c r="E54">
        <v>180000</v>
      </c>
      <c r="F54">
        <v>41</v>
      </c>
      <c r="G54" s="7">
        <v>0.2560386473429952</v>
      </c>
      <c r="H54">
        <v>100</v>
      </c>
      <c r="I54" t="e">
        <f>_xlfn.XLOOKUP(C54,#REF!,#REF!)</f>
        <v>#REF!</v>
      </c>
      <c r="J54" t="e">
        <f>_xlfn.XLOOKUP(C54,#REF!,#REF!)</f>
        <v>#REF!</v>
      </c>
      <c r="K54" t="e">
        <f>_xlfn.XLOOKUP(C54,#REF!,#REF!)</f>
        <v>#REF!</v>
      </c>
      <c r="L54" t="e">
        <f>_xlfn.XLOOKUP('208Team_match_stat'!C54,#REF!,#REF!)</f>
        <v>#REF!</v>
      </c>
      <c r="M54">
        <v>0</v>
      </c>
    </row>
    <row r="55" spans="1:13" x14ac:dyDescent="0.45">
      <c r="A55" s="6">
        <v>46198</v>
      </c>
      <c r="B55" t="s">
        <v>43</v>
      </c>
      <c r="C55" t="s">
        <v>289</v>
      </c>
      <c r="D55">
        <v>49</v>
      </c>
      <c r="E55">
        <v>900000</v>
      </c>
      <c r="F55">
        <v>60</v>
      </c>
      <c r="G55" s="7">
        <v>0.20238095238095238</v>
      </c>
      <c r="H55">
        <v>68</v>
      </c>
      <c r="I55" t="e">
        <f>_xlfn.XLOOKUP(C55,#REF!,#REF!)</f>
        <v>#REF!</v>
      </c>
      <c r="J55" t="e">
        <f>_xlfn.XLOOKUP(C55,#REF!,#REF!)</f>
        <v>#REF!</v>
      </c>
      <c r="K55" t="e">
        <f>_xlfn.XLOOKUP(C55,#REF!,#REF!)</f>
        <v>#REF!</v>
      </c>
      <c r="L55" t="e">
        <f>_xlfn.XLOOKUP('208Team_match_stat'!C55,#REF!,#REF!)</f>
        <v>#REF!</v>
      </c>
      <c r="M55">
        <v>1</v>
      </c>
    </row>
    <row r="56" spans="1:13" x14ac:dyDescent="0.45">
      <c r="A56" s="6">
        <v>46198</v>
      </c>
      <c r="B56" t="s">
        <v>44</v>
      </c>
      <c r="C56" t="s">
        <v>317</v>
      </c>
      <c r="D56">
        <v>0</v>
      </c>
      <c r="E56">
        <v>96000</v>
      </c>
      <c r="F56">
        <v>82</v>
      </c>
      <c r="G56" s="7">
        <v>0.15104166666666666</v>
      </c>
      <c r="H56">
        <v>73</v>
      </c>
      <c r="I56" t="e">
        <f>_xlfn.XLOOKUP(C56,#REF!,#REF!)</f>
        <v>#REF!</v>
      </c>
      <c r="J56" t="e">
        <f>_xlfn.XLOOKUP(C56,#REF!,#REF!)</f>
        <v>#REF!</v>
      </c>
      <c r="K56" t="e">
        <f>_xlfn.XLOOKUP(C56,#REF!,#REF!)</f>
        <v>#REF!</v>
      </c>
      <c r="L56" t="e">
        <f>_xlfn.XLOOKUP('208Team_match_stat'!C56,#REF!,#REF!)</f>
        <v>#REF!</v>
      </c>
      <c r="M56">
        <v>0</v>
      </c>
    </row>
    <row r="57" spans="1:13" x14ac:dyDescent="0.45">
      <c r="A57" s="6">
        <v>46198</v>
      </c>
      <c r="B57" t="s">
        <v>35</v>
      </c>
      <c r="C57" t="s">
        <v>309</v>
      </c>
      <c r="D57">
        <v>124</v>
      </c>
      <c r="E57">
        <v>2000000</v>
      </c>
      <c r="F57">
        <v>23</v>
      </c>
      <c r="G57" s="7">
        <v>0.26022304832713755</v>
      </c>
      <c r="H57">
        <v>96</v>
      </c>
      <c r="I57" t="e">
        <f>_xlfn.XLOOKUP(C57,#REF!,#REF!)</f>
        <v>#REF!</v>
      </c>
      <c r="J57" t="e">
        <f>_xlfn.XLOOKUP(C57,#REF!,#REF!)</f>
        <v>#REF!</v>
      </c>
      <c r="K57" t="e">
        <f>_xlfn.XLOOKUP(C57,#REF!,#REF!)</f>
        <v>#REF!</v>
      </c>
      <c r="L57" t="e">
        <f>_xlfn.XLOOKUP('208Team_match_stat'!C57,#REF!,#REF!)</f>
        <v>#REF!</v>
      </c>
      <c r="M57">
        <v>2</v>
      </c>
    </row>
    <row r="58" spans="1:13" x14ac:dyDescent="0.45">
      <c r="A58" s="6">
        <v>46199</v>
      </c>
      <c r="B58" t="s">
        <v>37</v>
      </c>
      <c r="C58" t="s">
        <v>311</v>
      </c>
      <c r="D58">
        <v>111</v>
      </c>
      <c r="E58">
        <v>575000</v>
      </c>
      <c r="F58">
        <v>31</v>
      </c>
      <c r="G58" s="7">
        <v>0.43514644351464438</v>
      </c>
      <c r="H58">
        <v>133</v>
      </c>
      <c r="I58" t="e">
        <f>_xlfn.XLOOKUP(C58,#REF!,#REF!)</f>
        <v>#REF!</v>
      </c>
      <c r="J58" t="e">
        <f>_xlfn.XLOOKUP(C58,#REF!,#REF!)</f>
        <v>#REF!</v>
      </c>
      <c r="K58" t="e">
        <f>_xlfn.XLOOKUP(C58,#REF!,#REF!)</f>
        <v>#REF!</v>
      </c>
      <c r="L58" t="e">
        <f>_xlfn.XLOOKUP('208Team_match_stat'!C58,#REF!,#REF!)</f>
        <v>#REF!</v>
      </c>
      <c r="M58">
        <v>1</v>
      </c>
    </row>
    <row r="59" spans="1:13" x14ac:dyDescent="0.45">
      <c r="A59" s="6">
        <v>46199</v>
      </c>
      <c r="B59" t="s">
        <v>32</v>
      </c>
      <c r="C59" t="s">
        <v>306</v>
      </c>
      <c r="D59">
        <v>146</v>
      </c>
      <c r="E59">
        <v>2200000</v>
      </c>
      <c r="F59">
        <v>22</v>
      </c>
      <c r="G59" s="7">
        <v>0.17647058823529413</v>
      </c>
      <c r="H59">
        <v>100</v>
      </c>
      <c r="I59" t="e">
        <f>_xlfn.XLOOKUP(C59,#REF!,#REF!)</f>
        <v>#REF!</v>
      </c>
      <c r="J59" t="e">
        <f>_xlfn.XLOOKUP(C59,#REF!,#REF!)</f>
        <v>#REF!</v>
      </c>
      <c r="K59" t="e">
        <f>_xlfn.XLOOKUP(C59,#REF!,#REF!)</f>
        <v>#REF!</v>
      </c>
      <c r="L59" t="e">
        <f>_xlfn.XLOOKUP('208Team_match_stat'!C59,#REF!,#REF!)</f>
        <v>#REF!</v>
      </c>
      <c r="M59">
        <v>3</v>
      </c>
    </row>
    <row r="60" spans="1:13" x14ac:dyDescent="0.45">
      <c r="A60" s="6">
        <v>46199</v>
      </c>
      <c r="B60" t="s">
        <v>45</v>
      </c>
      <c r="C60" t="s">
        <v>318</v>
      </c>
      <c r="D60">
        <v>58</v>
      </c>
      <c r="E60">
        <v>920000</v>
      </c>
      <c r="F60">
        <v>14</v>
      </c>
      <c r="G60" s="7">
        <v>0.27173913043478259</v>
      </c>
      <c r="H60">
        <v>141</v>
      </c>
      <c r="I60" t="e">
        <f>_xlfn.XLOOKUP(C60,#REF!,#REF!)</f>
        <v>#REF!</v>
      </c>
      <c r="J60" t="e">
        <f>_xlfn.XLOOKUP(C60,#REF!,#REF!)</f>
        <v>#REF!</v>
      </c>
      <c r="K60" t="e">
        <f>_xlfn.XLOOKUP(C60,#REF!,#REF!)</f>
        <v>#REF!</v>
      </c>
      <c r="L60" t="e">
        <f>_xlfn.XLOOKUP('208Team_match_stat'!C60,#REF!,#REF!)</f>
        <v>#REF!</v>
      </c>
      <c r="M60">
        <v>5</v>
      </c>
    </row>
    <row r="61" spans="1:13" x14ac:dyDescent="0.45">
      <c r="A61" s="6">
        <v>46199</v>
      </c>
      <c r="B61" t="s">
        <v>34</v>
      </c>
      <c r="C61" t="s">
        <v>308</v>
      </c>
      <c r="D61">
        <v>109</v>
      </c>
      <c r="E61">
        <v>350000</v>
      </c>
      <c r="F61">
        <v>44</v>
      </c>
      <c r="G61" s="7">
        <v>0.17757009345794392</v>
      </c>
      <c r="H61">
        <v>45</v>
      </c>
      <c r="I61" t="e">
        <f>_xlfn.XLOOKUP(C61,#REF!,#REF!)</f>
        <v>#REF!</v>
      </c>
      <c r="J61" t="e">
        <f>_xlfn.XLOOKUP(C61,#REF!,#REF!)</f>
        <v>#REF!</v>
      </c>
      <c r="K61" t="e">
        <f>_xlfn.XLOOKUP(C61,#REF!,#REF!)</f>
        <v>#REF!</v>
      </c>
      <c r="L61" t="e">
        <f>_xlfn.XLOOKUP('208Team_match_stat'!C61,#REF!,#REF!)</f>
        <v>#REF!</v>
      </c>
      <c r="M61">
        <v>1</v>
      </c>
    </row>
    <row r="62" spans="1:13" x14ac:dyDescent="0.45">
      <c r="A62" s="6">
        <v>46199</v>
      </c>
      <c r="B62" t="s">
        <v>46</v>
      </c>
      <c r="C62" t="s">
        <v>319</v>
      </c>
      <c r="D62">
        <v>126</v>
      </c>
      <c r="E62">
        <v>865000</v>
      </c>
      <c r="F62">
        <v>18</v>
      </c>
      <c r="G62" s="7">
        <v>0.4</v>
      </c>
      <c r="H62">
        <v>121</v>
      </c>
      <c r="I62" t="e">
        <f>_xlfn.XLOOKUP(C62,#REF!,#REF!)</f>
        <v>#REF!</v>
      </c>
      <c r="J62" t="e">
        <f>_xlfn.XLOOKUP(C62,#REF!,#REF!)</f>
        <v>#REF!</v>
      </c>
      <c r="K62" t="e">
        <f>_xlfn.XLOOKUP(C62,#REF!,#REF!)</f>
        <v>#REF!</v>
      </c>
      <c r="L62" t="e">
        <f>_xlfn.XLOOKUP('208Team_match_stat'!C62,#REF!,#REF!)</f>
        <v>#REF!</v>
      </c>
      <c r="M62">
        <v>1</v>
      </c>
    </row>
    <row r="63" spans="1:13" x14ac:dyDescent="0.45">
      <c r="A63" s="6">
        <v>46199</v>
      </c>
      <c r="B63" t="s">
        <v>47</v>
      </c>
      <c r="C63" t="s">
        <v>320</v>
      </c>
      <c r="D63">
        <v>118</v>
      </c>
      <c r="E63">
        <v>2500000</v>
      </c>
      <c r="F63">
        <v>40</v>
      </c>
      <c r="G63" s="7">
        <v>0.12209302325581395</v>
      </c>
      <c r="H63">
        <v>56</v>
      </c>
      <c r="I63" t="e">
        <f>_xlfn.XLOOKUP(C63,#REF!,#REF!)</f>
        <v>#REF!</v>
      </c>
      <c r="J63" t="e">
        <f>_xlfn.XLOOKUP(C63,#REF!,#REF!)</f>
        <v>#REF!</v>
      </c>
      <c r="K63" t="e">
        <f>_xlfn.XLOOKUP(C63,#REF!,#REF!)</f>
        <v>#REF!</v>
      </c>
      <c r="L63" t="e">
        <f>_xlfn.XLOOKUP('208Team_match_stat'!C63,#REF!,#REF!)</f>
        <v>#REF!</v>
      </c>
      <c r="M63">
        <v>0</v>
      </c>
    </row>
    <row r="64" spans="1:13" x14ac:dyDescent="0.45">
      <c r="A64" s="6">
        <v>46200</v>
      </c>
      <c r="B64" t="s">
        <v>48</v>
      </c>
      <c r="C64" t="s">
        <v>321</v>
      </c>
      <c r="D64">
        <v>1</v>
      </c>
      <c r="E64">
        <v>110000</v>
      </c>
      <c r="F64">
        <v>69</v>
      </c>
      <c r="G64" s="7">
        <v>0.23333333333333334</v>
      </c>
      <c r="H64">
        <v>79</v>
      </c>
      <c r="I64" t="e">
        <f>_xlfn.XLOOKUP(C64,#REF!,#REF!)</f>
        <v>#REF!</v>
      </c>
      <c r="J64" t="e">
        <f>_xlfn.XLOOKUP(C64,#REF!,#REF!)</f>
        <v>#REF!</v>
      </c>
      <c r="K64" t="e">
        <f>_xlfn.XLOOKUP(C64,#REF!,#REF!)</f>
        <v>#REF!</v>
      </c>
      <c r="L64" t="e">
        <f>_xlfn.XLOOKUP('208Team_match_stat'!C64,#REF!,#REF!)</f>
        <v>#REF!</v>
      </c>
      <c r="M64">
        <v>0</v>
      </c>
    </row>
    <row r="65" spans="1:13" x14ac:dyDescent="0.45">
      <c r="A65" s="6">
        <v>46200</v>
      </c>
      <c r="B65" t="s">
        <v>33</v>
      </c>
      <c r="C65" t="s">
        <v>307</v>
      </c>
      <c r="D65">
        <v>203</v>
      </c>
      <c r="E65">
        <v>3000000</v>
      </c>
      <c r="F65">
        <v>17</v>
      </c>
      <c r="G65" s="7">
        <v>0.1702127659574468</v>
      </c>
      <c r="H65">
        <v>77</v>
      </c>
      <c r="I65" t="e">
        <f>_xlfn.XLOOKUP(C65,#REF!,#REF!)</f>
        <v>#REF!</v>
      </c>
      <c r="J65" t="e">
        <f>_xlfn.XLOOKUP(C65,#REF!,#REF!)</f>
        <v>#REF!</v>
      </c>
      <c r="K65" t="e">
        <f>_xlfn.XLOOKUP(C65,#REF!,#REF!)</f>
        <v>#REF!</v>
      </c>
      <c r="L65" t="e">
        <f>_xlfn.XLOOKUP('208Team_match_stat'!C65,#REF!,#REF!)</f>
        <v>#REF!</v>
      </c>
      <c r="M65">
        <v>0</v>
      </c>
    </row>
    <row r="66" spans="1:13" x14ac:dyDescent="0.45">
      <c r="A66" s="6">
        <v>46200</v>
      </c>
      <c r="B66" t="s">
        <v>49</v>
      </c>
      <c r="C66" t="s">
        <v>322</v>
      </c>
      <c r="D66">
        <v>121</v>
      </c>
      <c r="E66">
        <v>156000</v>
      </c>
      <c r="F66">
        <v>29</v>
      </c>
      <c r="G66" s="7">
        <v>0.29133858267716534</v>
      </c>
      <c r="H66">
        <v>136</v>
      </c>
      <c r="I66" t="e">
        <f>_xlfn.XLOOKUP(C66,#REF!,#REF!)</f>
        <v>#REF!</v>
      </c>
      <c r="J66" t="e">
        <f>_xlfn.XLOOKUP(C66,#REF!,#REF!)</f>
        <v>#REF!</v>
      </c>
      <c r="K66" t="e">
        <f>_xlfn.XLOOKUP(C66,#REF!,#REF!)</f>
        <v>#REF!</v>
      </c>
      <c r="L66" t="e">
        <f>_xlfn.XLOOKUP('208Team_match_stat'!C66,#REF!,#REF!)</f>
        <v>#REF!</v>
      </c>
      <c r="M66">
        <v>1</v>
      </c>
    </row>
    <row r="67" spans="1:13" x14ac:dyDescent="0.45">
      <c r="A67" s="6">
        <v>46200</v>
      </c>
      <c r="B67" t="s">
        <v>36</v>
      </c>
      <c r="C67" t="s">
        <v>310</v>
      </c>
      <c r="D67">
        <v>28</v>
      </c>
      <c r="E67">
        <v>130000</v>
      </c>
      <c r="F67">
        <v>85</v>
      </c>
      <c r="G67" s="7">
        <v>0.29310344827586204</v>
      </c>
      <c r="H67">
        <v>110</v>
      </c>
      <c r="I67" t="e">
        <f>_xlfn.XLOOKUP(C67,#REF!,#REF!)</f>
        <v>#REF!</v>
      </c>
      <c r="J67" t="e">
        <f>_xlfn.XLOOKUP(C67,#REF!,#REF!)</f>
        <v>#REF!</v>
      </c>
      <c r="K67" t="e">
        <f>_xlfn.XLOOKUP(C67,#REF!,#REF!)</f>
        <v>#REF!</v>
      </c>
      <c r="L67" t="e">
        <f>_xlfn.XLOOKUP('208Team_match_stat'!C67,#REF!,#REF!)</f>
        <v>#REF!</v>
      </c>
      <c r="M67">
        <v>1</v>
      </c>
    </row>
    <row r="68" spans="1:13" x14ac:dyDescent="0.45">
      <c r="A68" s="6">
        <v>46200</v>
      </c>
      <c r="B68" t="s">
        <v>50</v>
      </c>
      <c r="C68" t="s">
        <v>323</v>
      </c>
      <c r="D68">
        <v>97</v>
      </c>
      <c r="E68">
        <v>1500000</v>
      </c>
      <c r="F68">
        <v>11</v>
      </c>
      <c r="G68" s="7">
        <v>0.24099722991689751</v>
      </c>
      <c r="H68">
        <v>159</v>
      </c>
      <c r="I68" t="e">
        <f>_xlfn.XLOOKUP(C68,#REF!,#REF!)</f>
        <v>#REF!</v>
      </c>
      <c r="J68" t="e">
        <f>_xlfn.XLOOKUP(C68,#REF!,#REF!)</f>
        <v>#REF!</v>
      </c>
      <c r="K68" t="e">
        <f>_xlfn.XLOOKUP(C68,#REF!,#REF!)</f>
        <v>#REF!</v>
      </c>
      <c r="L68" t="e">
        <f>_xlfn.XLOOKUP('208Team_match_stat'!C68,#REF!,#REF!)</f>
        <v>#REF!</v>
      </c>
      <c r="M68">
        <v>2</v>
      </c>
    </row>
    <row r="69" spans="1:13" x14ac:dyDescent="0.45">
      <c r="A69" s="6">
        <v>46200</v>
      </c>
      <c r="B69" t="s">
        <v>41</v>
      </c>
      <c r="C69" t="s">
        <v>315</v>
      </c>
      <c r="D69">
        <v>69</v>
      </c>
      <c r="E69">
        <v>725000</v>
      </c>
      <c r="F69">
        <v>33</v>
      </c>
      <c r="G69" s="7">
        <v>0.23270440251572327</v>
      </c>
      <c r="H69">
        <v>127</v>
      </c>
      <c r="I69" t="e">
        <f>_xlfn.XLOOKUP(C69,#REF!,#REF!)</f>
        <v>#REF!</v>
      </c>
      <c r="J69" t="e">
        <f>_xlfn.XLOOKUP(C69,#REF!,#REF!)</f>
        <v>#REF!</v>
      </c>
      <c r="K69" t="e">
        <f>_xlfn.XLOOKUP(C69,#REF!,#REF!)</f>
        <v>#REF!</v>
      </c>
      <c r="L69" t="e">
        <f>_xlfn.XLOOKUP('208Team_match_stat'!C69,#REF!,#REF!)</f>
        <v>#REF!</v>
      </c>
      <c r="M69">
        <v>0</v>
      </c>
    </row>
    <row r="70" spans="1:13" x14ac:dyDescent="0.45">
      <c r="A70" s="6">
        <v>46201</v>
      </c>
      <c r="B70" t="s">
        <v>43</v>
      </c>
      <c r="C70" t="s">
        <v>289</v>
      </c>
      <c r="D70">
        <v>49</v>
      </c>
      <c r="E70">
        <v>900000</v>
      </c>
      <c r="F70">
        <v>60</v>
      </c>
      <c r="G70" s="7">
        <v>0.20238095238095238</v>
      </c>
      <c r="H70">
        <v>68</v>
      </c>
      <c r="I70" t="e">
        <f>_xlfn.XLOOKUP(C70,#REF!,#REF!)</f>
        <v>#REF!</v>
      </c>
      <c r="J70" t="e">
        <f>_xlfn.XLOOKUP(C70,#REF!,#REF!)</f>
        <v>#REF!</v>
      </c>
      <c r="K70" t="e">
        <f>_xlfn.XLOOKUP(C70,#REF!,#REF!)</f>
        <v>#REF!</v>
      </c>
      <c r="L70" t="e">
        <f>_xlfn.XLOOKUP('208Team_match_stat'!C70,#REF!,#REF!)</f>
        <v>#REF!</v>
      </c>
      <c r="M70">
        <v>0</v>
      </c>
    </row>
    <row r="71" spans="1:13" x14ac:dyDescent="0.45">
      <c r="A71" s="6">
        <v>46201</v>
      </c>
      <c r="B71" t="s">
        <v>40</v>
      </c>
      <c r="C71" t="s">
        <v>314</v>
      </c>
      <c r="D71">
        <v>241</v>
      </c>
      <c r="E71">
        <v>2000000</v>
      </c>
      <c r="F71">
        <v>13</v>
      </c>
      <c r="G71" s="7">
        <v>0.26143790849673204</v>
      </c>
      <c r="H71">
        <v>113</v>
      </c>
      <c r="I71" t="e">
        <f>_xlfn.XLOOKUP(C71,#REF!,#REF!)</f>
        <v>#REF!</v>
      </c>
      <c r="J71" t="e">
        <f>_xlfn.XLOOKUP(C71,#REF!,#REF!)</f>
        <v>#REF!</v>
      </c>
      <c r="K71" t="e">
        <f>_xlfn.XLOOKUP(C71,#REF!,#REF!)</f>
        <v>#REF!</v>
      </c>
      <c r="L71" t="e">
        <f>_xlfn.XLOOKUP('208Team_match_stat'!C71,#REF!,#REF!)</f>
        <v>#REF!</v>
      </c>
      <c r="M71">
        <v>0</v>
      </c>
    </row>
    <row r="72" spans="1:13" x14ac:dyDescent="0.45">
      <c r="A72" s="6">
        <v>46201</v>
      </c>
      <c r="B72" t="s">
        <v>51</v>
      </c>
      <c r="C72" t="s">
        <v>324</v>
      </c>
      <c r="D72">
        <v>30</v>
      </c>
      <c r="E72">
        <v>430000</v>
      </c>
      <c r="F72">
        <v>46</v>
      </c>
      <c r="G72" s="7">
        <v>0.20640569395017794</v>
      </c>
      <c r="H72">
        <v>85</v>
      </c>
      <c r="I72" t="e">
        <f>_xlfn.XLOOKUP(C72,#REF!,#REF!)</f>
        <v>#REF!</v>
      </c>
      <c r="J72" t="e">
        <f>_xlfn.XLOOKUP(C72,#REF!,#REF!)</f>
        <v>#REF!</v>
      </c>
      <c r="K72" t="e">
        <f>_xlfn.XLOOKUP(C72,#REF!,#REF!)</f>
        <v>#REF!</v>
      </c>
      <c r="L72" t="e">
        <f>_xlfn.XLOOKUP('208Team_match_stat'!C72,#REF!,#REF!)</f>
        <v>#REF!</v>
      </c>
      <c r="M72">
        <v>3</v>
      </c>
    </row>
    <row r="73" spans="1:13" x14ac:dyDescent="0.45">
      <c r="A73" s="6">
        <v>46201</v>
      </c>
      <c r="B73" t="s">
        <v>52</v>
      </c>
      <c r="C73" t="s">
        <v>325</v>
      </c>
      <c r="D73">
        <v>51</v>
      </c>
      <c r="E73">
        <v>1380000</v>
      </c>
      <c r="F73">
        <v>28</v>
      </c>
      <c r="G73" s="7">
        <v>0.34334763948497854</v>
      </c>
      <c r="H73">
        <v>126</v>
      </c>
      <c r="I73" t="e">
        <f>_xlfn.XLOOKUP(C73,#REF!,#REF!)</f>
        <v>#REF!</v>
      </c>
      <c r="J73" t="e">
        <f>_xlfn.XLOOKUP(C73,#REF!,#REF!)</f>
        <v>#REF!</v>
      </c>
      <c r="K73" t="e">
        <f>_xlfn.XLOOKUP(C73,#REF!,#REF!)</f>
        <v>#REF!</v>
      </c>
      <c r="L73" t="e">
        <f>_xlfn.XLOOKUP('208Team_match_stat'!C73,#REF!,#REF!)</f>
        <v>#REF!</v>
      </c>
      <c r="M73">
        <v>3</v>
      </c>
    </row>
    <row r="74" spans="1:13" x14ac:dyDescent="0.45">
      <c r="A74" s="6">
        <v>46201</v>
      </c>
      <c r="B74" t="s">
        <v>38</v>
      </c>
      <c r="C74" t="s">
        <v>312</v>
      </c>
      <c r="D74">
        <v>42</v>
      </c>
      <c r="E74">
        <v>300000</v>
      </c>
      <c r="F74">
        <v>63</v>
      </c>
      <c r="G74" s="7">
        <v>0.21835443037974683</v>
      </c>
      <c r="H74">
        <v>93</v>
      </c>
      <c r="I74" t="e">
        <f>_xlfn.XLOOKUP(C74,#REF!,#REF!)</f>
        <v>#REF!</v>
      </c>
      <c r="J74" t="e">
        <f>_xlfn.XLOOKUP(C74,#REF!,#REF!)</f>
        <v>#REF!</v>
      </c>
      <c r="K74" t="e">
        <f>_xlfn.XLOOKUP(C74,#REF!,#REF!)</f>
        <v>#REF!</v>
      </c>
      <c r="L74" t="e">
        <f>_xlfn.XLOOKUP('208Team_match_stat'!C74,#REF!,#REF!)</f>
        <v>#REF!</v>
      </c>
      <c r="M74">
        <v>1</v>
      </c>
    </row>
    <row r="75" spans="1:13" x14ac:dyDescent="0.45">
      <c r="A75" s="6">
        <v>46202</v>
      </c>
      <c r="B75" t="s">
        <v>13</v>
      </c>
      <c r="C75" t="s">
        <v>287</v>
      </c>
      <c r="D75">
        <v>262</v>
      </c>
      <c r="E75">
        <v>4800000</v>
      </c>
      <c r="F75">
        <v>10</v>
      </c>
      <c r="G75" s="7">
        <v>0.39175257731958762</v>
      </c>
      <c r="H75">
        <v>116</v>
      </c>
      <c r="I75" t="e">
        <f>_xlfn.XLOOKUP(C75,#REF!,#REF!)</f>
        <v>#REF!</v>
      </c>
      <c r="J75" t="e">
        <f>_xlfn.XLOOKUP(C75,#REF!,#REF!)</f>
        <v>#REF!</v>
      </c>
      <c r="K75" t="e">
        <f>_xlfn.XLOOKUP(C75,#REF!,#REF!)</f>
        <v>#REF!</v>
      </c>
      <c r="L75" t="e">
        <f>_xlfn.XLOOKUP('208Team_match_stat'!C75,#REF!,#REF!)</f>
        <v>#REF!</v>
      </c>
      <c r="M75">
        <v>1</v>
      </c>
    </row>
    <row r="76" spans="1:13" x14ac:dyDescent="0.45">
      <c r="A76" s="6">
        <v>46202</v>
      </c>
      <c r="B76" t="s">
        <v>14</v>
      </c>
      <c r="C76" t="s">
        <v>288</v>
      </c>
      <c r="D76">
        <v>148</v>
      </c>
      <c r="E76">
        <v>3000000</v>
      </c>
      <c r="F76">
        <v>7</v>
      </c>
      <c r="G76" s="7">
        <v>0.36624203821656048</v>
      </c>
      <c r="H76">
        <v>163</v>
      </c>
      <c r="I76" t="e">
        <f>_xlfn.XLOOKUP(C76,#REF!,#REF!)</f>
        <v>#REF!</v>
      </c>
      <c r="J76" t="e">
        <f>_xlfn.XLOOKUP(C76,#REF!,#REF!)</f>
        <v>#REF!</v>
      </c>
      <c r="K76" t="e">
        <f>_xlfn.XLOOKUP(C76,#REF!,#REF!)</f>
        <v>#REF!</v>
      </c>
      <c r="L76" t="e">
        <f>_xlfn.XLOOKUP('208Team_match_stat'!C76,#REF!,#REF!)</f>
        <v>#REF!</v>
      </c>
      <c r="M76">
        <v>1</v>
      </c>
    </row>
    <row r="77" spans="1:13" x14ac:dyDescent="0.45">
      <c r="A77" s="6">
        <v>46202</v>
      </c>
      <c r="B77" t="s">
        <v>10</v>
      </c>
      <c r="C77" t="s">
        <v>284</v>
      </c>
      <c r="D77">
        <v>660</v>
      </c>
      <c r="E77">
        <v>9500000</v>
      </c>
      <c r="F77">
        <v>6</v>
      </c>
      <c r="G77" s="7">
        <v>0.37195121951219512</v>
      </c>
      <c r="H77">
        <v>162</v>
      </c>
      <c r="I77" t="e">
        <f>_xlfn.XLOOKUP(C77,#REF!,#REF!)</f>
        <v>#REF!</v>
      </c>
      <c r="J77" t="e">
        <f>_xlfn.XLOOKUP(C77,#REF!,#REF!)</f>
        <v>#REF!</v>
      </c>
      <c r="K77" t="e">
        <f>_xlfn.XLOOKUP(C77,#REF!,#REF!)</f>
        <v>#REF!</v>
      </c>
      <c r="L77" t="e">
        <f>_xlfn.XLOOKUP('208Team_match_stat'!C77,#REF!,#REF!)</f>
        <v>#REF!</v>
      </c>
      <c r="M77">
        <v>2</v>
      </c>
    </row>
    <row r="78" spans="1:13" x14ac:dyDescent="0.45">
      <c r="A78" s="6">
        <v>46203</v>
      </c>
      <c r="B78" t="s">
        <v>18</v>
      </c>
      <c r="C78" t="s">
        <v>292</v>
      </c>
      <c r="D78">
        <v>84</v>
      </c>
      <c r="E78">
        <v>820000</v>
      </c>
      <c r="F78">
        <v>34</v>
      </c>
      <c r="G78" s="7">
        <v>0.21</v>
      </c>
      <c r="H78">
        <v>87</v>
      </c>
      <c r="I78" t="e">
        <f>_xlfn.XLOOKUP(C78,#REF!,#REF!)</f>
        <v>#REF!</v>
      </c>
      <c r="J78" t="e">
        <f>_xlfn.XLOOKUP(C78,#REF!,#REF!)</f>
        <v>#REF!</v>
      </c>
      <c r="K78" t="e">
        <f>_xlfn.XLOOKUP(C78,#REF!,#REF!)</f>
        <v>#REF!</v>
      </c>
      <c r="L78" t="e">
        <f>_xlfn.XLOOKUP('208Team_match_stat'!C78,#REF!,#REF!)</f>
        <v>#REF!</v>
      </c>
      <c r="M78">
        <v>1</v>
      </c>
    </row>
    <row r="79" spans="1:13" x14ac:dyDescent="0.45">
      <c r="A79" s="6">
        <v>46203</v>
      </c>
      <c r="B79" t="s">
        <v>21</v>
      </c>
      <c r="C79" t="s">
        <v>295</v>
      </c>
      <c r="D79">
        <v>258</v>
      </c>
      <c r="E79">
        <v>3800000</v>
      </c>
      <c r="F79">
        <v>1</v>
      </c>
      <c r="G79" s="7">
        <v>0.35335689045936397</v>
      </c>
      <c r="H79">
        <v>120</v>
      </c>
      <c r="I79" t="e">
        <f>_xlfn.XLOOKUP(C79,#REF!,#REF!)</f>
        <v>#REF!</v>
      </c>
      <c r="J79" t="e">
        <f>_xlfn.XLOOKUP(C79,#REF!,#REF!)</f>
        <v>#REF!</v>
      </c>
      <c r="K79" t="e">
        <f>_xlfn.XLOOKUP(C79,#REF!,#REF!)</f>
        <v>#REF!</v>
      </c>
      <c r="L79" t="e">
        <f>_xlfn.XLOOKUP('208Team_match_stat'!C79,#REF!,#REF!)</f>
        <v>#REF!</v>
      </c>
      <c r="M79">
        <v>3</v>
      </c>
    </row>
    <row r="80" spans="1:13" x14ac:dyDescent="0.45">
      <c r="A80" s="6">
        <v>46203</v>
      </c>
      <c r="B80" t="s">
        <v>5</v>
      </c>
      <c r="C80" t="s">
        <v>280</v>
      </c>
      <c r="D80">
        <v>178</v>
      </c>
      <c r="E80">
        <v>2500000</v>
      </c>
      <c r="F80">
        <v>15</v>
      </c>
      <c r="G80" s="7">
        <v>0.20626631853785901</v>
      </c>
      <c r="H80">
        <v>127</v>
      </c>
      <c r="I80" t="e">
        <f>_xlfn.XLOOKUP(C80,#REF!,#REF!)</f>
        <v>#REF!</v>
      </c>
      <c r="J80" t="e">
        <f>_xlfn.XLOOKUP(C80,#REF!,#REF!)</f>
        <v>#REF!</v>
      </c>
      <c r="K80" t="e">
        <f>_xlfn.XLOOKUP(C80,#REF!,#REF!)</f>
        <v>#REF!</v>
      </c>
      <c r="L80" t="e">
        <f>_xlfn.XLOOKUP('208Team_match_stat'!C80,#REF!,#REF!)</f>
        <v>#REF!</v>
      </c>
      <c r="M80">
        <v>2</v>
      </c>
    </row>
    <row r="81" spans="1:13" x14ac:dyDescent="0.45">
      <c r="A81" s="6">
        <v>46204</v>
      </c>
      <c r="B81" t="s">
        <v>26</v>
      </c>
      <c r="C81" t="s">
        <v>300</v>
      </c>
      <c r="D81">
        <v>399</v>
      </c>
      <c r="E81">
        <v>5800000</v>
      </c>
      <c r="F81">
        <v>4</v>
      </c>
      <c r="G81" s="7">
        <v>0.40606060606060607</v>
      </c>
      <c r="H81">
        <v>169</v>
      </c>
      <c r="I81" t="e">
        <f>_xlfn.XLOOKUP(C81,#REF!,#REF!)</f>
        <v>#REF!</v>
      </c>
      <c r="J81" t="e">
        <f>_xlfn.XLOOKUP(C81,#REF!,#REF!)</f>
        <v>#REF!</v>
      </c>
      <c r="K81" t="e">
        <f>_xlfn.XLOOKUP(C81,#REF!,#REF!)</f>
        <v>#REF!</v>
      </c>
      <c r="L81" t="e">
        <f>_xlfn.XLOOKUP('208Team_match_stat'!C81,#REF!,#REF!)</f>
        <v>#REF!</v>
      </c>
      <c r="M81">
        <v>2</v>
      </c>
    </row>
    <row r="82" spans="1:13" x14ac:dyDescent="0.45">
      <c r="A82" s="6">
        <v>46204</v>
      </c>
      <c r="B82" t="s">
        <v>16</v>
      </c>
      <c r="C82" t="s">
        <v>290</v>
      </c>
      <c r="D82">
        <v>153</v>
      </c>
      <c r="E82">
        <v>1700000</v>
      </c>
      <c r="F82">
        <v>9</v>
      </c>
      <c r="G82" s="7">
        <v>0.41612903225806452</v>
      </c>
      <c r="H82">
        <v>227</v>
      </c>
      <c r="I82" t="e">
        <f>_xlfn.XLOOKUP(C82,#REF!,#REF!)</f>
        <v>#REF!</v>
      </c>
      <c r="J82" t="e">
        <f>_xlfn.XLOOKUP(C82,#REF!,#REF!)</f>
        <v>#REF!</v>
      </c>
      <c r="K82" t="e">
        <f>_xlfn.XLOOKUP(C82,#REF!,#REF!)</f>
        <v>#REF!</v>
      </c>
      <c r="L82" t="e">
        <f>_xlfn.XLOOKUP('208Team_match_stat'!C82,#REF!,#REF!)</f>
        <v>#REF!</v>
      </c>
      <c r="M82">
        <v>3</v>
      </c>
    </row>
    <row r="83" spans="1:13" x14ac:dyDescent="0.45">
      <c r="A83" s="6">
        <v>46204</v>
      </c>
      <c r="B83" t="s">
        <v>8</v>
      </c>
      <c r="C83" t="s">
        <v>8</v>
      </c>
      <c r="D83">
        <v>287</v>
      </c>
      <c r="E83">
        <v>5200000</v>
      </c>
      <c r="F83">
        <v>16</v>
      </c>
      <c r="G83" s="7">
        <v>0.26602564102564102</v>
      </c>
      <c r="H83">
        <v>134</v>
      </c>
      <c r="I83" t="e">
        <f>_xlfn.XLOOKUP(C83,#REF!,#REF!)</f>
        <v>#REF!</v>
      </c>
      <c r="J83" t="e">
        <f>_xlfn.XLOOKUP(C83,#REF!,#REF!)</f>
        <v>#REF!</v>
      </c>
      <c r="K83" t="e">
        <f>_xlfn.XLOOKUP(C83,#REF!,#REF!)</f>
        <v>#REF!</v>
      </c>
      <c r="L83" t="e">
        <f>_xlfn.XLOOKUP('208Team_match_stat'!C83,#REF!,#REF!)</f>
        <v>#REF!</v>
      </c>
      <c r="M83">
        <v>2</v>
      </c>
    </row>
    <row r="84" spans="1:13" x14ac:dyDescent="0.45">
      <c r="A84" s="6">
        <v>46205</v>
      </c>
      <c r="B84" t="s">
        <v>19</v>
      </c>
      <c r="C84" t="s">
        <v>293</v>
      </c>
      <c r="D84">
        <v>421</v>
      </c>
      <c r="E84">
        <v>2000000</v>
      </c>
      <c r="F84">
        <v>2</v>
      </c>
      <c r="G84" s="7">
        <v>0.29411764705882354</v>
      </c>
      <c r="H84">
        <v>130</v>
      </c>
      <c r="I84" t="e">
        <f>_xlfn.XLOOKUP(C84,#REF!,#REF!)</f>
        <v>#REF!</v>
      </c>
      <c r="J84" t="e">
        <f>_xlfn.XLOOKUP(C84,#REF!,#REF!)</f>
        <v>#REF!</v>
      </c>
      <c r="K84" t="e">
        <f>_xlfn.XLOOKUP(C84,#REF!,#REF!)</f>
        <v>#REF!</v>
      </c>
      <c r="L84" t="e">
        <f>_xlfn.XLOOKUP('208Team_match_stat'!C84,#REF!,#REF!)</f>
        <v>#REF!</v>
      </c>
      <c r="M84">
        <v>3</v>
      </c>
    </row>
    <row r="85" spans="1:13" x14ac:dyDescent="0.45">
      <c r="A85" s="6">
        <v>46205</v>
      </c>
      <c r="B85" t="s">
        <v>25</v>
      </c>
      <c r="C85" t="s">
        <v>299</v>
      </c>
      <c r="D85">
        <v>315</v>
      </c>
      <c r="E85">
        <v>4000000</v>
      </c>
      <c r="F85">
        <v>5</v>
      </c>
      <c r="G85" s="7">
        <v>0.40976645435244163</v>
      </c>
      <c r="H85">
        <v>266</v>
      </c>
      <c r="I85" t="e">
        <f>_xlfn.XLOOKUP(C85,#REF!,#REF!)</f>
        <v>#REF!</v>
      </c>
      <c r="J85" t="e">
        <f>_xlfn.XLOOKUP(C85,#REF!,#REF!)</f>
        <v>#REF!</v>
      </c>
      <c r="K85" t="e">
        <f>_xlfn.XLOOKUP(C85,#REF!,#REF!)</f>
        <v>#REF!</v>
      </c>
      <c r="L85" t="e">
        <f>_xlfn.XLOOKUP('208Team_match_stat'!C85,#REF!,#REF!)</f>
        <v>#REF!</v>
      </c>
      <c r="M85">
        <v>2</v>
      </c>
    </row>
    <row r="86" spans="1:13" x14ac:dyDescent="0.45">
      <c r="A86" s="6">
        <v>46205</v>
      </c>
      <c r="B86" t="s">
        <v>27</v>
      </c>
      <c r="C86" t="s">
        <v>301</v>
      </c>
      <c r="D86">
        <v>84</v>
      </c>
      <c r="E86">
        <v>1600000</v>
      </c>
      <c r="F86">
        <v>19</v>
      </c>
      <c r="G86" s="7">
        <v>0.24242424242424243</v>
      </c>
      <c r="H86">
        <v>134</v>
      </c>
      <c r="I86" t="e">
        <f>_xlfn.XLOOKUP(C86,#REF!,#REF!)</f>
        <v>#REF!</v>
      </c>
      <c r="J86" t="e">
        <f>_xlfn.XLOOKUP(C86,#REF!,#REF!)</f>
        <v>#REF!</v>
      </c>
      <c r="K86" t="e">
        <f>_xlfn.XLOOKUP(C86,#REF!,#REF!)</f>
        <v>#REF!</v>
      </c>
      <c r="L86" t="e">
        <f>_xlfn.XLOOKUP('208Team_match_stat'!C86,#REF!,#REF!)</f>
        <v>#REF!</v>
      </c>
      <c r="M86">
        <v>2</v>
      </c>
    </row>
    <row r="87" spans="1:13" x14ac:dyDescent="0.45">
      <c r="A87" s="6">
        <v>46206</v>
      </c>
      <c r="B87" t="s">
        <v>40</v>
      </c>
      <c r="C87" t="s">
        <v>314</v>
      </c>
      <c r="D87">
        <v>241</v>
      </c>
      <c r="E87">
        <v>2000000</v>
      </c>
      <c r="F87">
        <v>13</v>
      </c>
      <c r="G87" s="7">
        <v>0.26143790849673204</v>
      </c>
      <c r="H87">
        <v>113</v>
      </c>
      <c r="I87" t="e">
        <f>_xlfn.XLOOKUP(C87,#REF!,#REF!)</f>
        <v>#REF!</v>
      </c>
      <c r="J87" t="e">
        <f>_xlfn.XLOOKUP(C87,#REF!,#REF!)</f>
        <v>#REF!</v>
      </c>
      <c r="K87" t="e">
        <f>_xlfn.XLOOKUP(C87,#REF!,#REF!)</f>
        <v>#REF!</v>
      </c>
      <c r="L87" t="e">
        <f>_xlfn.XLOOKUP('208Team_match_stat'!C87,#REF!,#REF!)</f>
        <v>#REF!</v>
      </c>
      <c r="M87">
        <v>1</v>
      </c>
    </row>
    <row r="88" spans="1:13" x14ac:dyDescent="0.45">
      <c r="A88" s="6">
        <v>46206</v>
      </c>
      <c r="B88" t="s">
        <v>12</v>
      </c>
      <c r="C88" t="s">
        <v>286</v>
      </c>
      <c r="D88">
        <v>111</v>
      </c>
      <c r="E88">
        <v>605000</v>
      </c>
      <c r="F88">
        <v>27</v>
      </c>
      <c r="G88" s="7">
        <v>0.1875</v>
      </c>
      <c r="H88">
        <v>75</v>
      </c>
      <c r="I88" t="e">
        <f>_xlfn.XLOOKUP(C88,#REF!,#REF!)</f>
        <v>#REF!</v>
      </c>
      <c r="J88" t="e">
        <f>_xlfn.XLOOKUP(C88,#REF!,#REF!)</f>
        <v>#REF!</v>
      </c>
      <c r="K88" t="e">
        <f>_xlfn.XLOOKUP(C88,#REF!,#REF!)</f>
        <v>#REF!</v>
      </c>
      <c r="L88" t="e">
        <f>_xlfn.XLOOKUP('208Team_match_stat'!C88,#REF!,#REF!)</f>
        <v>#REF!</v>
      </c>
      <c r="M88">
        <v>1</v>
      </c>
    </row>
    <row r="89" spans="1:13" x14ac:dyDescent="0.45">
      <c r="A89" s="6">
        <v>46206</v>
      </c>
      <c r="B89" t="s">
        <v>23</v>
      </c>
      <c r="C89" t="s">
        <v>297</v>
      </c>
      <c r="D89">
        <v>465</v>
      </c>
      <c r="E89">
        <v>3000000</v>
      </c>
      <c r="F89">
        <v>3</v>
      </c>
      <c r="G89" s="7">
        <v>0.46419753086419752</v>
      </c>
      <c r="H89">
        <v>241</v>
      </c>
      <c r="I89" t="e">
        <f>_xlfn.XLOOKUP(C89,#REF!,#REF!)</f>
        <v>#REF!</v>
      </c>
      <c r="J89" t="e">
        <f>_xlfn.XLOOKUP(C89,#REF!,#REF!)</f>
        <v>#REF!</v>
      </c>
      <c r="K89" t="e">
        <f>_xlfn.XLOOKUP(C89,#REF!,#REF!)</f>
        <v>#REF!</v>
      </c>
      <c r="L89" t="e">
        <f>_xlfn.XLOOKUP('208Team_match_stat'!C89,#REF!,#REF!)</f>
        <v>#REF!</v>
      </c>
      <c r="M89">
        <v>3</v>
      </c>
    </row>
    <row r="90" spans="1:13" x14ac:dyDescent="0.45">
      <c r="A90" s="6">
        <v>46207</v>
      </c>
      <c r="B90" t="s">
        <v>47</v>
      </c>
      <c r="C90" t="s">
        <v>320</v>
      </c>
      <c r="D90">
        <v>118</v>
      </c>
      <c r="E90">
        <v>2500000</v>
      </c>
      <c r="F90">
        <v>40</v>
      </c>
      <c r="G90" s="7">
        <v>0.12209302325581395</v>
      </c>
      <c r="H90">
        <v>56</v>
      </c>
      <c r="I90" t="e">
        <f>_xlfn.XLOOKUP(C90,#REF!,#REF!)</f>
        <v>#REF!</v>
      </c>
      <c r="J90" t="e">
        <f>_xlfn.XLOOKUP(C90,#REF!,#REF!)</f>
        <v>#REF!</v>
      </c>
      <c r="K90" t="e">
        <f>_xlfn.XLOOKUP(C90,#REF!,#REF!)</f>
        <v>#REF!</v>
      </c>
      <c r="L90" t="e">
        <f>_xlfn.XLOOKUP('208Team_match_stat'!C90,#REF!,#REF!)</f>
        <v>#REF!</v>
      </c>
      <c r="M90">
        <v>0</v>
      </c>
    </row>
    <row r="91" spans="1:13" x14ac:dyDescent="0.45">
      <c r="A91" s="6">
        <v>46207</v>
      </c>
      <c r="B91" t="s">
        <v>7</v>
      </c>
      <c r="C91" t="s">
        <v>282</v>
      </c>
      <c r="D91">
        <v>90</v>
      </c>
      <c r="E91">
        <v>2500000</v>
      </c>
      <c r="F91">
        <v>30</v>
      </c>
      <c r="G91" s="7">
        <v>0.28048780487804881</v>
      </c>
      <c r="H91">
        <v>141</v>
      </c>
      <c r="I91" t="e">
        <f>_xlfn.XLOOKUP(C91,#REF!,#REF!)</f>
        <v>#REF!</v>
      </c>
      <c r="J91" t="e">
        <f>_xlfn.XLOOKUP(C91,#REF!,#REF!)</f>
        <v>#REF!</v>
      </c>
      <c r="K91" t="e">
        <f>_xlfn.XLOOKUP(C91,#REF!,#REF!)</f>
        <v>#REF!</v>
      </c>
      <c r="L91" t="e">
        <f>_xlfn.XLOOKUP('208Team_match_stat'!C91,#REF!,#REF!)</f>
        <v>#REF!</v>
      </c>
      <c r="M91">
        <v>0</v>
      </c>
    </row>
    <row r="92" spans="1:13" x14ac:dyDescent="0.45">
      <c r="A92" s="6">
        <v>46208</v>
      </c>
      <c r="B92" t="s">
        <v>10</v>
      </c>
      <c r="C92" t="s">
        <v>284</v>
      </c>
      <c r="D92">
        <v>660</v>
      </c>
      <c r="E92">
        <v>9500000</v>
      </c>
      <c r="F92">
        <v>6</v>
      </c>
      <c r="G92" s="7">
        <v>0.37195121951219512</v>
      </c>
      <c r="H92">
        <v>162</v>
      </c>
      <c r="I92" t="e">
        <f>_xlfn.XLOOKUP(C92,#REF!,#REF!)</f>
        <v>#REF!</v>
      </c>
      <c r="J92" t="e">
        <f>_xlfn.XLOOKUP(C92,#REF!,#REF!)</f>
        <v>#REF!</v>
      </c>
      <c r="K92" t="e">
        <f>_xlfn.XLOOKUP(C92,#REF!,#REF!)</f>
        <v>#REF!</v>
      </c>
      <c r="L92" t="e">
        <f>_xlfn.XLOOKUP('208Team_match_stat'!C92,#REF!,#REF!)</f>
        <v>#REF!</v>
      </c>
      <c r="M92">
        <v>1</v>
      </c>
    </row>
    <row r="93" spans="1:13" x14ac:dyDescent="0.45">
      <c r="A93" s="6">
        <v>46208</v>
      </c>
      <c r="B93" t="s">
        <v>5</v>
      </c>
      <c r="C93" t="s">
        <v>280</v>
      </c>
      <c r="D93">
        <v>178</v>
      </c>
      <c r="E93">
        <v>2500000</v>
      </c>
      <c r="F93">
        <v>15</v>
      </c>
      <c r="G93" s="7">
        <v>0.20626631853785901</v>
      </c>
      <c r="H93">
        <v>127</v>
      </c>
      <c r="I93" t="e">
        <f>_xlfn.XLOOKUP(C93,#REF!,#REF!)</f>
        <v>#REF!</v>
      </c>
      <c r="J93" t="e">
        <f>_xlfn.XLOOKUP(C93,#REF!,#REF!)</f>
        <v>#REF!</v>
      </c>
      <c r="K93" t="e">
        <f>_xlfn.XLOOKUP(C93,#REF!,#REF!)</f>
        <v>#REF!</v>
      </c>
      <c r="L93" t="e">
        <f>_xlfn.XLOOKUP('208Team_match_stat'!C93,#REF!,#REF!)</f>
        <v>#REF!</v>
      </c>
      <c r="M93">
        <v>2</v>
      </c>
    </row>
    <row r="94" spans="1:13" x14ac:dyDescent="0.45">
      <c r="A94" s="6">
        <v>46209</v>
      </c>
      <c r="B94" t="s">
        <v>25</v>
      </c>
      <c r="C94" t="s">
        <v>299</v>
      </c>
      <c r="D94">
        <v>315</v>
      </c>
      <c r="E94">
        <v>4000000</v>
      </c>
      <c r="F94">
        <v>5</v>
      </c>
      <c r="G94" s="7">
        <v>0.40976645435244163</v>
      </c>
      <c r="H94">
        <v>266</v>
      </c>
      <c r="I94" t="e">
        <f>_xlfn.XLOOKUP(C94,#REF!,#REF!)</f>
        <v>#REF!</v>
      </c>
      <c r="J94" t="e">
        <f>_xlfn.XLOOKUP(C94,#REF!,#REF!)</f>
        <v>#REF!</v>
      </c>
      <c r="K94" t="e">
        <f>_xlfn.XLOOKUP(C94,#REF!,#REF!)</f>
        <v>#REF!</v>
      </c>
      <c r="L94" t="e">
        <f>_xlfn.XLOOKUP('208Team_match_stat'!C94,#REF!,#REF!)</f>
        <v>#REF!</v>
      </c>
      <c r="M94">
        <v>0</v>
      </c>
    </row>
    <row r="95" spans="1:13" x14ac:dyDescent="0.45">
      <c r="A95" s="6">
        <v>46209</v>
      </c>
      <c r="B95" t="s">
        <v>8</v>
      </c>
      <c r="C95" t="s">
        <v>8</v>
      </c>
      <c r="D95">
        <v>287</v>
      </c>
      <c r="E95">
        <v>5200000</v>
      </c>
      <c r="F95">
        <v>16</v>
      </c>
      <c r="G95" s="7">
        <v>0.26602564102564102</v>
      </c>
      <c r="H95">
        <v>134</v>
      </c>
      <c r="I95" t="e">
        <f>_xlfn.XLOOKUP(C95,#REF!,#REF!)</f>
        <v>#REF!</v>
      </c>
      <c r="J95" t="e">
        <f>_xlfn.XLOOKUP(C95,#REF!,#REF!)</f>
        <v>#REF!</v>
      </c>
      <c r="K95" t="e">
        <f>_xlfn.XLOOKUP(C95,#REF!,#REF!)</f>
        <v>#REF!</v>
      </c>
      <c r="L95" t="e">
        <f>_xlfn.XLOOKUP('208Team_match_stat'!C95,#REF!,#REF!)</f>
        <v>#REF!</v>
      </c>
      <c r="M95">
        <v>1</v>
      </c>
    </row>
    <row r="96" spans="1:13" x14ac:dyDescent="0.45">
      <c r="A96" s="6">
        <v>46210</v>
      </c>
      <c r="B96" t="s">
        <v>23</v>
      </c>
      <c r="C96" t="s">
        <v>297</v>
      </c>
      <c r="D96">
        <v>465</v>
      </c>
      <c r="E96">
        <v>3000000</v>
      </c>
      <c r="F96">
        <v>3</v>
      </c>
      <c r="G96" s="7">
        <v>0.46419753086419752</v>
      </c>
      <c r="H96">
        <v>241</v>
      </c>
      <c r="I96" t="e">
        <f>_xlfn.XLOOKUP(C96,#REF!,#REF!)</f>
        <v>#REF!</v>
      </c>
      <c r="J96" t="e">
        <f>_xlfn.XLOOKUP(C96,#REF!,#REF!)</f>
        <v>#REF!</v>
      </c>
      <c r="K96" t="e">
        <f>_xlfn.XLOOKUP(C96,#REF!,#REF!)</f>
        <v>#REF!</v>
      </c>
      <c r="L96" t="e">
        <f>_xlfn.XLOOKUP('208Team_match_stat'!C96,#REF!,#REF!)</f>
        <v>#REF!</v>
      </c>
      <c r="M96">
        <v>3</v>
      </c>
    </row>
    <row r="97" spans="1:13" x14ac:dyDescent="0.45">
      <c r="A97" s="6">
        <v>46210</v>
      </c>
      <c r="B97" t="s">
        <v>27</v>
      </c>
      <c r="C97" t="s">
        <v>301</v>
      </c>
      <c r="D97">
        <v>84</v>
      </c>
      <c r="E97">
        <v>1600000</v>
      </c>
      <c r="F97">
        <v>19</v>
      </c>
      <c r="G97" s="7">
        <v>0.24242424242424243</v>
      </c>
      <c r="H97">
        <v>134</v>
      </c>
      <c r="I97" t="e">
        <f>_xlfn.XLOOKUP(C97,#REF!,#REF!)</f>
        <v>#REF!</v>
      </c>
      <c r="J97" t="e">
        <f>_xlfn.XLOOKUP(C97,#REF!,#REF!)</f>
        <v>#REF!</v>
      </c>
      <c r="K97" t="e">
        <f>_xlfn.XLOOKUP(C97,#REF!,#REF!)</f>
        <v>#REF!</v>
      </c>
      <c r="L97" t="e">
        <f>_xlfn.XLOOKUP('208Team_match_stat'!C97,#REF!,#REF!)</f>
        <v>#REF!</v>
      </c>
      <c r="M97">
        <v>0</v>
      </c>
    </row>
    <row r="98" spans="1:13" x14ac:dyDescent="0.45">
      <c r="A98" s="6">
        <v>46212</v>
      </c>
      <c r="B98" t="s">
        <v>21</v>
      </c>
      <c r="C98" t="s">
        <v>295</v>
      </c>
      <c r="D98">
        <v>258</v>
      </c>
      <c r="E98">
        <v>3800000</v>
      </c>
      <c r="F98">
        <v>1</v>
      </c>
      <c r="G98" s="7">
        <v>0.35335689045936397</v>
      </c>
      <c r="H98">
        <v>120</v>
      </c>
      <c r="I98" t="e">
        <f>_xlfn.XLOOKUP(C98,#REF!,#REF!)</f>
        <v>#REF!</v>
      </c>
      <c r="J98" t="e">
        <f>_xlfn.XLOOKUP(C98,#REF!,#REF!)</f>
        <v>#REF!</v>
      </c>
      <c r="K98" t="e">
        <f>_xlfn.XLOOKUP(C98,#REF!,#REF!)</f>
        <v>#REF!</v>
      </c>
      <c r="L98" t="e">
        <f>_xlfn.XLOOKUP('208Team_match_stat'!C98,#REF!,#REF!)</f>
        <v>#REF!</v>
      </c>
      <c r="M98">
        <v>2</v>
      </c>
    </row>
    <row r="99" spans="1:13" x14ac:dyDescent="0.45">
      <c r="A99" s="6">
        <v>46213</v>
      </c>
      <c r="B99" t="s">
        <v>19</v>
      </c>
      <c r="C99" t="s">
        <v>293</v>
      </c>
      <c r="D99">
        <v>421</v>
      </c>
      <c r="E99">
        <v>2000000</v>
      </c>
      <c r="F99">
        <v>2</v>
      </c>
      <c r="G99" s="7">
        <v>0.29411764705882354</v>
      </c>
      <c r="H99">
        <v>130</v>
      </c>
      <c r="I99" t="e">
        <f>_xlfn.XLOOKUP(C99,#REF!,#REF!)</f>
        <v>#REF!</v>
      </c>
      <c r="J99" t="e">
        <f>_xlfn.XLOOKUP(C99,#REF!,#REF!)</f>
        <v>#REF!</v>
      </c>
      <c r="K99" t="e">
        <f>_xlfn.XLOOKUP(C99,#REF!,#REF!)</f>
        <v>#REF!</v>
      </c>
      <c r="L99" t="e">
        <f>_xlfn.XLOOKUP('208Team_match_stat'!C99,#REF!,#REF!)</f>
        <v>#REF!</v>
      </c>
      <c r="M99">
        <v>2</v>
      </c>
    </row>
    <row r="100" spans="1:13" x14ac:dyDescent="0.45">
      <c r="A100" s="6">
        <v>46214</v>
      </c>
      <c r="B100" t="s">
        <v>37</v>
      </c>
      <c r="C100" t="s">
        <v>311</v>
      </c>
      <c r="D100">
        <v>111</v>
      </c>
      <c r="E100">
        <v>575000</v>
      </c>
      <c r="F100">
        <v>31</v>
      </c>
      <c r="G100" s="7">
        <v>0.43514644351464438</v>
      </c>
      <c r="H100">
        <v>133</v>
      </c>
      <c r="I100" t="e">
        <f>_xlfn.XLOOKUP(C100,#REF!,#REF!)</f>
        <v>#REF!</v>
      </c>
      <c r="J100" t="e">
        <f>_xlfn.XLOOKUP(C100,#REF!,#REF!)</f>
        <v>#REF!</v>
      </c>
      <c r="K100" t="e">
        <f>_xlfn.XLOOKUP(C100,#REF!,#REF!)</f>
        <v>#REF!</v>
      </c>
      <c r="L100" t="e">
        <f>_xlfn.XLOOKUP('208Team_match_stat'!C100,#REF!,#REF!)</f>
        <v>#REF!</v>
      </c>
      <c r="M100">
        <v>1</v>
      </c>
    </row>
    <row r="101" spans="1:13" x14ac:dyDescent="0.45">
      <c r="A101" s="6">
        <v>46214</v>
      </c>
      <c r="B101" t="s">
        <v>23</v>
      </c>
      <c r="C101" t="s">
        <v>297</v>
      </c>
      <c r="D101">
        <v>465</v>
      </c>
      <c r="E101">
        <v>3000000</v>
      </c>
      <c r="F101">
        <v>3</v>
      </c>
      <c r="G101" s="7">
        <v>0.46419753086419752</v>
      </c>
      <c r="H101">
        <v>241</v>
      </c>
      <c r="I101" t="e">
        <f>_xlfn.XLOOKUP(C101,#REF!,#REF!)</f>
        <v>#REF!</v>
      </c>
      <c r="J101" t="e">
        <f>_xlfn.XLOOKUP(C101,#REF!,#REF!)</f>
        <v>#REF!</v>
      </c>
      <c r="K101" t="e">
        <f>_xlfn.XLOOKUP(C101,#REF!,#REF!)</f>
        <v>#REF!</v>
      </c>
      <c r="L101" t="e">
        <f>_xlfn.XLOOKUP('208Team_match_stat'!C101,#REF!,#REF!)</f>
        <v>#REF!</v>
      </c>
      <c r="M101">
        <v>3</v>
      </c>
    </row>
    <row r="102" spans="1:13" x14ac:dyDescent="0.45">
      <c r="A102" s="6">
        <v>46217</v>
      </c>
      <c r="B102" t="s">
        <v>21</v>
      </c>
      <c r="C102" t="s">
        <v>295</v>
      </c>
      <c r="D102">
        <v>258</v>
      </c>
      <c r="E102">
        <v>3800000</v>
      </c>
      <c r="F102">
        <v>1</v>
      </c>
      <c r="G102" s="7">
        <v>0.35335689045936397</v>
      </c>
      <c r="H102">
        <v>120</v>
      </c>
      <c r="I102" t="e">
        <f>_xlfn.XLOOKUP(C102,#REF!,#REF!)</f>
        <v>#REF!</v>
      </c>
      <c r="J102" t="e">
        <f>_xlfn.XLOOKUP(C102,#REF!,#REF!)</f>
        <v>#REF!</v>
      </c>
      <c r="K102" t="e">
        <f>_xlfn.XLOOKUP(C102,#REF!,#REF!)</f>
        <v>#REF!</v>
      </c>
      <c r="L102" t="e">
        <f>_xlfn.XLOOKUP('208Team_match_stat'!C102,#REF!,#REF!)</f>
        <v>#REF!</v>
      </c>
      <c r="M102">
        <v>0</v>
      </c>
    </row>
    <row r="103" spans="1:13" x14ac:dyDescent="0.45">
      <c r="A103" s="6">
        <v>46218</v>
      </c>
      <c r="B103" t="s">
        <v>26</v>
      </c>
      <c r="C103" t="s">
        <v>300</v>
      </c>
      <c r="D103">
        <v>399</v>
      </c>
      <c r="E103">
        <v>5800000</v>
      </c>
      <c r="F103">
        <v>4</v>
      </c>
      <c r="G103" s="7">
        <v>0.40606060606060607</v>
      </c>
      <c r="H103">
        <v>169</v>
      </c>
      <c r="I103" t="e">
        <f>_xlfn.XLOOKUP(C103,#REF!,#REF!)</f>
        <v>#REF!</v>
      </c>
      <c r="J103" t="e">
        <f>_xlfn.XLOOKUP(C103,#REF!,#REF!)</f>
        <v>#REF!</v>
      </c>
      <c r="K103" t="e">
        <f>_xlfn.XLOOKUP(C103,#REF!,#REF!)</f>
        <v>#REF!</v>
      </c>
      <c r="L103" t="e">
        <f>_xlfn.XLOOKUP('208Team_match_stat'!C103,#REF!,#REF!)</f>
        <v>#REF!</v>
      </c>
      <c r="M103">
        <v>1</v>
      </c>
    </row>
    <row r="104" spans="1:13" x14ac:dyDescent="0.45">
      <c r="A104" s="6">
        <v>46221</v>
      </c>
      <c r="B104" t="s">
        <v>26</v>
      </c>
      <c r="C104" t="s">
        <v>300</v>
      </c>
      <c r="D104">
        <v>399</v>
      </c>
      <c r="E104">
        <v>5800000</v>
      </c>
      <c r="F104">
        <v>4</v>
      </c>
      <c r="G104" s="7">
        <v>0.40606060606060607</v>
      </c>
      <c r="H104">
        <v>169</v>
      </c>
      <c r="I104" t="e">
        <f>_xlfn.XLOOKUP(C104,#REF!,#REF!)</f>
        <v>#REF!</v>
      </c>
      <c r="J104" t="e">
        <f>_xlfn.XLOOKUP(C104,#REF!,#REF!)</f>
        <v>#REF!</v>
      </c>
      <c r="K104" t="e">
        <f>_xlfn.XLOOKUP(C104,#REF!,#REF!)</f>
        <v>#REF!</v>
      </c>
      <c r="L104" t="e">
        <f>_xlfn.XLOOKUP('208Team_match_stat'!C104,#REF!,#REF!)</f>
        <v>#REF!</v>
      </c>
      <c r="M104">
        <v>6</v>
      </c>
    </row>
    <row r="105" spans="1:13" x14ac:dyDescent="0.45">
      <c r="A105" s="6">
        <v>46222</v>
      </c>
      <c r="B105" t="s">
        <v>19</v>
      </c>
      <c r="C105" t="s">
        <v>293</v>
      </c>
      <c r="D105">
        <v>421</v>
      </c>
      <c r="E105">
        <v>2000000</v>
      </c>
      <c r="F105">
        <v>2</v>
      </c>
      <c r="G105" s="7">
        <v>0.29411764705882354</v>
      </c>
      <c r="H105">
        <v>130</v>
      </c>
      <c r="I105" t="e">
        <f>_xlfn.XLOOKUP(C105,#REF!,#REF!)</f>
        <v>#REF!</v>
      </c>
      <c r="J105" t="e">
        <f>_xlfn.XLOOKUP(C105,#REF!,#REF!)</f>
        <v>#REF!</v>
      </c>
      <c r="K105" t="e">
        <f>_xlfn.XLOOKUP(C105,#REF!,#REF!)</f>
        <v>#REF!</v>
      </c>
      <c r="L105" t="e">
        <f>_xlfn.XLOOKUP('208Team_match_stat'!C105,#REF!,#REF!)</f>
        <v>#REF!</v>
      </c>
      <c r="M105">
        <v>1</v>
      </c>
    </row>
    <row r="106" spans="1:13" x14ac:dyDescent="0.45">
      <c r="A106" s="6">
        <v>46184</v>
      </c>
      <c r="B106" t="s">
        <v>43</v>
      </c>
      <c r="C106" t="s">
        <v>289</v>
      </c>
      <c r="D106">
        <v>49</v>
      </c>
      <c r="E106">
        <v>900000</v>
      </c>
      <c r="F106">
        <v>60</v>
      </c>
      <c r="G106" s="7">
        <v>0.20238095238095238</v>
      </c>
      <c r="H106">
        <v>68</v>
      </c>
      <c r="I106" t="e">
        <f>_xlfn.XLOOKUP(C106,#REF!,#REF!)</f>
        <v>#REF!</v>
      </c>
      <c r="J106" t="e">
        <f>_xlfn.XLOOKUP(C106,#REF!,#REF!)</f>
        <v>#REF!</v>
      </c>
      <c r="K106" t="e">
        <f>_xlfn.XLOOKUP(C106,#REF!,#REF!)</f>
        <v>#REF!</v>
      </c>
      <c r="L106" t="e">
        <f>_xlfn.XLOOKUP(C106,#REF!,#REF!)</f>
        <v>#REF!</v>
      </c>
      <c r="M106">
        <v>0</v>
      </c>
    </row>
    <row r="107" spans="1:13" x14ac:dyDescent="0.45">
      <c r="A107" s="6">
        <v>46185</v>
      </c>
      <c r="B107" t="s">
        <v>30</v>
      </c>
      <c r="C107" t="s">
        <v>304</v>
      </c>
      <c r="D107">
        <v>100</v>
      </c>
      <c r="E107">
        <v>180000</v>
      </c>
      <c r="F107">
        <v>41</v>
      </c>
      <c r="G107" s="7">
        <v>0.2560386473429952</v>
      </c>
      <c r="H107">
        <v>100</v>
      </c>
      <c r="I107" t="e">
        <f>_xlfn.XLOOKUP(C107,#REF!,#REF!)</f>
        <v>#REF!</v>
      </c>
      <c r="J107" t="e">
        <f>_xlfn.XLOOKUP(C107,#REF!,#REF!)</f>
        <v>#REF!</v>
      </c>
      <c r="K107" t="e">
        <f>_xlfn.XLOOKUP(C107,#REF!,#REF!)</f>
        <v>#REF!</v>
      </c>
      <c r="L107" t="e">
        <f>_xlfn.XLOOKUP(C107,#REF!,#REF!)</f>
        <v>#REF!</v>
      </c>
      <c r="M107">
        <v>1</v>
      </c>
    </row>
    <row r="108" spans="1:13" x14ac:dyDescent="0.45">
      <c r="A108" s="6">
        <v>46185</v>
      </c>
      <c r="B108" t="s">
        <v>42</v>
      </c>
      <c r="C108" t="s">
        <v>316</v>
      </c>
      <c r="D108">
        <v>88</v>
      </c>
      <c r="E108">
        <v>230000</v>
      </c>
      <c r="F108">
        <v>65</v>
      </c>
      <c r="G108" s="7">
        <v>0.33204633204633205</v>
      </c>
      <c r="H108">
        <v>97</v>
      </c>
      <c r="I108" t="e">
        <f>_xlfn.XLOOKUP(C108,#REF!,#REF!)</f>
        <v>#REF!</v>
      </c>
      <c r="J108" t="e">
        <f>_xlfn.XLOOKUP(C108,#REF!,#REF!)</f>
        <v>#REF!</v>
      </c>
      <c r="K108" t="e">
        <f>_xlfn.XLOOKUP(C108,#REF!,#REF!)</f>
        <v>#REF!</v>
      </c>
      <c r="L108" t="e">
        <f>_xlfn.XLOOKUP(C108,#REF!,#REF!)</f>
        <v>#REF!</v>
      </c>
      <c r="M108">
        <v>1</v>
      </c>
    </row>
    <row r="109" spans="1:13" x14ac:dyDescent="0.45">
      <c r="A109" s="6">
        <v>46186</v>
      </c>
      <c r="B109" t="s">
        <v>47</v>
      </c>
      <c r="C109" t="s">
        <v>320</v>
      </c>
      <c r="D109">
        <v>118</v>
      </c>
      <c r="E109">
        <v>2500000</v>
      </c>
      <c r="F109">
        <v>40</v>
      </c>
      <c r="G109" s="7">
        <v>0.12209302325581395</v>
      </c>
      <c r="H109">
        <v>56</v>
      </c>
      <c r="I109" t="e">
        <f>_xlfn.XLOOKUP(C109,#REF!,#REF!)</f>
        <v>#REF!</v>
      </c>
      <c r="J109" t="e">
        <f>_xlfn.XLOOKUP(C109,#REF!,#REF!)</f>
        <v>#REF!</v>
      </c>
      <c r="K109" t="e">
        <f>_xlfn.XLOOKUP(C109,#REF!,#REF!)</f>
        <v>#REF!</v>
      </c>
      <c r="L109" t="e">
        <f>_xlfn.XLOOKUP(C109,#REF!,#REF!)</f>
        <v>#REF!</v>
      </c>
      <c r="M109">
        <v>1</v>
      </c>
    </row>
    <row r="110" spans="1:13" x14ac:dyDescent="0.45">
      <c r="A110" s="6">
        <v>46186</v>
      </c>
      <c r="B110" t="s">
        <v>27</v>
      </c>
      <c r="C110" t="s">
        <v>301</v>
      </c>
      <c r="D110">
        <v>84</v>
      </c>
      <c r="E110">
        <v>1600000</v>
      </c>
      <c r="F110">
        <v>19</v>
      </c>
      <c r="G110" s="7">
        <v>0.24242424242424243</v>
      </c>
      <c r="H110">
        <v>134</v>
      </c>
      <c r="I110" t="e">
        <f>_xlfn.XLOOKUP(C110,#REF!,#REF!)</f>
        <v>#REF!</v>
      </c>
      <c r="J110" t="e">
        <f>_xlfn.XLOOKUP(C110,#REF!,#REF!)</f>
        <v>#REF!</v>
      </c>
      <c r="K110" t="e">
        <f>_xlfn.XLOOKUP(C110,#REF!,#REF!)</f>
        <v>#REF!</v>
      </c>
      <c r="L110" t="e">
        <f>_xlfn.XLOOKUP(C110,#REF!,#REF!)</f>
        <v>#REF!</v>
      </c>
      <c r="M110">
        <v>1</v>
      </c>
    </row>
    <row r="111" spans="1:13" x14ac:dyDescent="0.45">
      <c r="A111" s="6">
        <v>46186</v>
      </c>
      <c r="B111" t="s">
        <v>39</v>
      </c>
      <c r="C111" t="s">
        <v>313</v>
      </c>
      <c r="D111">
        <v>127</v>
      </c>
      <c r="E111">
        <v>775000</v>
      </c>
      <c r="F111">
        <v>8</v>
      </c>
      <c r="G111" s="7">
        <v>0.40909090909090912</v>
      </c>
      <c r="H111">
        <v>109</v>
      </c>
      <c r="I111" t="e">
        <f>_xlfn.XLOOKUP(C111,#REF!,#REF!)</f>
        <v>#REF!</v>
      </c>
      <c r="J111" t="e">
        <f>_xlfn.XLOOKUP(C111,#REF!,#REF!)</f>
        <v>#REF!</v>
      </c>
      <c r="K111" t="e">
        <f>_xlfn.XLOOKUP(C111,#REF!,#REF!)</f>
        <v>#REF!</v>
      </c>
      <c r="L111" t="e">
        <f>_xlfn.XLOOKUP(C111,#REF!,#REF!)</f>
        <v>#REF!</v>
      </c>
      <c r="M111">
        <v>1</v>
      </c>
    </row>
    <row r="112" spans="1:13" x14ac:dyDescent="0.45">
      <c r="A112" s="6">
        <v>46187</v>
      </c>
      <c r="B112" t="s">
        <v>31</v>
      </c>
      <c r="C112" t="s">
        <v>305</v>
      </c>
      <c r="D112">
        <v>139</v>
      </c>
      <c r="E112">
        <v>500000</v>
      </c>
      <c r="F112">
        <v>43</v>
      </c>
      <c r="G112" s="7">
        <v>0.20496894409937888</v>
      </c>
      <c r="H112">
        <v>99</v>
      </c>
      <c r="I112" t="e">
        <f>_xlfn.XLOOKUP(C112,#REF!,#REF!)</f>
        <v>#REF!</v>
      </c>
      <c r="J112" t="e">
        <f>_xlfn.XLOOKUP(C112,#REF!,#REF!)</f>
        <v>#REF!</v>
      </c>
      <c r="K112" t="e">
        <f>_xlfn.XLOOKUP(C112,#REF!,#REF!)</f>
        <v>#REF!</v>
      </c>
      <c r="L112" t="e">
        <f>_xlfn.XLOOKUP(C112,#REF!,#REF!)</f>
        <v>#REF!</v>
      </c>
      <c r="M112">
        <v>1</v>
      </c>
    </row>
    <row r="113" spans="1:13" x14ac:dyDescent="0.45">
      <c r="A113" s="6">
        <v>46187</v>
      </c>
      <c r="B113" t="s">
        <v>32</v>
      </c>
      <c r="C113" t="s">
        <v>306</v>
      </c>
      <c r="D113">
        <v>146</v>
      </c>
      <c r="E113">
        <v>2200000</v>
      </c>
      <c r="F113">
        <v>22</v>
      </c>
      <c r="G113" s="7">
        <v>0.17647058823529413</v>
      </c>
      <c r="H113">
        <v>100</v>
      </c>
      <c r="I113" t="e">
        <f>_xlfn.XLOOKUP(C113,#REF!,#REF!)</f>
        <v>#REF!</v>
      </c>
      <c r="J113" t="e">
        <f>_xlfn.XLOOKUP(C113,#REF!,#REF!)</f>
        <v>#REF!</v>
      </c>
      <c r="K113" t="e">
        <f>_xlfn.XLOOKUP(C113,#REF!,#REF!)</f>
        <v>#REF!</v>
      </c>
      <c r="L113" t="e">
        <f>_xlfn.XLOOKUP(C113,#REF!,#REF!)</f>
        <v>#REF!</v>
      </c>
      <c r="M113">
        <v>0</v>
      </c>
    </row>
    <row r="114" spans="1:13" x14ac:dyDescent="0.45">
      <c r="A114" s="6">
        <v>46187</v>
      </c>
      <c r="B114" t="s">
        <v>44</v>
      </c>
      <c r="C114" t="s">
        <v>317</v>
      </c>
      <c r="D114">
        <v>0</v>
      </c>
      <c r="E114">
        <v>96000</v>
      </c>
      <c r="F114">
        <v>82</v>
      </c>
      <c r="G114" s="7">
        <v>0.15104166666666666</v>
      </c>
      <c r="H114">
        <v>73</v>
      </c>
      <c r="I114" t="e">
        <f>_xlfn.XLOOKUP(C114,#REF!,#REF!)</f>
        <v>#REF!</v>
      </c>
      <c r="J114" t="e">
        <f>_xlfn.XLOOKUP(C114,#REF!,#REF!)</f>
        <v>#REF!</v>
      </c>
      <c r="K114" t="e">
        <f>_xlfn.XLOOKUP(C114,#REF!,#REF!)</f>
        <v>#REF!</v>
      </c>
      <c r="L114" t="e">
        <f>_xlfn.XLOOKUP(C114,#REF!,#REF!)</f>
        <v>#REF!</v>
      </c>
      <c r="M114">
        <v>1</v>
      </c>
    </row>
    <row r="115" spans="1:13" x14ac:dyDescent="0.45">
      <c r="A115" s="6">
        <v>46187</v>
      </c>
      <c r="B115" t="s">
        <v>46</v>
      </c>
      <c r="C115" t="s">
        <v>319</v>
      </c>
      <c r="D115">
        <v>126</v>
      </c>
      <c r="E115">
        <v>865000</v>
      </c>
      <c r="F115">
        <v>18</v>
      </c>
      <c r="G115" s="7">
        <v>0.4</v>
      </c>
      <c r="H115">
        <v>121</v>
      </c>
      <c r="I115" t="e">
        <f>_xlfn.XLOOKUP(C115,#REF!,#REF!)</f>
        <v>#REF!</v>
      </c>
      <c r="J115" t="e">
        <f>_xlfn.XLOOKUP(C115,#REF!,#REF!)</f>
        <v>#REF!</v>
      </c>
      <c r="K115" t="e">
        <f>_xlfn.XLOOKUP(C115,#REF!,#REF!)</f>
        <v>#REF!</v>
      </c>
      <c r="L115" t="e">
        <f>_xlfn.XLOOKUP(C115,#REF!,#REF!)</f>
        <v>#REF!</v>
      </c>
      <c r="M115">
        <v>2</v>
      </c>
    </row>
    <row r="116" spans="1:13" x14ac:dyDescent="0.45">
      <c r="A116" s="6">
        <v>46188</v>
      </c>
      <c r="B116" t="s">
        <v>33</v>
      </c>
      <c r="C116" t="s">
        <v>307</v>
      </c>
      <c r="D116">
        <v>203</v>
      </c>
      <c r="E116">
        <v>3000000</v>
      </c>
      <c r="F116">
        <v>17</v>
      </c>
      <c r="G116" s="7">
        <v>0.1702127659574468</v>
      </c>
      <c r="H116">
        <v>77</v>
      </c>
      <c r="I116" t="e">
        <f>_xlfn.XLOOKUP(C116,#REF!,#REF!)</f>
        <v>#REF!</v>
      </c>
      <c r="J116" t="e">
        <f>_xlfn.XLOOKUP(C116,#REF!,#REF!)</f>
        <v>#REF!</v>
      </c>
      <c r="K116" t="e">
        <f>_xlfn.XLOOKUP(C116,#REF!,#REF!)</f>
        <v>#REF!</v>
      </c>
      <c r="L116" t="e">
        <f>_xlfn.XLOOKUP(C116,#REF!,#REF!)</f>
        <v>#REF!</v>
      </c>
      <c r="M116">
        <v>1</v>
      </c>
    </row>
    <row r="117" spans="1:13" x14ac:dyDescent="0.45">
      <c r="A117" s="6">
        <v>46188</v>
      </c>
      <c r="B117" t="s">
        <v>49</v>
      </c>
      <c r="C117" t="s">
        <v>322</v>
      </c>
      <c r="D117">
        <v>121</v>
      </c>
      <c r="E117">
        <v>156000</v>
      </c>
      <c r="F117">
        <v>29</v>
      </c>
      <c r="G117" s="7">
        <v>0.29133858267716534</v>
      </c>
      <c r="H117">
        <v>136</v>
      </c>
      <c r="I117" t="e">
        <f>_xlfn.XLOOKUP(C117,#REF!,#REF!)</f>
        <v>#REF!</v>
      </c>
      <c r="J117" t="e">
        <f>_xlfn.XLOOKUP(C117,#REF!,#REF!)</f>
        <v>#REF!</v>
      </c>
      <c r="K117" t="e">
        <f>_xlfn.XLOOKUP(C117,#REF!,#REF!)</f>
        <v>#REF!</v>
      </c>
      <c r="L117" t="e">
        <f>_xlfn.XLOOKUP(C117,#REF!,#REF!)</f>
        <v>#REF!</v>
      </c>
      <c r="M117">
        <v>1</v>
      </c>
    </row>
    <row r="118" spans="1:13" x14ac:dyDescent="0.45">
      <c r="A118" s="6">
        <v>46188</v>
      </c>
      <c r="B118" t="s">
        <v>34</v>
      </c>
      <c r="C118" t="s">
        <v>308</v>
      </c>
      <c r="D118">
        <v>109</v>
      </c>
      <c r="E118">
        <v>350000</v>
      </c>
      <c r="F118">
        <v>44</v>
      </c>
      <c r="G118" s="7">
        <v>0.17757009345794392</v>
      </c>
      <c r="H118">
        <v>45</v>
      </c>
      <c r="I118" t="e">
        <f>_xlfn.XLOOKUP(C118,#REF!,#REF!)</f>
        <v>#REF!</v>
      </c>
      <c r="J118" t="e">
        <f>_xlfn.XLOOKUP(C118,#REF!,#REF!)</f>
        <v>#REF!</v>
      </c>
      <c r="K118" t="e">
        <f>_xlfn.XLOOKUP(C118,#REF!,#REF!)</f>
        <v>#REF!</v>
      </c>
      <c r="L118" t="e">
        <f>_xlfn.XLOOKUP(C118,#REF!,#REF!)</f>
        <v>#REF!</v>
      </c>
      <c r="M118">
        <v>1</v>
      </c>
    </row>
    <row r="119" spans="1:13" x14ac:dyDescent="0.45">
      <c r="A119" s="6">
        <v>46188</v>
      </c>
      <c r="B119" t="s">
        <v>35</v>
      </c>
      <c r="C119" t="s">
        <v>309</v>
      </c>
      <c r="D119">
        <v>124</v>
      </c>
      <c r="E119">
        <v>2000000</v>
      </c>
      <c r="F119">
        <v>23</v>
      </c>
      <c r="G119" s="7">
        <v>0.26022304832713755</v>
      </c>
      <c r="H119">
        <v>96</v>
      </c>
      <c r="I119" t="e">
        <f>_xlfn.XLOOKUP(C119,#REF!,#REF!)</f>
        <v>#REF!</v>
      </c>
      <c r="J119" t="e">
        <f>_xlfn.XLOOKUP(C119,#REF!,#REF!)</f>
        <v>#REF!</v>
      </c>
      <c r="K119" t="e">
        <f>_xlfn.XLOOKUP(C119,#REF!,#REF!)</f>
        <v>#REF!</v>
      </c>
      <c r="L119" t="e">
        <f>_xlfn.XLOOKUP(C119,#REF!,#REF!)</f>
        <v>#REF!</v>
      </c>
      <c r="M119">
        <v>0</v>
      </c>
    </row>
    <row r="120" spans="1:13" x14ac:dyDescent="0.45">
      <c r="A120" s="6">
        <v>46188</v>
      </c>
      <c r="B120" t="s">
        <v>48</v>
      </c>
      <c r="C120" t="s">
        <v>321</v>
      </c>
      <c r="D120">
        <v>1</v>
      </c>
      <c r="E120">
        <v>110000</v>
      </c>
      <c r="F120">
        <v>69</v>
      </c>
      <c r="G120" s="7">
        <v>0.23333333333333334</v>
      </c>
      <c r="H120">
        <v>79</v>
      </c>
      <c r="I120" t="e">
        <f>_xlfn.XLOOKUP(C120,#REF!,#REF!)</f>
        <v>#REF!</v>
      </c>
      <c r="J120" t="e">
        <f>_xlfn.XLOOKUP(C120,#REF!,#REF!)</f>
        <v>#REF!</v>
      </c>
      <c r="K120" t="e">
        <f>_xlfn.XLOOKUP(C120,#REF!,#REF!)</f>
        <v>#REF!</v>
      </c>
      <c r="L120" t="e">
        <f>_xlfn.XLOOKUP(C120,#REF!,#REF!)</f>
        <v>#REF!</v>
      </c>
      <c r="M120">
        <v>0</v>
      </c>
    </row>
    <row r="121" spans="1:13" x14ac:dyDescent="0.45">
      <c r="A121" s="6">
        <v>46189</v>
      </c>
      <c r="B121" t="s">
        <v>36</v>
      </c>
      <c r="C121" t="s">
        <v>310</v>
      </c>
      <c r="D121">
        <v>28</v>
      </c>
      <c r="E121">
        <v>130000</v>
      </c>
      <c r="F121">
        <v>85</v>
      </c>
      <c r="G121" s="7">
        <v>0.29310344827586204</v>
      </c>
      <c r="H121">
        <v>110</v>
      </c>
      <c r="I121" t="e">
        <f>_xlfn.XLOOKUP(C121,#REF!,#REF!)</f>
        <v>#REF!</v>
      </c>
      <c r="J121" t="e">
        <f>_xlfn.XLOOKUP(C121,#REF!,#REF!)</f>
        <v>#REF!</v>
      </c>
      <c r="K121" t="e">
        <f>_xlfn.XLOOKUP(C121,#REF!,#REF!)</f>
        <v>#REF!</v>
      </c>
      <c r="L121" t="e">
        <f>_xlfn.XLOOKUP(C121,#REF!,#REF!)</f>
        <v>#REF!</v>
      </c>
      <c r="M121">
        <v>2</v>
      </c>
    </row>
    <row r="122" spans="1:13" x14ac:dyDescent="0.45">
      <c r="A122" s="6">
        <v>46189</v>
      </c>
      <c r="B122" t="s">
        <v>45</v>
      </c>
      <c r="C122" t="s">
        <v>318</v>
      </c>
      <c r="D122">
        <v>58</v>
      </c>
      <c r="E122">
        <v>920000</v>
      </c>
      <c r="F122">
        <v>14</v>
      </c>
      <c r="G122" s="7">
        <v>0.27173913043478259</v>
      </c>
      <c r="H122">
        <v>141</v>
      </c>
      <c r="I122" t="e">
        <f>_xlfn.XLOOKUP(C122,#REF!,#REF!)</f>
        <v>#REF!</v>
      </c>
      <c r="J122" t="e">
        <f>_xlfn.XLOOKUP(C122,#REF!,#REF!)</f>
        <v>#REF!</v>
      </c>
      <c r="K122" t="e">
        <f>_xlfn.XLOOKUP(C122,#REF!,#REF!)</f>
        <v>#REF!</v>
      </c>
      <c r="L122" t="e">
        <f>_xlfn.XLOOKUP(C122,#REF!,#REF!)</f>
        <v>#REF!</v>
      </c>
      <c r="M122">
        <v>1</v>
      </c>
    </row>
    <row r="123" spans="1:13" x14ac:dyDescent="0.45">
      <c r="A123" s="6">
        <v>46189</v>
      </c>
      <c r="B123" t="s">
        <v>37</v>
      </c>
      <c r="C123" t="s">
        <v>311</v>
      </c>
      <c r="D123">
        <v>111</v>
      </c>
      <c r="E123">
        <v>575000</v>
      </c>
      <c r="F123">
        <v>31</v>
      </c>
      <c r="G123" s="7">
        <v>0.43514644351464438</v>
      </c>
      <c r="H123">
        <v>133</v>
      </c>
      <c r="I123" t="e">
        <f>_xlfn.XLOOKUP(C123,#REF!,#REF!)</f>
        <v>#REF!</v>
      </c>
      <c r="J123" t="e">
        <f>_xlfn.XLOOKUP(C123,#REF!,#REF!)</f>
        <v>#REF!</v>
      </c>
      <c r="K123" t="e">
        <f>_xlfn.XLOOKUP(C123,#REF!,#REF!)</f>
        <v>#REF!</v>
      </c>
      <c r="L123" t="e">
        <f>_xlfn.XLOOKUP(C123,#REF!,#REF!)</f>
        <v>#REF!</v>
      </c>
      <c r="M123">
        <v>4</v>
      </c>
    </row>
    <row r="124" spans="1:13" x14ac:dyDescent="0.45">
      <c r="A124" s="6">
        <v>46190</v>
      </c>
      <c r="B124" t="s">
        <v>52</v>
      </c>
      <c r="C124" t="s">
        <v>325</v>
      </c>
      <c r="D124">
        <v>51</v>
      </c>
      <c r="E124">
        <v>1380000</v>
      </c>
      <c r="F124">
        <v>28</v>
      </c>
      <c r="G124" s="7">
        <v>0.34334763948497854</v>
      </c>
      <c r="H124">
        <v>126</v>
      </c>
      <c r="I124" t="e">
        <f>_xlfn.XLOOKUP(C124,#REF!,#REF!)</f>
        <v>#REF!</v>
      </c>
      <c r="J124" t="e">
        <f>_xlfn.XLOOKUP(C124,#REF!,#REF!)</f>
        <v>#REF!</v>
      </c>
      <c r="K124" t="e">
        <f>_xlfn.XLOOKUP(C124,#REF!,#REF!)</f>
        <v>#REF!</v>
      </c>
      <c r="L124" t="e">
        <f>_xlfn.XLOOKUP(C124,#REF!,#REF!)</f>
        <v>#REF!</v>
      </c>
      <c r="M124">
        <v>0</v>
      </c>
    </row>
    <row r="125" spans="1:13" x14ac:dyDescent="0.45">
      <c r="A125" s="6">
        <v>46190</v>
      </c>
      <c r="B125" t="s">
        <v>38</v>
      </c>
      <c r="C125" t="s">
        <v>312</v>
      </c>
      <c r="D125">
        <v>42</v>
      </c>
      <c r="E125">
        <v>300000</v>
      </c>
      <c r="F125">
        <v>63</v>
      </c>
      <c r="G125" s="7">
        <v>0.21835443037974683</v>
      </c>
      <c r="H125">
        <v>93</v>
      </c>
      <c r="I125" t="e">
        <f>_xlfn.XLOOKUP(C125,#REF!,#REF!)</f>
        <v>#REF!</v>
      </c>
      <c r="J125" t="e">
        <f>_xlfn.XLOOKUP(C125,#REF!,#REF!)</f>
        <v>#REF!</v>
      </c>
      <c r="K125" t="e">
        <f>_xlfn.XLOOKUP(C125,#REF!,#REF!)</f>
        <v>#REF!</v>
      </c>
      <c r="L125" t="e">
        <f>_xlfn.XLOOKUP(C125,#REF!,#REF!)</f>
        <v>#REF!</v>
      </c>
      <c r="M125">
        <v>1</v>
      </c>
    </row>
    <row r="126" spans="1:13" x14ac:dyDescent="0.45">
      <c r="A126" s="6">
        <v>46190</v>
      </c>
      <c r="B126" t="s">
        <v>51</v>
      </c>
      <c r="C126" t="s">
        <v>324</v>
      </c>
      <c r="D126">
        <v>30</v>
      </c>
      <c r="E126">
        <v>430000</v>
      </c>
      <c r="F126">
        <v>46</v>
      </c>
      <c r="G126" s="7">
        <v>0.20640569395017794</v>
      </c>
      <c r="H126">
        <v>85</v>
      </c>
      <c r="I126" t="e">
        <f>_xlfn.XLOOKUP(C126,#REF!,#REF!)</f>
        <v>#REF!</v>
      </c>
      <c r="J126" t="e">
        <f>_xlfn.XLOOKUP(C126,#REF!,#REF!)</f>
        <v>#REF!</v>
      </c>
      <c r="K126" t="e">
        <f>_xlfn.XLOOKUP(C126,#REF!,#REF!)</f>
        <v>#REF!</v>
      </c>
      <c r="L126" t="e">
        <f>_xlfn.XLOOKUP(C126,#REF!,#REF!)</f>
        <v>#REF!</v>
      </c>
      <c r="M126">
        <v>1</v>
      </c>
    </row>
    <row r="127" spans="1:13" x14ac:dyDescent="0.45">
      <c r="A127" s="6">
        <v>46190</v>
      </c>
      <c r="B127" t="s">
        <v>50</v>
      </c>
      <c r="C127" t="s">
        <v>323</v>
      </c>
      <c r="D127">
        <v>97</v>
      </c>
      <c r="E127">
        <v>1500000</v>
      </c>
      <c r="F127">
        <v>11</v>
      </c>
      <c r="G127" s="7">
        <v>0.24099722991689751</v>
      </c>
      <c r="H127">
        <v>159</v>
      </c>
      <c r="I127" t="e">
        <f>_xlfn.XLOOKUP(C127,#REF!,#REF!)</f>
        <v>#REF!</v>
      </c>
      <c r="J127" t="e">
        <f>_xlfn.XLOOKUP(C127,#REF!,#REF!)</f>
        <v>#REF!</v>
      </c>
      <c r="K127" t="e">
        <f>_xlfn.XLOOKUP(C127,#REF!,#REF!)</f>
        <v>#REF!</v>
      </c>
      <c r="L127" t="e">
        <f>_xlfn.XLOOKUP(C127,#REF!,#REF!)</f>
        <v>#REF!</v>
      </c>
      <c r="M127">
        <v>2</v>
      </c>
    </row>
    <row r="128" spans="1:13" x14ac:dyDescent="0.45">
      <c r="A128" s="6">
        <v>46191</v>
      </c>
      <c r="B128" t="s">
        <v>9</v>
      </c>
      <c r="C128" t="s">
        <v>283</v>
      </c>
      <c r="D128">
        <v>31</v>
      </c>
      <c r="E128">
        <v>2400000</v>
      </c>
      <c r="F128">
        <v>55</v>
      </c>
      <c r="G128" s="7">
        <v>0.2413793103448276</v>
      </c>
      <c r="H128">
        <v>217</v>
      </c>
      <c r="I128" t="e">
        <f>_xlfn.XLOOKUP(C128,#REF!,#REF!)</f>
        <v>#REF!</v>
      </c>
      <c r="J128" t="e">
        <f>_xlfn.XLOOKUP(C128,#REF!,#REF!)</f>
        <v>#REF!</v>
      </c>
      <c r="K128" t="e">
        <f>_xlfn.XLOOKUP(C128,#REF!,#REF!)</f>
        <v>#REF!</v>
      </c>
      <c r="L128" t="e">
        <f>_xlfn.XLOOKUP(C128,#REF!,#REF!)</f>
        <v>#REF!</v>
      </c>
      <c r="M128">
        <v>0</v>
      </c>
    </row>
    <row r="129" spans="1:13" x14ac:dyDescent="0.45">
      <c r="A129" s="6">
        <v>46191</v>
      </c>
      <c r="B129" t="s">
        <v>42</v>
      </c>
      <c r="C129" t="s">
        <v>316</v>
      </c>
      <c r="D129">
        <v>88</v>
      </c>
      <c r="E129">
        <v>230000</v>
      </c>
      <c r="F129">
        <v>65</v>
      </c>
      <c r="G129" s="7">
        <v>0.33204633204633205</v>
      </c>
      <c r="H129">
        <v>97</v>
      </c>
      <c r="I129" t="e">
        <f>_xlfn.XLOOKUP(C129,#REF!,#REF!)</f>
        <v>#REF!</v>
      </c>
      <c r="J129" t="e">
        <f>_xlfn.XLOOKUP(C129,#REF!,#REF!)</f>
        <v>#REF!</v>
      </c>
      <c r="K129" t="e">
        <f>_xlfn.XLOOKUP(C129,#REF!,#REF!)</f>
        <v>#REF!</v>
      </c>
      <c r="L129" t="e">
        <f>_xlfn.XLOOKUP(C129,#REF!,#REF!)</f>
        <v>#REF!</v>
      </c>
      <c r="M129">
        <v>1</v>
      </c>
    </row>
    <row r="130" spans="1:13" x14ac:dyDescent="0.45">
      <c r="A130" s="6">
        <v>46191</v>
      </c>
      <c r="B130" t="s">
        <v>40</v>
      </c>
      <c r="C130" t="s">
        <v>314</v>
      </c>
      <c r="D130">
        <v>241</v>
      </c>
      <c r="E130">
        <v>2000000</v>
      </c>
      <c r="F130">
        <v>13</v>
      </c>
      <c r="G130" s="7">
        <v>0.26143790849673204</v>
      </c>
      <c r="H130">
        <v>113</v>
      </c>
      <c r="I130" t="e">
        <f>_xlfn.XLOOKUP(C130,#REF!,#REF!)</f>
        <v>#REF!</v>
      </c>
      <c r="J130" t="e">
        <f>_xlfn.XLOOKUP(C130,#REF!,#REF!)</f>
        <v>#REF!</v>
      </c>
      <c r="K130" t="e">
        <f>_xlfn.XLOOKUP(C130,#REF!,#REF!)</f>
        <v>#REF!</v>
      </c>
      <c r="L130" t="e">
        <f>_xlfn.XLOOKUP(C130,#REF!,#REF!)</f>
        <v>#REF!</v>
      </c>
      <c r="M130">
        <v>3</v>
      </c>
    </row>
    <row r="131" spans="1:13" x14ac:dyDescent="0.45">
      <c r="A131" s="6">
        <v>46191</v>
      </c>
      <c r="B131" t="s">
        <v>41</v>
      </c>
      <c r="C131" t="s">
        <v>315</v>
      </c>
      <c r="D131">
        <v>69</v>
      </c>
      <c r="E131">
        <v>725000</v>
      </c>
      <c r="F131">
        <v>33</v>
      </c>
      <c r="G131" s="7">
        <v>0.23270440251572327</v>
      </c>
      <c r="H131">
        <v>127</v>
      </c>
      <c r="I131" t="e">
        <f>_xlfn.XLOOKUP(C131,#REF!,#REF!)</f>
        <v>#REF!</v>
      </c>
      <c r="J131" t="e">
        <f>_xlfn.XLOOKUP(C131,#REF!,#REF!)</f>
        <v>#REF!</v>
      </c>
      <c r="K131" t="e">
        <f>_xlfn.XLOOKUP(C131,#REF!,#REF!)</f>
        <v>#REF!</v>
      </c>
      <c r="L131" t="e">
        <f>_xlfn.XLOOKUP(C131,#REF!,#REF!)</f>
        <v>#REF!</v>
      </c>
      <c r="M131">
        <v>0</v>
      </c>
    </row>
    <row r="132" spans="1:13" x14ac:dyDescent="0.45">
      <c r="A132" s="6">
        <v>46191</v>
      </c>
      <c r="B132" t="s">
        <v>43</v>
      </c>
      <c r="C132" t="s">
        <v>289</v>
      </c>
      <c r="D132">
        <v>49</v>
      </c>
      <c r="E132">
        <v>900000</v>
      </c>
      <c r="F132">
        <v>60</v>
      </c>
      <c r="G132" s="7">
        <v>0.20238095238095238</v>
      </c>
      <c r="H132">
        <v>68</v>
      </c>
      <c r="I132" t="e">
        <f>_xlfn.XLOOKUP(C132,#REF!,#REF!)</f>
        <v>#REF!</v>
      </c>
      <c r="J132" t="e">
        <f>_xlfn.XLOOKUP(C132,#REF!,#REF!)</f>
        <v>#REF!</v>
      </c>
      <c r="K132" t="e">
        <f>_xlfn.XLOOKUP(C132,#REF!,#REF!)</f>
        <v>#REF!</v>
      </c>
      <c r="L132" t="e">
        <f>_xlfn.XLOOKUP(C132,#REF!,#REF!)</f>
        <v>#REF!</v>
      </c>
      <c r="M132">
        <v>1</v>
      </c>
    </row>
    <row r="133" spans="1:13" x14ac:dyDescent="0.45">
      <c r="A133" s="6">
        <v>46192</v>
      </c>
      <c r="B133" t="s">
        <v>6</v>
      </c>
      <c r="C133" t="s">
        <v>281</v>
      </c>
      <c r="D133">
        <v>103</v>
      </c>
      <c r="E133">
        <v>2160000</v>
      </c>
      <c r="F133">
        <v>25</v>
      </c>
      <c r="G133" s="7">
        <v>0.33632286995515698</v>
      </c>
      <c r="H133">
        <v>144</v>
      </c>
      <c r="I133" t="e">
        <f>_xlfn.XLOOKUP(C133,#REF!,#REF!)</f>
        <v>#REF!</v>
      </c>
      <c r="J133" t="e">
        <f>_xlfn.XLOOKUP(C133,#REF!,#REF!)</f>
        <v>#REF!</v>
      </c>
      <c r="K133" t="e">
        <f>_xlfn.XLOOKUP(C133,#REF!,#REF!)</f>
        <v>#REF!</v>
      </c>
      <c r="L133" t="e">
        <f>_xlfn.XLOOKUP(C133,#REF!,#REF!)</f>
        <v>#REF!</v>
      </c>
      <c r="M133">
        <v>0</v>
      </c>
    </row>
    <row r="134" spans="1:13" x14ac:dyDescent="0.45">
      <c r="A134" s="6">
        <v>46192</v>
      </c>
      <c r="B134" t="s">
        <v>12</v>
      </c>
      <c r="C134" t="s">
        <v>286</v>
      </c>
      <c r="D134">
        <v>111</v>
      </c>
      <c r="E134">
        <v>605000</v>
      </c>
      <c r="F134">
        <v>27</v>
      </c>
      <c r="G134" s="7">
        <v>0.1875</v>
      </c>
      <c r="H134">
        <v>75</v>
      </c>
      <c r="I134" t="e">
        <f>_xlfn.XLOOKUP(C134,#REF!,#REF!)</f>
        <v>#REF!</v>
      </c>
      <c r="J134" t="e">
        <f>_xlfn.XLOOKUP(C134,#REF!,#REF!)</f>
        <v>#REF!</v>
      </c>
      <c r="K134" t="e">
        <f>_xlfn.XLOOKUP(C134,#REF!,#REF!)</f>
        <v>#REF!</v>
      </c>
      <c r="L134" t="e">
        <f>_xlfn.XLOOKUP(C134,#REF!,#REF!)</f>
        <v>#REF!</v>
      </c>
      <c r="M134">
        <v>0</v>
      </c>
    </row>
    <row r="135" spans="1:13" x14ac:dyDescent="0.45">
      <c r="A135" s="6">
        <v>46192</v>
      </c>
      <c r="B135" t="s">
        <v>39</v>
      </c>
      <c r="C135" t="s">
        <v>313</v>
      </c>
      <c r="D135">
        <v>127</v>
      </c>
      <c r="E135">
        <v>775000</v>
      </c>
      <c r="F135">
        <v>8</v>
      </c>
      <c r="G135" s="7">
        <v>0.40909090909090912</v>
      </c>
      <c r="H135">
        <v>109</v>
      </c>
      <c r="I135" t="e">
        <f>_xlfn.XLOOKUP(C135,#REF!,#REF!)</f>
        <v>#REF!</v>
      </c>
      <c r="J135" t="e">
        <f>_xlfn.XLOOKUP(C135,#REF!,#REF!)</f>
        <v>#REF!</v>
      </c>
      <c r="K135" t="e">
        <f>_xlfn.XLOOKUP(C135,#REF!,#REF!)</f>
        <v>#REF!</v>
      </c>
      <c r="L135" t="e">
        <f>_xlfn.XLOOKUP(C135,#REF!,#REF!)</f>
        <v>#REF!</v>
      </c>
      <c r="M135">
        <v>1</v>
      </c>
    </row>
    <row r="136" spans="1:13" x14ac:dyDescent="0.45">
      <c r="A136" s="6">
        <v>46193</v>
      </c>
      <c r="B136" t="s">
        <v>11</v>
      </c>
      <c r="C136" t="s">
        <v>285</v>
      </c>
      <c r="D136">
        <v>2</v>
      </c>
      <c r="E136">
        <v>190000</v>
      </c>
      <c r="F136">
        <v>83</v>
      </c>
      <c r="G136" s="7">
        <v>0.38007380073800739</v>
      </c>
      <c r="H136">
        <v>116</v>
      </c>
      <c r="I136" t="e">
        <f>_xlfn.XLOOKUP(C136,#REF!,#REF!)</f>
        <v>#REF!</v>
      </c>
      <c r="J136" t="e">
        <f>_xlfn.XLOOKUP(C136,#REF!,#REF!)</f>
        <v>#REF!</v>
      </c>
      <c r="K136" t="e">
        <f>_xlfn.XLOOKUP(C136,#REF!,#REF!)</f>
        <v>#REF!</v>
      </c>
      <c r="L136" t="e">
        <f>_xlfn.XLOOKUP(C136,#REF!,#REF!)</f>
        <v>#REF!</v>
      </c>
      <c r="M136">
        <v>0</v>
      </c>
    </row>
    <row r="137" spans="1:13" x14ac:dyDescent="0.45">
      <c r="A137" s="6">
        <v>46193</v>
      </c>
      <c r="B137" t="s">
        <v>47</v>
      </c>
      <c r="C137" t="s">
        <v>320</v>
      </c>
      <c r="D137">
        <v>118</v>
      </c>
      <c r="E137">
        <v>2500000</v>
      </c>
      <c r="F137">
        <v>40</v>
      </c>
      <c r="G137" s="7">
        <v>0.12209302325581395</v>
      </c>
      <c r="H137">
        <v>56</v>
      </c>
      <c r="I137" t="e">
        <f>_xlfn.XLOOKUP(C137,#REF!,#REF!)</f>
        <v>#REF!</v>
      </c>
      <c r="J137" t="e">
        <f>_xlfn.XLOOKUP(C137,#REF!,#REF!)</f>
        <v>#REF!</v>
      </c>
      <c r="K137" t="e">
        <f>_xlfn.XLOOKUP(C137,#REF!,#REF!)</f>
        <v>#REF!</v>
      </c>
      <c r="L137" t="e">
        <f>_xlfn.XLOOKUP(C137,#REF!,#REF!)</f>
        <v>#REF!</v>
      </c>
      <c r="M137">
        <v>1</v>
      </c>
    </row>
    <row r="138" spans="1:13" x14ac:dyDescent="0.45">
      <c r="A138" s="6">
        <v>46193</v>
      </c>
      <c r="B138" t="s">
        <v>17</v>
      </c>
      <c r="C138" t="s">
        <v>291</v>
      </c>
      <c r="D138">
        <v>151</v>
      </c>
      <c r="E138">
        <v>580000</v>
      </c>
      <c r="F138">
        <v>38</v>
      </c>
      <c r="G138" s="7">
        <v>0.34693877551020408</v>
      </c>
      <c r="H138">
        <v>72</v>
      </c>
      <c r="I138" t="e">
        <f>_xlfn.XLOOKUP(C138,#REF!,#REF!)</f>
        <v>#REF!</v>
      </c>
      <c r="J138" t="e">
        <f>_xlfn.XLOOKUP(C138,#REF!,#REF!)</f>
        <v>#REF!</v>
      </c>
      <c r="K138" t="e">
        <f>_xlfn.XLOOKUP(C138,#REF!,#REF!)</f>
        <v>#REF!</v>
      </c>
      <c r="L138" t="e">
        <f>_xlfn.XLOOKUP(C138,#REF!,#REF!)</f>
        <v>#REF!</v>
      </c>
      <c r="M138">
        <v>1</v>
      </c>
    </row>
    <row r="139" spans="1:13" x14ac:dyDescent="0.45">
      <c r="A139" s="6">
        <v>46193</v>
      </c>
      <c r="B139" t="s">
        <v>18</v>
      </c>
      <c r="C139" t="s">
        <v>292</v>
      </c>
      <c r="D139">
        <v>84</v>
      </c>
      <c r="E139">
        <v>820000</v>
      </c>
      <c r="F139">
        <v>34</v>
      </c>
      <c r="G139" s="7">
        <v>0.21</v>
      </c>
      <c r="H139">
        <v>87</v>
      </c>
      <c r="I139" t="e">
        <f>_xlfn.XLOOKUP(C139,#REF!,#REF!)</f>
        <v>#REF!</v>
      </c>
      <c r="J139" t="e">
        <f>_xlfn.XLOOKUP(C139,#REF!,#REF!)</f>
        <v>#REF!</v>
      </c>
      <c r="K139" t="e">
        <f>_xlfn.XLOOKUP(C139,#REF!,#REF!)</f>
        <v>#REF!</v>
      </c>
      <c r="L139" t="e">
        <f>_xlfn.XLOOKUP(C139,#REF!,#REF!)</f>
        <v>#REF!</v>
      </c>
      <c r="M139">
        <v>1</v>
      </c>
    </row>
    <row r="140" spans="1:13" x14ac:dyDescent="0.45">
      <c r="A140" s="6">
        <v>46194</v>
      </c>
      <c r="B140" t="s">
        <v>15</v>
      </c>
      <c r="C140" t="s">
        <v>289</v>
      </c>
      <c r="D140">
        <v>146</v>
      </c>
      <c r="E140">
        <v>1040000</v>
      </c>
      <c r="F140">
        <v>61</v>
      </c>
      <c r="G140" s="7">
        <v>0.20238095238095238</v>
      </c>
      <c r="H140">
        <v>68</v>
      </c>
      <c r="I140" t="e">
        <f>_xlfn.XLOOKUP(C140,#REF!,#REF!)</f>
        <v>#REF!</v>
      </c>
      <c r="J140" t="e">
        <f>_xlfn.XLOOKUP(C140,#REF!,#REF!)</f>
        <v>#REF!</v>
      </c>
      <c r="K140" t="e">
        <f>_xlfn.XLOOKUP(C140,#REF!,#REF!)</f>
        <v>#REF!</v>
      </c>
      <c r="L140" t="e">
        <f>_xlfn.XLOOKUP(C140,#REF!,#REF!)</f>
        <v>#REF!</v>
      </c>
      <c r="M140">
        <v>0</v>
      </c>
    </row>
    <row r="141" spans="1:13" x14ac:dyDescent="0.45">
      <c r="A141" s="6">
        <v>46194</v>
      </c>
      <c r="B141" t="s">
        <v>48</v>
      </c>
      <c r="C141" t="s">
        <v>321</v>
      </c>
      <c r="D141">
        <v>1</v>
      </c>
      <c r="E141">
        <v>110000</v>
      </c>
      <c r="F141">
        <v>69</v>
      </c>
      <c r="G141" s="7">
        <v>0.23333333333333334</v>
      </c>
      <c r="H141">
        <v>79</v>
      </c>
      <c r="I141" t="e">
        <f>_xlfn.XLOOKUP(C141,#REF!,#REF!)</f>
        <v>#REF!</v>
      </c>
      <c r="J141" t="e">
        <f>_xlfn.XLOOKUP(C141,#REF!,#REF!)</f>
        <v>#REF!</v>
      </c>
      <c r="K141" t="e">
        <f>_xlfn.XLOOKUP(C141,#REF!,#REF!)</f>
        <v>#REF!</v>
      </c>
      <c r="L141" t="e">
        <f>_xlfn.XLOOKUP(C141,#REF!,#REF!)</f>
        <v>#REF!</v>
      </c>
      <c r="M141">
        <v>2</v>
      </c>
    </row>
    <row r="142" spans="1:13" x14ac:dyDescent="0.45">
      <c r="A142" s="6">
        <v>46194</v>
      </c>
      <c r="B142" t="s">
        <v>20</v>
      </c>
      <c r="C142" t="s">
        <v>294</v>
      </c>
      <c r="D142">
        <v>15</v>
      </c>
      <c r="E142">
        <v>330000</v>
      </c>
      <c r="F142">
        <v>21</v>
      </c>
      <c r="G142" s="7">
        <v>0.38693467336683418</v>
      </c>
      <c r="H142">
        <v>151</v>
      </c>
      <c r="I142" t="e">
        <f>_xlfn.XLOOKUP(C142,#REF!,#REF!)</f>
        <v>#REF!</v>
      </c>
      <c r="J142" t="e">
        <f>_xlfn.XLOOKUP(C142,#REF!,#REF!)</f>
        <v>#REF!</v>
      </c>
      <c r="K142" t="e">
        <f>_xlfn.XLOOKUP(C142,#REF!,#REF!)</f>
        <v>#REF!</v>
      </c>
      <c r="L142" t="e">
        <f>_xlfn.XLOOKUP(C142,#REF!,#REF!)</f>
        <v>#REF!</v>
      </c>
      <c r="M142">
        <v>0</v>
      </c>
    </row>
    <row r="143" spans="1:13" x14ac:dyDescent="0.45">
      <c r="A143" s="6">
        <v>46194</v>
      </c>
      <c r="B143" t="s">
        <v>46</v>
      </c>
      <c r="C143" t="s">
        <v>319</v>
      </c>
      <c r="D143">
        <v>126</v>
      </c>
      <c r="E143">
        <v>865000</v>
      </c>
      <c r="F143">
        <v>18</v>
      </c>
      <c r="G143" s="7">
        <v>0.4</v>
      </c>
      <c r="H143">
        <v>121</v>
      </c>
      <c r="I143" t="e">
        <f>_xlfn.XLOOKUP(C143,#REF!,#REF!)</f>
        <v>#REF!</v>
      </c>
      <c r="J143" t="e">
        <f>_xlfn.XLOOKUP(C143,#REF!,#REF!)</f>
        <v>#REF!</v>
      </c>
      <c r="K143" t="e">
        <f>_xlfn.XLOOKUP(C143,#REF!,#REF!)</f>
        <v>#REF!</v>
      </c>
      <c r="L143" t="e">
        <f>_xlfn.XLOOKUP(C143,#REF!,#REF!)</f>
        <v>#REF!</v>
      </c>
      <c r="M143">
        <v>4</v>
      </c>
    </row>
    <row r="144" spans="1:13" x14ac:dyDescent="0.45">
      <c r="A144" s="6">
        <v>46194</v>
      </c>
      <c r="B144" t="s">
        <v>44</v>
      </c>
      <c r="C144" t="s">
        <v>317</v>
      </c>
      <c r="D144">
        <v>0</v>
      </c>
      <c r="E144">
        <v>96000</v>
      </c>
      <c r="F144">
        <v>82</v>
      </c>
      <c r="G144" s="7">
        <v>0.15104166666666666</v>
      </c>
      <c r="H144">
        <v>73</v>
      </c>
      <c r="I144" t="e">
        <f>_xlfn.XLOOKUP(C144,#REF!,#REF!)</f>
        <v>#REF!</v>
      </c>
      <c r="J144" t="e">
        <f>_xlfn.XLOOKUP(C144,#REF!,#REF!)</f>
        <v>#REF!</v>
      </c>
      <c r="K144" t="e">
        <f>_xlfn.XLOOKUP(C144,#REF!,#REF!)</f>
        <v>#REF!</v>
      </c>
      <c r="L144" t="e">
        <f>_xlfn.XLOOKUP(C144,#REF!,#REF!)</f>
        <v>#REF!</v>
      </c>
      <c r="M144">
        <v>0</v>
      </c>
    </row>
    <row r="145" spans="1:13" x14ac:dyDescent="0.45">
      <c r="A145" s="6">
        <v>46195</v>
      </c>
      <c r="B145" t="s">
        <v>49</v>
      </c>
      <c r="C145" t="s">
        <v>322</v>
      </c>
      <c r="D145">
        <v>121</v>
      </c>
      <c r="E145">
        <v>156000</v>
      </c>
      <c r="F145">
        <v>29</v>
      </c>
      <c r="G145" s="7">
        <v>0.29133858267716534</v>
      </c>
      <c r="H145">
        <v>136</v>
      </c>
      <c r="I145" t="e">
        <f>_xlfn.XLOOKUP(C145,#REF!,#REF!)</f>
        <v>#REF!</v>
      </c>
      <c r="J145" t="e">
        <f>_xlfn.XLOOKUP(C145,#REF!,#REF!)</f>
        <v>#REF!</v>
      </c>
      <c r="K145" t="e">
        <f>_xlfn.XLOOKUP(C145,#REF!,#REF!)</f>
        <v>#REF!</v>
      </c>
      <c r="L145" t="e">
        <f>_xlfn.XLOOKUP(C145,#REF!,#REF!)</f>
        <v>#REF!</v>
      </c>
      <c r="M145">
        <v>3</v>
      </c>
    </row>
    <row r="146" spans="1:13" x14ac:dyDescent="0.45">
      <c r="A146" s="6">
        <v>46195</v>
      </c>
      <c r="B146" t="s">
        <v>24</v>
      </c>
      <c r="C146" t="s">
        <v>298</v>
      </c>
      <c r="D146">
        <v>73</v>
      </c>
      <c r="E146">
        <v>1500000</v>
      </c>
      <c r="F146">
        <v>24</v>
      </c>
      <c r="G146" s="7">
        <v>0.29044117647058826</v>
      </c>
      <c r="H146">
        <v>154</v>
      </c>
      <c r="I146" t="e">
        <f>_xlfn.XLOOKUP(C146,#REF!,#REF!)</f>
        <v>#REF!</v>
      </c>
      <c r="J146" t="e">
        <f>_xlfn.XLOOKUP(C146,#REF!,#REF!)</f>
        <v>#REF!</v>
      </c>
      <c r="K146" t="e">
        <f>_xlfn.XLOOKUP(C146,#REF!,#REF!)</f>
        <v>#REF!</v>
      </c>
      <c r="L146" t="e">
        <f>_xlfn.XLOOKUP(C146,#REF!,#REF!)</f>
        <v>#REF!</v>
      </c>
      <c r="M146">
        <v>0</v>
      </c>
    </row>
    <row r="147" spans="1:13" x14ac:dyDescent="0.45">
      <c r="A147" s="6">
        <v>46195</v>
      </c>
      <c r="B147" t="s">
        <v>22</v>
      </c>
      <c r="C147" t="s">
        <v>296</v>
      </c>
      <c r="D147">
        <v>116</v>
      </c>
      <c r="E147">
        <v>605000</v>
      </c>
      <c r="F147">
        <v>57</v>
      </c>
      <c r="G147" s="7">
        <v>0.26254826254826252</v>
      </c>
      <c r="H147">
        <v>89</v>
      </c>
      <c r="I147" t="e">
        <f>_xlfn.XLOOKUP(C147,#REF!,#REF!)</f>
        <v>#REF!</v>
      </c>
      <c r="J147" t="e">
        <f>_xlfn.XLOOKUP(C147,#REF!,#REF!)</f>
        <v>#REF!</v>
      </c>
      <c r="K147" t="e">
        <f>_xlfn.XLOOKUP(C147,#REF!,#REF!)</f>
        <v>#REF!</v>
      </c>
      <c r="L147" t="e">
        <f>_xlfn.XLOOKUP(C147,#REF!,#REF!)</f>
        <v>#REF!</v>
      </c>
      <c r="M147">
        <v>0</v>
      </c>
    </row>
    <row r="148" spans="1:13" x14ac:dyDescent="0.45">
      <c r="A148" s="6">
        <v>46196</v>
      </c>
      <c r="B148" t="s">
        <v>45</v>
      </c>
      <c r="C148" t="s">
        <v>318</v>
      </c>
      <c r="D148">
        <v>58</v>
      </c>
      <c r="E148">
        <v>920000</v>
      </c>
      <c r="F148">
        <v>14</v>
      </c>
      <c r="G148" s="7">
        <v>0.27173913043478259</v>
      </c>
      <c r="H148">
        <v>141</v>
      </c>
      <c r="I148" t="e">
        <f>_xlfn.XLOOKUP(C148,#REF!,#REF!)</f>
        <v>#REF!</v>
      </c>
      <c r="J148" t="e">
        <f>_xlfn.XLOOKUP(C148,#REF!,#REF!)</f>
        <v>#REF!</v>
      </c>
      <c r="K148" t="e">
        <f>_xlfn.XLOOKUP(C148,#REF!,#REF!)</f>
        <v>#REF!</v>
      </c>
      <c r="L148" t="e">
        <f>_xlfn.XLOOKUP(C148,#REF!,#REF!)</f>
        <v>#REF!</v>
      </c>
      <c r="M148">
        <v>2</v>
      </c>
    </row>
    <row r="149" spans="1:13" x14ac:dyDescent="0.45">
      <c r="A149" s="6">
        <v>46196</v>
      </c>
      <c r="B149" t="s">
        <v>52</v>
      </c>
      <c r="C149" t="s">
        <v>325</v>
      </c>
      <c r="D149">
        <v>51</v>
      </c>
      <c r="E149">
        <v>1380000</v>
      </c>
      <c r="F149">
        <v>28</v>
      </c>
      <c r="G149" s="7">
        <v>0.34334763948497854</v>
      </c>
      <c r="H149">
        <v>126</v>
      </c>
      <c r="I149" t="e">
        <f>_xlfn.XLOOKUP(C149,#REF!,#REF!)</f>
        <v>#REF!</v>
      </c>
      <c r="J149" t="e">
        <f>_xlfn.XLOOKUP(C149,#REF!,#REF!)</f>
        <v>#REF!</v>
      </c>
      <c r="K149" t="e">
        <f>_xlfn.XLOOKUP(C149,#REF!,#REF!)</f>
        <v>#REF!</v>
      </c>
      <c r="L149" t="e">
        <f>_xlfn.XLOOKUP(C149,#REF!,#REF!)</f>
        <v>#REF!</v>
      </c>
      <c r="M149">
        <v>2</v>
      </c>
    </row>
    <row r="150" spans="1:13" x14ac:dyDescent="0.45">
      <c r="A150" s="6">
        <v>46196</v>
      </c>
      <c r="B150" t="s">
        <v>28</v>
      </c>
      <c r="C150" t="s">
        <v>302</v>
      </c>
      <c r="D150">
        <v>42</v>
      </c>
      <c r="E150">
        <v>4000000</v>
      </c>
      <c r="F150">
        <v>50</v>
      </c>
      <c r="G150" s="7">
        <v>0.36363636363636365</v>
      </c>
      <c r="H150">
        <v>121</v>
      </c>
      <c r="I150" t="e">
        <f>_xlfn.XLOOKUP(C150,#REF!,#REF!)</f>
        <v>#REF!</v>
      </c>
      <c r="J150" t="e">
        <f>_xlfn.XLOOKUP(C150,#REF!,#REF!)</f>
        <v>#REF!</v>
      </c>
      <c r="K150" t="e">
        <f>_xlfn.XLOOKUP(C150,#REF!,#REF!)</f>
        <v>#REF!</v>
      </c>
      <c r="L150" t="e">
        <f>_xlfn.XLOOKUP(C150,#REF!,#REF!)</f>
        <v>#REF!</v>
      </c>
      <c r="M150">
        <v>0</v>
      </c>
    </row>
    <row r="151" spans="1:13" x14ac:dyDescent="0.45">
      <c r="A151" s="6">
        <v>46196</v>
      </c>
      <c r="B151" t="s">
        <v>29</v>
      </c>
      <c r="C151" t="s">
        <v>303</v>
      </c>
      <c r="D151">
        <v>102</v>
      </c>
      <c r="E151">
        <v>935000</v>
      </c>
      <c r="F151">
        <v>74</v>
      </c>
      <c r="G151" s="7">
        <v>0.17110266159695817</v>
      </c>
      <c r="H151">
        <v>70</v>
      </c>
      <c r="I151" t="e">
        <f>_xlfn.XLOOKUP(C151,#REF!,#REF!)</f>
        <v>#REF!</v>
      </c>
      <c r="J151" t="e">
        <f>_xlfn.XLOOKUP(C151,#REF!,#REF!)</f>
        <v>#REF!</v>
      </c>
      <c r="K151" t="e">
        <f>_xlfn.XLOOKUP(C151,#REF!,#REF!)</f>
        <v>#REF!</v>
      </c>
      <c r="L151" t="e">
        <f>_xlfn.XLOOKUP(C151,#REF!,#REF!)</f>
        <v>#REF!</v>
      </c>
      <c r="M151">
        <v>0</v>
      </c>
    </row>
    <row r="152" spans="1:13" x14ac:dyDescent="0.45">
      <c r="A152" s="6">
        <v>46197</v>
      </c>
      <c r="B152" t="s">
        <v>11</v>
      </c>
      <c r="C152" t="s">
        <v>285</v>
      </c>
      <c r="D152">
        <v>2</v>
      </c>
      <c r="E152">
        <v>190000</v>
      </c>
      <c r="F152">
        <v>83</v>
      </c>
      <c r="G152" s="7">
        <v>0.38007380073800739</v>
      </c>
      <c r="H152">
        <v>116</v>
      </c>
      <c r="I152" t="e">
        <f>_xlfn.XLOOKUP(C152,#REF!,#REF!)</f>
        <v>#REF!</v>
      </c>
      <c r="J152" t="e">
        <f>_xlfn.XLOOKUP(C152,#REF!,#REF!)</f>
        <v>#REF!</v>
      </c>
      <c r="K152" t="e">
        <f>_xlfn.XLOOKUP(C152,#REF!,#REF!)</f>
        <v>#REF!</v>
      </c>
      <c r="L152" t="e">
        <f>_xlfn.XLOOKUP(C152,#REF!,#REF!)</f>
        <v>#REF!</v>
      </c>
      <c r="M152">
        <v>2</v>
      </c>
    </row>
    <row r="153" spans="1:13" x14ac:dyDescent="0.45">
      <c r="A153" s="6">
        <v>46197</v>
      </c>
      <c r="B153" t="s">
        <v>7</v>
      </c>
      <c r="C153" t="s">
        <v>282</v>
      </c>
      <c r="D153">
        <v>90</v>
      </c>
      <c r="E153">
        <v>2500000</v>
      </c>
      <c r="F153">
        <v>30</v>
      </c>
      <c r="G153" s="7">
        <v>0.28048780487804881</v>
      </c>
      <c r="H153">
        <v>141</v>
      </c>
      <c r="I153" t="e">
        <f>_xlfn.XLOOKUP(C153,#REF!,#REF!)</f>
        <v>#REF!</v>
      </c>
      <c r="J153" t="e">
        <f>_xlfn.XLOOKUP(C153,#REF!,#REF!)</f>
        <v>#REF!</v>
      </c>
      <c r="K153" t="e">
        <f>_xlfn.XLOOKUP(C153,#REF!,#REF!)</f>
        <v>#REF!</v>
      </c>
      <c r="L153" t="e">
        <f>_xlfn.XLOOKUP(C153,#REF!,#REF!)</f>
        <v>#REF!</v>
      </c>
      <c r="M153">
        <v>1</v>
      </c>
    </row>
    <row r="154" spans="1:13" x14ac:dyDescent="0.45">
      <c r="A154" s="6">
        <v>46197</v>
      </c>
      <c r="B154" t="s">
        <v>10</v>
      </c>
      <c r="C154" t="s">
        <v>284</v>
      </c>
      <c r="D154">
        <v>660</v>
      </c>
      <c r="E154">
        <v>9500000</v>
      </c>
      <c r="F154">
        <v>6</v>
      </c>
      <c r="G154" s="7">
        <v>0.37195121951219512</v>
      </c>
      <c r="H154">
        <v>162</v>
      </c>
      <c r="I154" t="e">
        <f>_xlfn.XLOOKUP(C154,#REF!,#REF!)</f>
        <v>#REF!</v>
      </c>
      <c r="J154" t="e">
        <f>_xlfn.XLOOKUP(C154,#REF!,#REF!)</f>
        <v>#REF!</v>
      </c>
      <c r="K154" t="e">
        <f>_xlfn.XLOOKUP(C154,#REF!,#REF!)</f>
        <v>#REF!</v>
      </c>
      <c r="L154" t="e">
        <f>_xlfn.XLOOKUP(C154,#REF!,#REF!)</f>
        <v>#REF!</v>
      </c>
      <c r="M154">
        <v>3</v>
      </c>
    </row>
    <row r="155" spans="1:13" x14ac:dyDescent="0.45">
      <c r="A155" s="6">
        <v>46197</v>
      </c>
      <c r="B155" t="s">
        <v>51</v>
      </c>
      <c r="C155" t="s">
        <v>324</v>
      </c>
      <c r="D155">
        <v>30</v>
      </c>
      <c r="E155">
        <v>430000</v>
      </c>
      <c r="F155">
        <v>46</v>
      </c>
      <c r="G155" s="7">
        <v>0.20640569395017794</v>
      </c>
      <c r="H155">
        <v>85</v>
      </c>
      <c r="I155" t="e">
        <f>_xlfn.XLOOKUP(C155,#REF!,#REF!)</f>
        <v>#REF!</v>
      </c>
      <c r="J155" t="e">
        <f>_xlfn.XLOOKUP(C155,#REF!,#REF!)</f>
        <v>#REF!</v>
      </c>
      <c r="K155" t="e">
        <f>_xlfn.XLOOKUP(C155,#REF!,#REF!)</f>
        <v>#REF!</v>
      </c>
      <c r="L155" t="e">
        <f>_xlfn.XLOOKUP(C155,#REF!,#REF!)</f>
        <v>#REF!</v>
      </c>
      <c r="M155">
        <v>0</v>
      </c>
    </row>
    <row r="156" spans="1:13" x14ac:dyDescent="0.45">
      <c r="A156" s="6">
        <v>46197</v>
      </c>
      <c r="B156" t="s">
        <v>50</v>
      </c>
      <c r="C156" t="s">
        <v>323</v>
      </c>
      <c r="D156">
        <v>97</v>
      </c>
      <c r="E156">
        <v>1500000</v>
      </c>
      <c r="F156">
        <v>11</v>
      </c>
      <c r="G156" s="7">
        <v>0.24099722991689751</v>
      </c>
      <c r="H156">
        <v>159</v>
      </c>
      <c r="I156" t="e">
        <f>_xlfn.XLOOKUP(C156,#REF!,#REF!)</f>
        <v>#REF!</v>
      </c>
      <c r="J156" t="e">
        <f>_xlfn.XLOOKUP(C156,#REF!,#REF!)</f>
        <v>#REF!</v>
      </c>
      <c r="K156" t="e">
        <f>_xlfn.XLOOKUP(C156,#REF!,#REF!)</f>
        <v>#REF!</v>
      </c>
      <c r="L156" t="e">
        <f>_xlfn.XLOOKUP(C156,#REF!,#REF!)</f>
        <v>#REF!</v>
      </c>
      <c r="M156">
        <v>1</v>
      </c>
    </row>
    <row r="157" spans="1:13" x14ac:dyDescent="0.45">
      <c r="A157" s="6">
        <v>46197</v>
      </c>
      <c r="B157" t="s">
        <v>9</v>
      </c>
      <c r="C157" t="s">
        <v>283</v>
      </c>
      <c r="D157">
        <v>31</v>
      </c>
      <c r="E157">
        <v>2400000</v>
      </c>
      <c r="F157">
        <v>55</v>
      </c>
      <c r="G157" s="7">
        <v>0.2413793103448276</v>
      </c>
      <c r="H157">
        <v>217</v>
      </c>
      <c r="I157" t="e">
        <f>_xlfn.XLOOKUP(C157,#REF!,#REF!)</f>
        <v>#REF!</v>
      </c>
      <c r="J157" t="e">
        <f>_xlfn.XLOOKUP(C157,#REF!,#REF!)</f>
        <v>#REF!</v>
      </c>
      <c r="K157" t="e">
        <f>_xlfn.XLOOKUP(C157,#REF!,#REF!)</f>
        <v>#REF!</v>
      </c>
      <c r="L157" t="e">
        <f>_xlfn.XLOOKUP(C157,#REF!,#REF!)</f>
        <v>#REF!</v>
      </c>
      <c r="M157">
        <v>1</v>
      </c>
    </row>
    <row r="158" spans="1:13" x14ac:dyDescent="0.45">
      <c r="A158" s="6">
        <v>46198</v>
      </c>
      <c r="B158" t="s">
        <v>5</v>
      </c>
      <c r="C158" t="s">
        <v>280</v>
      </c>
      <c r="D158">
        <v>178</v>
      </c>
      <c r="E158">
        <v>2500000</v>
      </c>
      <c r="F158">
        <v>15</v>
      </c>
      <c r="G158" s="7">
        <v>0.20626631853785901</v>
      </c>
      <c r="H158">
        <v>127</v>
      </c>
      <c r="I158" t="e">
        <f>_xlfn.XLOOKUP(C158,#REF!,#REF!)</f>
        <v>#REF!</v>
      </c>
      <c r="J158" t="e">
        <f>_xlfn.XLOOKUP(C158,#REF!,#REF!)</f>
        <v>#REF!</v>
      </c>
      <c r="K158" t="e">
        <f>_xlfn.XLOOKUP(C158,#REF!,#REF!)</f>
        <v>#REF!</v>
      </c>
      <c r="L158" t="e">
        <f>_xlfn.XLOOKUP(C158,#REF!,#REF!)</f>
        <v>#REF!</v>
      </c>
      <c r="M158">
        <v>3</v>
      </c>
    </row>
    <row r="159" spans="1:13" x14ac:dyDescent="0.45">
      <c r="A159" s="6">
        <v>46198</v>
      </c>
      <c r="B159" t="s">
        <v>6</v>
      </c>
      <c r="C159" t="s">
        <v>281</v>
      </c>
      <c r="D159">
        <v>103</v>
      </c>
      <c r="E159">
        <v>2160000</v>
      </c>
      <c r="F159">
        <v>25</v>
      </c>
      <c r="G159" s="7">
        <v>0.33632286995515698</v>
      </c>
      <c r="H159">
        <v>144</v>
      </c>
      <c r="I159" t="e">
        <f>_xlfn.XLOOKUP(C159,#REF!,#REF!)</f>
        <v>#REF!</v>
      </c>
      <c r="J159" t="e">
        <f>_xlfn.XLOOKUP(C159,#REF!,#REF!)</f>
        <v>#REF!</v>
      </c>
      <c r="K159" t="e">
        <f>_xlfn.XLOOKUP(C159,#REF!,#REF!)</f>
        <v>#REF!</v>
      </c>
      <c r="L159" t="e">
        <f>_xlfn.XLOOKUP(C159,#REF!,#REF!)</f>
        <v>#REF!</v>
      </c>
      <c r="M159">
        <v>0</v>
      </c>
    </row>
    <row r="160" spans="1:13" x14ac:dyDescent="0.45">
      <c r="A160" s="6">
        <v>46198</v>
      </c>
      <c r="B160" t="s">
        <v>18</v>
      </c>
      <c r="C160" t="s">
        <v>292</v>
      </c>
      <c r="D160">
        <v>84</v>
      </c>
      <c r="E160">
        <v>820000</v>
      </c>
      <c r="F160">
        <v>34</v>
      </c>
      <c r="G160" s="7">
        <v>0.21</v>
      </c>
      <c r="H160">
        <v>87</v>
      </c>
      <c r="I160" t="e">
        <f>_xlfn.XLOOKUP(C160,#REF!,#REF!)</f>
        <v>#REF!</v>
      </c>
      <c r="J160" t="e">
        <f>_xlfn.XLOOKUP(C160,#REF!,#REF!)</f>
        <v>#REF!</v>
      </c>
      <c r="K160" t="e">
        <f>_xlfn.XLOOKUP(C160,#REF!,#REF!)</f>
        <v>#REF!</v>
      </c>
      <c r="L160" t="e">
        <f>_xlfn.XLOOKUP(C160,#REF!,#REF!)</f>
        <v>#REF!</v>
      </c>
      <c r="M160">
        <v>2</v>
      </c>
    </row>
    <row r="161" spans="1:13" x14ac:dyDescent="0.45">
      <c r="A161" s="6">
        <v>46198</v>
      </c>
      <c r="B161" t="s">
        <v>13</v>
      </c>
      <c r="C161" t="s">
        <v>287</v>
      </c>
      <c r="D161">
        <v>262</v>
      </c>
      <c r="E161">
        <v>4800000</v>
      </c>
      <c r="F161">
        <v>10</v>
      </c>
      <c r="G161" s="7">
        <v>0.39175257731958762</v>
      </c>
      <c r="H161">
        <v>116</v>
      </c>
      <c r="I161" t="e">
        <f>_xlfn.XLOOKUP(C161,#REF!,#REF!)</f>
        <v>#REF!</v>
      </c>
      <c r="J161" t="e">
        <f>_xlfn.XLOOKUP(C161,#REF!,#REF!)</f>
        <v>#REF!</v>
      </c>
      <c r="K161" t="e">
        <f>_xlfn.XLOOKUP(C161,#REF!,#REF!)</f>
        <v>#REF!</v>
      </c>
      <c r="L161" t="e">
        <f>_xlfn.XLOOKUP(C161,#REF!,#REF!)</f>
        <v>#REF!</v>
      </c>
      <c r="M161">
        <v>1</v>
      </c>
    </row>
    <row r="162" spans="1:13" x14ac:dyDescent="0.45">
      <c r="A162" s="6">
        <v>46199</v>
      </c>
      <c r="B162" t="s">
        <v>21</v>
      </c>
      <c r="C162" t="s">
        <v>295</v>
      </c>
      <c r="D162">
        <v>258</v>
      </c>
      <c r="E162">
        <v>3800000</v>
      </c>
      <c r="F162">
        <v>1</v>
      </c>
      <c r="G162" s="7">
        <v>0.35335689045936397</v>
      </c>
      <c r="H162">
        <v>120</v>
      </c>
      <c r="I162" t="e">
        <f>_xlfn.XLOOKUP(C162,#REF!,#REF!)</f>
        <v>#REF!</v>
      </c>
      <c r="J162" t="e">
        <f>_xlfn.XLOOKUP(C162,#REF!,#REF!)</f>
        <v>#REF!</v>
      </c>
      <c r="K162" t="e">
        <f>_xlfn.XLOOKUP(C162,#REF!,#REF!)</f>
        <v>#REF!</v>
      </c>
      <c r="L162" t="e">
        <f>_xlfn.XLOOKUP(C162,#REF!,#REF!)</f>
        <v>#REF!</v>
      </c>
      <c r="M162">
        <v>4</v>
      </c>
    </row>
    <row r="163" spans="1:13" x14ac:dyDescent="0.45">
      <c r="A163" s="6">
        <v>46199</v>
      </c>
      <c r="B163" t="s">
        <v>8</v>
      </c>
      <c r="C163" t="s">
        <v>8</v>
      </c>
      <c r="D163">
        <v>287</v>
      </c>
      <c r="E163">
        <v>5200000</v>
      </c>
      <c r="F163">
        <v>16</v>
      </c>
      <c r="G163" s="7">
        <v>0.26602564102564102</v>
      </c>
      <c r="H163">
        <v>134</v>
      </c>
      <c r="I163" t="e">
        <f>_xlfn.XLOOKUP(C163,#REF!,#REF!)</f>
        <v>#REF!</v>
      </c>
      <c r="J163" t="e">
        <f>_xlfn.XLOOKUP(C163,#REF!,#REF!)</f>
        <v>#REF!</v>
      </c>
      <c r="K163" t="e">
        <f>_xlfn.XLOOKUP(C163,#REF!,#REF!)</f>
        <v>#REF!</v>
      </c>
      <c r="L163" t="e">
        <f>_xlfn.XLOOKUP(C163,#REF!,#REF!)</f>
        <v>#REF!</v>
      </c>
      <c r="M163">
        <v>2</v>
      </c>
    </row>
    <row r="164" spans="1:13" x14ac:dyDescent="0.45">
      <c r="A164" s="6">
        <v>46199</v>
      </c>
      <c r="B164" t="s">
        <v>22</v>
      </c>
      <c r="C164" t="s">
        <v>296</v>
      </c>
      <c r="D164">
        <v>116</v>
      </c>
      <c r="E164">
        <v>605000</v>
      </c>
      <c r="F164">
        <v>57</v>
      </c>
      <c r="G164" s="7">
        <v>0.26254826254826252</v>
      </c>
      <c r="H164">
        <v>89</v>
      </c>
      <c r="I164" t="e">
        <f>_xlfn.XLOOKUP(C164,#REF!,#REF!)</f>
        <v>#REF!</v>
      </c>
      <c r="J164" t="e">
        <f>_xlfn.XLOOKUP(C164,#REF!,#REF!)</f>
        <v>#REF!</v>
      </c>
      <c r="K164" t="e">
        <f>_xlfn.XLOOKUP(C164,#REF!,#REF!)</f>
        <v>#REF!</v>
      </c>
      <c r="L164" t="e">
        <f>_xlfn.XLOOKUP(C164,#REF!,#REF!)</f>
        <v>#REF!</v>
      </c>
      <c r="M164">
        <v>0</v>
      </c>
    </row>
    <row r="165" spans="1:13" x14ac:dyDescent="0.45">
      <c r="A165" s="6">
        <v>46199</v>
      </c>
      <c r="B165" t="s">
        <v>14</v>
      </c>
      <c r="C165" t="s">
        <v>288</v>
      </c>
      <c r="D165">
        <v>148</v>
      </c>
      <c r="E165">
        <v>3000000</v>
      </c>
      <c r="F165">
        <v>7</v>
      </c>
      <c r="G165" s="7">
        <v>0.36624203821656048</v>
      </c>
      <c r="H165">
        <v>163</v>
      </c>
      <c r="I165" t="e">
        <f>_xlfn.XLOOKUP(C165,#REF!,#REF!)</f>
        <v>#REF!</v>
      </c>
      <c r="J165" t="e">
        <f>_xlfn.XLOOKUP(C165,#REF!,#REF!)</f>
        <v>#REF!</v>
      </c>
      <c r="K165" t="e">
        <f>_xlfn.XLOOKUP(C165,#REF!,#REF!)</f>
        <v>#REF!</v>
      </c>
      <c r="L165" t="e">
        <f>_xlfn.XLOOKUP(C165,#REF!,#REF!)</f>
        <v>#REF!</v>
      </c>
      <c r="M165">
        <v>3</v>
      </c>
    </row>
    <row r="166" spans="1:13" x14ac:dyDescent="0.45">
      <c r="A166" s="6">
        <v>46199</v>
      </c>
      <c r="B166" t="s">
        <v>17</v>
      </c>
      <c r="C166" t="s">
        <v>291</v>
      </c>
      <c r="D166">
        <v>151</v>
      </c>
      <c r="E166">
        <v>580000</v>
      </c>
      <c r="F166">
        <v>38</v>
      </c>
      <c r="G166" s="7">
        <v>0.34693877551020408</v>
      </c>
      <c r="H166">
        <v>72</v>
      </c>
      <c r="I166" t="e">
        <f>_xlfn.XLOOKUP(C166,#REF!,#REF!)</f>
        <v>#REF!</v>
      </c>
      <c r="J166" t="e">
        <f>_xlfn.XLOOKUP(C166,#REF!,#REF!)</f>
        <v>#REF!</v>
      </c>
      <c r="K166" t="e">
        <f>_xlfn.XLOOKUP(C166,#REF!,#REF!)</f>
        <v>#REF!</v>
      </c>
      <c r="L166" t="e">
        <f>_xlfn.XLOOKUP(C166,#REF!,#REF!)</f>
        <v>#REF!</v>
      </c>
      <c r="M166">
        <v>1</v>
      </c>
    </row>
    <row r="167" spans="1:13" x14ac:dyDescent="0.45">
      <c r="A167" s="6">
        <v>46199</v>
      </c>
      <c r="B167" t="s">
        <v>12</v>
      </c>
      <c r="C167" t="s">
        <v>286</v>
      </c>
      <c r="D167">
        <v>111</v>
      </c>
      <c r="E167">
        <v>605000</v>
      </c>
      <c r="F167">
        <v>27</v>
      </c>
      <c r="G167" s="7">
        <v>0.1875</v>
      </c>
      <c r="H167">
        <v>75</v>
      </c>
      <c r="I167" t="e">
        <f>_xlfn.XLOOKUP(C167,#REF!,#REF!)</f>
        <v>#REF!</v>
      </c>
      <c r="J167" t="e">
        <f>_xlfn.XLOOKUP(C167,#REF!,#REF!)</f>
        <v>#REF!</v>
      </c>
      <c r="K167" t="e">
        <f>_xlfn.XLOOKUP(C167,#REF!,#REF!)</f>
        <v>#REF!</v>
      </c>
      <c r="L167" t="e">
        <f>_xlfn.XLOOKUP(C167,#REF!,#REF!)</f>
        <v>#REF!</v>
      </c>
      <c r="M167">
        <v>0</v>
      </c>
    </row>
    <row r="168" spans="1:13" x14ac:dyDescent="0.45">
      <c r="A168" s="6">
        <v>46200</v>
      </c>
      <c r="B168" t="s">
        <v>15</v>
      </c>
      <c r="C168" t="s">
        <v>289</v>
      </c>
      <c r="D168">
        <v>146</v>
      </c>
      <c r="E168">
        <v>1040000</v>
      </c>
      <c r="F168">
        <v>61</v>
      </c>
      <c r="G168" s="7">
        <v>0.20238095238095238</v>
      </c>
      <c r="H168">
        <v>68</v>
      </c>
      <c r="I168" t="e">
        <f>_xlfn.XLOOKUP(C168,#REF!,#REF!)</f>
        <v>#REF!</v>
      </c>
      <c r="J168" t="e">
        <f>_xlfn.XLOOKUP(C168,#REF!,#REF!)</f>
        <v>#REF!</v>
      </c>
      <c r="K168" t="e">
        <f>_xlfn.XLOOKUP(C168,#REF!,#REF!)</f>
        <v>#REF!</v>
      </c>
      <c r="L168" t="e">
        <f>_xlfn.XLOOKUP(C168,#REF!,#REF!)</f>
        <v>#REF!</v>
      </c>
      <c r="M168">
        <v>0</v>
      </c>
    </row>
    <row r="169" spans="1:13" x14ac:dyDescent="0.45">
      <c r="A169" s="6">
        <v>46200</v>
      </c>
      <c r="B169" t="s">
        <v>19</v>
      </c>
      <c r="C169" t="s">
        <v>293</v>
      </c>
      <c r="D169">
        <v>421</v>
      </c>
      <c r="E169">
        <v>2000000</v>
      </c>
      <c r="F169">
        <v>2</v>
      </c>
      <c r="G169" s="7">
        <v>0.29411764705882354</v>
      </c>
      <c r="H169">
        <v>130</v>
      </c>
      <c r="I169" t="e">
        <f>_xlfn.XLOOKUP(C169,#REF!,#REF!)</f>
        <v>#REF!</v>
      </c>
      <c r="J169" t="e">
        <f>_xlfn.XLOOKUP(C169,#REF!,#REF!)</f>
        <v>#REF!</v>
      </c>
      <c r="K169" t="e">
        <f>_xlfn.XLOOKUP(C169,#REF!,#REF!)</f>
        <v>#REF!</v>
      </c>
      <c r="L169" t="e">
        <f>_xlfn.XLOOKUP(C169,#REF!,#REF!)</f>
        <v>#REF!</v>
      </c>
      <c r="M169">
        <v>1</v>
      </c>
    </row>
    <row r="170" spans="1:13" x14ac:dyDescent="0.45">
      <c r="A170" s="6">
        <v>46200</v>
      </c>
      <c r="B170" t="s">
        <v>20</v>
      </c>
      <c r="C170" t="s">
        <v>294</v>
      </c>
      <c r="D170">
        <v>15</v>
      </c>
      <c r="E170">
        <v>330000</v>
      </c>
      <c r="F170">
        <v>21</v>
      </c>
      <c r="G170" s="7">
        <v>0.38693467336683418</v>
      </c>
      <c r="H170">
        <v>151</v>
      </c>
      <c r="I170" t="e">
        <f>_xlfn.XLOOKUP(C170,#REF!,#REF!)</f>
        <v>#REF!</v>
      </c>
      <c r="J170" t="e">
        <f>_xlfn.XLOOKUP(C170,#REF!,#REF!)</f>
        <v>#REF!</v>
      </c>
      <c r="K170" t="e">
        <f>_xlfn.XLOOKUP(C170,#REF!,#REF!)</f>
        <v>#REF!</v>
      </c>
      <c r="L170" t="e">
        <f>_xlfn.XLOOKUP(C170,#REF!,#REF!)</f>
        <v>#REF!</v>
      </c>
      <c r="M170">
        <v>1</v>
      </c>
    </row>
    <row r="171" spans="1:13" x14ac:dyDescent="0.45">
      <c r="A171" s="6">
        <v>46200</v>
      </c>
      <c r="B171" t="s">
        <v>16</v>
      </c>
      <c r="C171" t="s">
        <v>290</v>
      </c>
      <c r="D171">
        <v>153</v>
      </c>
      <c r="E171">
        <v>1700000</v>
      </c>
      <c r="F171">
        <v>9</v>
      </c>
      <c r="G171" s="7">
        <v>0.41612903225806452</v>
      </c>
      <c r="H171">
        <v>227</v>
      </c>
      <c r="I171" t="e">
        <f>_xlfn.XLOOKUP(C171,#REF!,#REF!)</f>
        <v>#REF!</v>
      </c>
      <c r="J171" t="e">
        <f>_xlfn.XLOOKUP(C171,#REF!,#REF!)</f>
        <v>#REF!</v>
      </c>
      <c r="K171" t="e">
        <f>_xlfn.XLOOKUP(C171,#REF!,#REF!)</f>
        <v>#REF!</v>
      </c>
      <c r="L171" t="e">
        <f>_xlfn.XLOOKUP(C171,#REF!,#REF!)</f>
        <v>#REF!</v>
      </c>
      <c r="M171">
        <v>5</v>
      </c>
    </row>
    <row r="172" spans="1:13" x14ac:dyDescent="0.45">
      <c r="A172" s="6">
        <v>46200</v>
      </c>
      <c r="B172" t="s">
        <v>29</v>
      </c>
      <c r="C172" t="s">
        <v>303</v>
      </c>
      <c r="D172">
        <v>102</v>
      </c>
      <c r="E172">
        <v>935000</v>
      </c>
      <c r="F172">
        <v>74</v>
      </c>
      <c r="G172" s="7">
        <v>0.17110266159695817</v>
      </c>
      <c r="H172">
        <v>70</v>
      </c>
      <c r="I172" t="e">
        <f>_xlfn.XLOOKUP(C172,#REF!,#REF!)</f>
        <v>#REF!</v>
      </c>
      <c r="J172" t="e">
        <f>_xlfn.XLOOKUP(C172,#REF!,#REF!)</f>
        <v>#REF!</v>
      </c>
      <c r="K172" t="e">
        <f>_xlfn.XLOOKUP(C172,#REF!,#REF!)</f>
        <v>#REF!</v>
      </c>
      <c r="L172" t="e">
        <f>_xlfn.XLOOKUP(C172,#REF!,#REF!)</f>
        <v>#REF!</v>
      </c>
      <c r="M172">
        <v>1</v>
      </c>
    </row>
    <row r="173" spans="1:13" x14ac:dyDescent="0.45">
      <c r="A173" s="6">
        <v>46200</v>
      </c>
      <c r="B173" t="s">
        <v>26</v>
      </c>
      <c r="C173" t="s">
        <v>300</v>
      </c>
      <c r="D173">
        <v>399</v>
      </c>
      <c r="E173">
        <v>5800000</v>
      </c>
      <c r="F173">
        <v>4</v>
      </c>
      <c r="G173" s="7">
        <v>0.40606060606060607</v>
      </c>
      <c r="H173">
        <v>169</v>
      </c>
      <c r="I173" t="e">
        <f>_xlfn.XLOOKUP(C173,#REF!,#REF!)</f>
        <v>#REF!</v>
      </c>
      <c r="J173" t="e">
        <f>_xlfn.XLOOKUP(C173,#REF!,#REF!)</f>
        <v>#REF!</v>
      </c>
      <c r="K173" t="e">
        <f>_xlfn.XLOOKUP(C173,#REF!,#REF!)</f>
        <v>#REF!</v>
      </c>
      <c r="L173" t="e">
        <f>_xlfn.XLOOKUP(C173,#REF!,#REF!)</f>
        <v>#REF!</v>
      </c>
      <c r="M173">
        <v>2</v>
      </c>
    </row>
    <row r="174" spans="1:13" x14ac:dyDescent="0.45">
      <c r="A174" s="6">
        <v>46201</v>
      </c>
      <c r="B174" t="s">
        <v>7</v>
      </c>
      <c r="C174" t="s">
        <v>282</v>
      </c>
      <c r="D174">
        <v>90</v>
      </c>
      <c r="E174">
        <v>2500000</v>
      </c>
      <c r="F174">
        <v>30</v>
      </c>
      <c r="G174" s="7">
        <v>0.28048780487804881</v>
      </c>
      <c r="H174">
        <v>141</v>
      </c>
      <c r="I174" t="e">
        <f>_xlfn.XLOOKUP(C174,#REF!,#REF!)</f>
        <v>#REF!</v>
      </c>
      <c r="J174" t="e">
        <f>_xlfn.XLOOKUP(C174,#REF!,#REF!)</f>
        <v>#REF!</v>
      </c>
      <c r="K174" t="e">
        <f>_xlfn.XLOOKUP(C174,#REF!,#REF!)</f>
        <v>#REF!</v>
      </c>
      <c r="L174" t="e">
        <f>_xlfn.XLOOKUP(C174,#REF!,#REF!)</f>
        <v>#REF!</v>
      </c>
      <c r="M174">
        <v>1</v>
      </c>
    </row>
    <row r="175" spans="1:13" x14ac:dyDescent="0.45">
      <c r="A175" s="6">
        <v>46201</v>
      </c>
      <c r="B175" t="s">
        <v>25</v>
      </c>
      <c r="C175" t="s">
        <v>299</v>
      </c>
      <c r="D175">
        <v>315</v>
      </c>
      <c r="E175">
        <v>4000000</v>
      </c>
      <c r="F175">
        <v>5</v>
      </c>
      <c r="G175" s="7">
        <v>0.40976645435244163</v>
      </c>
      <c r="H175">
        <v>266</v>
      </c>
      <c r="I175" t="e">
        <f>_xlfn.XLOOKUP(C175,#REF!,#REF!)</f>
        <v>#REF!</v>
      </c>
      <c r="J175" t="e">
        <f>_xlfn.XLOOKUP(C175,#REF!,#REF!)</f>
        <v>#REF!</v>
      </c>
      <c r="K175" t="e">
        <f>_xlfn.XLOOKUP(C175,#REF!,#REF!)</f>
        <v>#REF!</v>
      </c>
      <c r="L175" t="e">
        <f>_xlfn.XLOOKUP(C175,#REF!,#REF!)</f>
        <v>#REF!</v>
      </c>
      <c r="M175">
        <v>0</v>
      </c>
    </row>
    <row r="176" spans="1:13" x14ac:dyDescent="0.45">
      <c r="A176" s="6">
        <v>46201</v>
      </c>
      <c r="B176" t="s">
        <v>28</v>
      </c>
      <c r="C176" t="s">
        <v>302</v>
      </c>
      <c r="D176">
        <v>42</v>
      </c>
      <c r="E176">
        <v>4000000</v>
      </c>
      <c r="F176">
        <v>50</v>
      </c>
      <c r="G176" s="7">
        <v>0.36363636363636365</v>
      </c>
      <c r="H176">
        <v>121</v>
      </c>
      <c r="I176" t="e">
        <f>_xlfn.XLOOKUP(C176,#REF!,#REF!)</f>
        <v>#REF!</v>
      </c>
      <c r="J176" t="e">
        <f>_xlfn.XLOOKUP(C176,#REF!,#REF!)</f>
        <v>#REF!</v>
      </c>
      <c r="K176" t="e">
        <f>_xlfn.XLOOKUP(C176,#REF!,#REF!)</f>
        <v>#REF!</v>
      </c>
      <c r="L176" t="e">
        <f>_xlfn.XLOOKUP(C176,#REF!,#REF!)</f>
        <v>#REF!</v>
      </c>
      <c r="M176">
        <v>1</v>
      </c>
    </row>
    <row r="177" spans="1:13" x14ac:dyDescent="0.45">
      <c r="A177" s="6">
        <v>46201</v>
      </c>
      <c r="B177" t="s">
        <v>24</v>
      </c>
      <c r="C177" t="s">
        <v>298</v>
      </c>
      <c r="D177">
        <v>73</v>
      </c>
      <c r="E177">
        <v>1500000</v>
      </c>
      <c r="F177">
        <v>24</v>
      </c>
      <c r="G177" s="7">
        <v>0.29044117647058826</v>
      </c>
      <c r="H177">
        <v>154</v>
      </c>
      <c r="I177" t="e">
        <f>_xlfn.XLOOKUP(C177,#REF!,#REF!)</f>
        <v>#REF!</v>
      </c>
      <c r="J177" t="e">
        <f>_xlfn.XLOOKUP(C177,#REF!,#REF!)</f>
        <v>#REF!</v>
      </c>
      <c r="K177" t="e">
        <f>_xlfn.XLOOKUP(C177,#REF!,#REF!)</f>
        <v>#REF!</v>
      </c>
      <c r="L177" t="e">
        <f>_xlfn.XLOOKUP(C177,#REF!,#REF!)</f>
        <v>#REF!</v>
      </c>
      <c r="M177">
        <v>3</v>
      </c>
    </row>
    <row r="178" spans="1:13" x14ac:dyDescent="0.45">
      <c r="A178" s="6">
        <v>46201</v>
      </c>
      <c r="B178" t="s">
        <v>23</v>
      </c>
      <c r="C178" t="s">
        <v>297</v>
      </c>
      <c r="D178">
        <v>465</v>
      </c>
      <c r="E178">
        <v>3000000</v>
      </c>
      <c r="F178">
        <v>3</v>
      </c>
      <c r="G178" s="7">
        <v>0.46419753086419752</v>
      </c>
      <c r="H178">
        <v>241</v>
      </c>
      <c r="I178" t="e">
        <f>_xlfn.XLOOKUP(C178,#REF!,#REF!)</f>
        <v>#REF!</v>
      </c>
      <c r="J178" t="e">
        <f>_xlfn.XLOOKUP(C178,#REF!,#REF!)</f>
        <v>#REF!</v>
      </c>
      <c r="K178" t="e">
        <f>_xlfn.XLOOKUP(C178,#REF!,#REF!)</f>
        <v>#REF!</v>
      </c>
      <c r="L178" t="e">
        <f>_xlfn.XLOOKUP(C178,#REF!,#REF!)</f>
        <v>#REF!</v>
      </c>
      <c r="M178">
        <v>3</v>
      </c>
    </row>
    <row r="179" spans="1:13" x14ac:dyDescent="0.45">
      <c r="A179" s="6">
        <v>46202</v>
      </c>
      <c r="B179" t="s">
        <v>47</v>
      </c>
      <c r="C179" t="s">
        <v>320</v>
      </c>
      <c r="D179">
        <v>118</v>
      </c>
      <c r="E179">
        <v>2500000</v>
      </c>
      <c r="F179">
        <v>40</v>
      </c>
      <c r="G179" s="7">
        <v>0.12209302325581395</v>
      </c>
      <c r="H179">
        <v>56</v>
      </c>
      <c r="I179" t="e">
        <f>_xlfn.XLOOKUP(C179,#REF!,#REF!)</f>
        <v>#REF!</v>
      </c>
      <c r="J179" t="e">
        <f>_xlfn.XLOOKUP(C179,#REF!,#REF!)</f>
        <v>#REF!</v>
      </c>
      <c r="K179" t="e">
        <f>_xlfn.XLOOKUP(C179,#REF!,#REF!)</f>
        <v>#REF!</v>
      </c>
      <c r="L179" t="e">
        <f>_xlfn.XLOOKUP(C179,#REF!,#REF!)</f>
        <v>#REF!</v>
      </c>
      <c r="M179">
        <v>1</v>
      </c>
    </row>
    <row r="180" spans="1:13" x14ac:dyDescent="0.45">
      <c r="A180" s="6">
        <v>46202</v>
      </c>
      <c r="B180" t="s">
        <v>39</v>
      </c>
      <c r="C180" t="s">
        <v>313</v>
      </c>
      <c r="D180">
        <v>127</v>
      </c>
      <c r="E180">
        <v>775000</v>
      </c>
      <c r="F180">
        <v>8</v>
      </c>
      <c r="G180" s="7">
        <v>0.40909090909090912</v>
      </c>
      <c r="H180">
        <v>109</v>
      </c>
      <c r="I180" t="e">
        <f>_xlfn.XLOOKUP(C180,#REF!,#REF!)</f>
        <v>#REF!</v>
      </c>
      <c r="J180" t="e">
        <f>_xlfn.XLOOKUP(C180,#REF!,#REF!)</f>
        <v>#REF!</v>
      </c>
      <c r="K180" t="e">
        <f>_xlfn.XLOOKUP(C180,#REF!,#REF!)</f>
        <v>#REF!</v>
      </c>
      <c r="L180" t="e">
        <f>_xlfn.XLOOKUP(C180,#REF!,#REF!)</f>
        <v>#REF!</v>
      </c>
      <c r="M180">
        <v>1</v>
      </c>
    </row>
    <row r="181" spans="1:13" x14ac:dyDescent="0.45">
      <c r="A181" s="6">
        <v>46202</v>
      </c>
      <c r="B181" t="s">
        <v>46</v>
      </c>
      <c r="C181" t="s">
        <v>319</v>
      </c>
      <c r="D181">
        <v>126</v>
      </c>
      <c r="E181">
        <v>865000</v>
      </c>
      <c r="F181">
        <v>18</v>
      </c>
      <c r="G181" s="7">
        <v>0.4</v>
      </c>
      <c r="H181">
        <v>121</v>
      </c>
      <c r="I181" t="e">
        <f>_xlfn.XLOOKUP(C181,#REF!,#REF!)</f>
        <v>#REF!</v>
      </c>
      <c r="J181" t="e">
        <f>_xlfn.XLOOKUP(C181,#REF!,#REF!)</f>
        <v>#REF!</v>
      </c>
      <c r="K181" t="e">
        <f>_xlfn.XLOOKUP(C181,#REF!,#REF!)</f>
        <v>#REF!</v>
      </c>
      <c r="L181" t="e">
        <f>_xlfn.XLOOKUP(C181,#REF!,#REF!)</f>
        <v>#REF!</v>
      </c>
      <c r="M181">
        <v>1</v>
      </c>
    </row>
    <row r="182" spans="1:13" x14ac:dyDescent="0.45">
      <c r="A182" s="6">
        <v>46203</v>
      </c>
      <c r="B182" t="s">
        <v>37</v>
      </c>
      <c r="C182" t="s">
        <v>311</v>
      </c>
      <c r="D182">
        <v>111</v>
      </c>
      <c r="E182">
        <v>575000</v>
      </c>
      <c r="F182">
        <v>31</v>
      </c>
      <c r="G182" s="7">
        <v>0.43514644351464438</v>
      </c>
      <c r="H182">
        <v>133</v>
      </c>
      <c r="I182" t="e">
        <f>_xlfn.XLOOKUP(C182,#REF!,#REF!)</f>
        <v>#REF!</v>
      </c>
      <c r="J182" t="e">
        <f>_xlfn.XLOOKUP(C182,#REF!,#REF!)</f>
        <v>#REF!</v>
      </c>
      <c r="K182" t="e">
        <f>_xlfn.XLOOKUP(C182,#REF!,#REF!)</f>
        <v>#REF!</v>
      </c>
      <c r="L182" t="e">
        <f>_xlfn.XLOOKUP(C182,#REF!,#REF!)</f>
        <v>#REF!</v>
      </c>
      <c r="M182">
        <v>2</v>
      </c>
    </row>
    <row r="183" spans="1:13" x14ac:dyDescent="0.45">
      <c r="A183" s="6">
        <v>46203</v>
      </c>
      <c r="B183" t="s">
        <v>17</v>
      </c>
      <c r="C183" t="s">
        <v>291</v>
      </c>
      <c r="D183">
        <v>151</v>
      </c>
      <c r="E183">
        <v>580000</v>
      </c>
      <c r="F183">
        <v>38</v>
      </c>
      <c r="G183" s="7">
        <v>0.34693877551020408</v>
      </c>
      <c r="H183">
        <v>72</v>
      </c>
      <c r="I183" t="e">
        <f>_xlfn.XLOOKUP(C183,#REF!,#REF!)</f>
        <v>#REF!</v>
      </c>
      <c r="J183" t="e">
        <f>_xlfn.XLOOKUP(C183,#REF!,#REF!)</f>
        <v>#REF!</v>
      </c>
      <c r="K183" t="e">
        <f>_xlfn.XLOOKUP(C183,#REF!,#REF!)</f>
        <v>#REF!</v>
      </c>
      <c r="L183" t="e">
        <f>_xlfn.XLOOKUP(C183,#REF!,#REF!)</f>
        <v>#REF!</v>
      </c>
      <c r="M183">
        <v>0</v>
      </c>
    </row>
    <row r="184" spans="1:13" x14ac:dyDescent="0.45">
      <c r="A184" s="6">
        <v>46203</v>
      </c>
      <c r="B184" t="s">
        <v>35</v>
      </c>
      <c r="C184" t="s">
        <v>309</v>
      </c>
      <c r="D184">
        <v>124</v>
      </c>
      <c r="E184">
        <v>2000000</v>
      </c>
      <c r="F184">
        <v>23</v>
      </c>
      <c r="G184" s="7">
        <v>0.26022304832713755</v>
      </c>
      <c r="H184">
        <v>96</v>
      </c>
      <c r="I184" t="e">
        <f>_xlfn.XLOOKUP(C184,#REF!,#REF!)</f>
        <v>#REF!</v>
      </c>
      <c r="J184" t="e">
        <f>_xlfn.XLOOKUP(C184,#REF!,#REF!)</f>
        <v>#REF!</v>
      </c>
      <c r="K184" t="e">
        <f>_xlfn.XLOOKUP(C184,#REF!,#REF!)</f>
        <v>#REF!</v>
      </c>
      <c r="L184" t="e">
        <f>_xlfn.XLOOKUP(C184,#REF!,#REF!)</f>
        <v>#REF!</v>
      </c>
      <c r="M184">
        <v>0</v>
      </c>
    </row>
    <row r="185" spans="1:13" x14ac:dyDescent="0.45">
      <c r="A185" s="6">
        <v>46204</v>
      </c>
      <c r="B185" t="s">
        <v>51</v>
      </c>
      <c r="C185" t="s">
        <v>324</v>
      </c>
      <c r="D185">
        <v>30</v>
      </c>
      <c r="E185">
        <v>430000</v>
      </c>
      <c r="F185">
        <v>46</v>
      </c>
      <c r="G185" s="7">
        <v>0.20640569395017794</v>
      </c>
      <c r="H185">
        <v>85</v>
      </c>
      <c r="I185" t="e">
        <f>_xlfn.XLOOKUP(C185,#REF!,#REF!)</f>
        <v>#REF!</v>
      </c>
      <c r="J185" t="e">
        <f>_xlfn.XLOOKUP(C185,#REF!,#REF!)</f>
        <v>#REF!</v>
      </c>
      <c r="K185" t="e">
        <f>_xlfn.XLOOKUP(C185,#REF!,#REF!)</f>
        <v>#REF!</v>
      </c>
      <c r="L185" t="e">
        <f>_xlfn.XLOOKUP(C185,#REF!,#REF!)</f>
        <v>#REF!</v>
      </c>
      <c r="M185">
        <v>1</v>
      </c>
    </row>
    <row r="186" spans="1:13" x14ac:dyDescent="0.45">
      <c r="A186" s="6">
        <v>46204</v>
      </c>
      <c r="B186" t="s">
        <v>45</v>
      </c>
      <c r="C186" t="s">
        <v>318</v>
      </c>
      <c r="D186">
        <v>58</v>
      </c>
      <c r="E186">
        <v>920000</v>
      </c>
      <c r="F186">
        <v>14</v>
      </c>
      <c r="G186" s="7">
        <v>0.27173913043478259</v>
      </c>
      <c r="H186">
        <v>141</v>
      </c>
      <c r="I186" t="e">
        <f>_xlfn.XLOOKUP(C186,#REF!,#REF!)</f>
        <v>#REF!</v>
      </c>
      <c r="J186" t="e">
        <f>_xlfn.XLOOKUP(C186,#REF!,#REF!)</f>
        <v>#REF!</v>
      </c>
      <c r="K186" t="e">
        <f>_xlfn.XLOOKUP(C186,#REF!,#REF!)</f>
        <v>#REF!</v>
      </c>
      <c r="L186" t="e">
        <f>_xlfn.XLOOKUP(C186,#REF!,#REF!)</f>
        <v>#REF!</v>
      </c>
      <c r="M186">
        <v>2</v>
      </c>
    </row>
    <row r="187" spans="1:13" x14ac:dyDescent="0.45">
      <c r="A187" s="6">
        <v>46204</v>
      </c>
      <c r="B187" t="s">
        <v>42</v>
      </c>
      <c r="C187" t="s">
        <v>316</v>
      </c>
      <c r="D187">
        <v>88</v>
      </c>
      <c r="E187">
        <v>230000</v>
      </c>
      <c r="F187">
        <v>65</v>
      </c>
      <c r="G187" s="7">
        <v>0.33204633204633205</v>
      </c>
      <c r="H187">
        <v>97</v>
      </c>
      <c r="I187" t="e">
        <f>_xlfn.XLOOKUP(C187,#REF!,#REF!)</f>
        <v>#REF!</v>
      </c>
      <c r="J187" t="e">
        <f>_xlfn.XLOOKUP(C187,#REF!,#REF!)</f>
        <v>#REF!</v>
      </c>
      <c r="K187" t="e">
        <f>_xlfn.XLOOKUP(C187,#REF!,#REF!)</f>
        <v>#REF!</v>
      </c>
      <c r="L187" t="e">
        <f>_xlfn.XLOOKUP(C187,#REF!,#REF!)</f>
        <v>#REF!</v>
      </c>
      <c r="M187">
        <v>0</v>
      </c>
    </row>
    <row r="188" spans="1:13" x14ac:dyDescent="0.45">
      <c r="A188" s="6">
        <v>46205</v>
      </c>
      <c r="B188" t="s">
        <v>24</v>
      </c>
      <c r="C188" t="s">
        <v>298</v>
      </c>
      <c r="D188">
        <v>73</v>
      </c>
      <c r="E188">
        <v>1500000</v>
      </c>
      <c r="F188">
        <v>24</v>
      </c>
      <c r="G188" s="7">
        <v>0.29044117647058826</v>
      </c>
      <c r="H188">
        <v>154</v>
      </c>
      <c r="I188" t="e">
        <f>_xlfn.XLOOKUP(C188,#REF!,#REF!)</f>
        <v>#REF!</v>
      </c>
      <c r="J188" t="e">
        <f>_xlfn.XLOOKUP(C188,#REF!,#REF!)</f>
        <v>#REF!</v>
      </c>
      <c r="K188" t="e">
        <f>_xlfn.XLOOKUP(C188,#REF!,#REF!)</f>
        <v>#REF!</v>
      </c>
      <c r="L188" t="e">
        <f>_xlfn.XLOOKUP(C188,#REF!,#REF!)</f>
        <v>#REF!</v>
      </c>
      <c r="M188">
        <v>0</v>
      </c>
    </row>
    <row r="189" spans="1:13" x14ac:dyDescent="0.45">
      <c r="A189" s="6">
        <v>46205</v>
      </c>
      <c r="B189" t="s">
        <v>50</v>
      </c>
      <c r="C189" t="s">
        <v>323</v>
      </c>
      <c r="D189">
        <v>97</v>
      </c>
      <c r="E189">
        <v>1500000</v>
      </c>
      <c r="F189">
        <v>11</v>
      </c>
      <c r="G189" s="7">
        <v>0.24099722991689751</v>
      </c>
      <c r="H189">
        <v>159</v>
      </c>
      <c r="I189" t="e">
        <f>_xlfn.XLOOKUP(C189,#REF!,#REF!)</f>
        <v>#REF!</v>
      </c>
      <c r="J189" t="e">
        <f>_xlfn.XLOOKUP(C189,#REF!,#REF!)</f>
        <v>#REF!</v>
      </c>
      <c r="K189" t="e">
        <f>_xlfn.XLOOKUP(C189,#REF!,#REF!)</f>
        <v>#REF!</v>
      </c>
      <c r="L189" t="e">
        <f>_xlfn.XLOOKUP(C189,#REF!,#REF!)</f>
        <v>#REF!</v>
      </c>
      <c r="M189">
        <v>1</v>
      </c>
    </row>
    <row r="190" spans="1:13" x14ac:dyDescent="0.45">
      <c r="A190" s="6">
        <v>46205</v>
      </c>
      <c r="B190" t="s">
        <v>52</v>
      </c>
      <c r="C190" t="s">
        <v>325</v>
      </c>
      <c r="D190">
        <v>51</v>
      </c>
      <c r="E190">
        <v>1380000</v>
      </c>
      <c r="F190">
        <v>28</v>
      </c>
      <c r="G190" s="7">
        <v>0.34334763948497854</v>
      </c>
      <c r="H190">
        <v>126</v>
      </c>
      <c r="I190" t="e">
        <f>_xlfn.XLOOKUP(C190,#REF!,#REF!)</f>
        <v>#REF!</v>
      </c>
      <c r="J190" t="e">
        <f>_xlfn.XLOOKUP(C190,#REF!,#REF!)</f>
        <v>#REF!</v>
      </c>
      <c r="K190" t="e">
        <f>_xlfn.XLOOKUP(C190,#REF!,#REF!)</f>
        <v>#REF!</v>
      </c>
      <c r="L190" t="e">
        <f>_xlfn.XLOOKUP(C190,#REF!,#REF!)</f>
        <v>#REF!</v>
      </c>
      <c r="M190">
        <v>0</v>
      </c>
    </row>
    <row r="191" spans="1:13" x14ac:dyDescent="0.45">
      <c r="A191" s="6">
        <v>46206</v>
      </c>
      <c r="B191" t="s">
        <v>29</v>
      </c>
      <c r="C191" t="s">
        <v>303</v>
      </c>
      <c r="D191">
        <v>102</v>
      </c>
      <c r="E191">
        <v>935000</v>
      </c>
      <c r="F191">
        <v>74</v>
      </c>
      <c r="G191" s="7">
        <v>0.17110266159695817</v>
      </c>
      <c r="H191">
        <v>70</v>
      </c>
      <c r="I191" t="e">
        <f>_xlfn.XLOOKUP(C191,#REF!,#REF!)</f>
        <v>#REF!</v>
      </c>
      <c r="J191" t="e">
        <f>_xlfn.XLOOKUP(C191,#REF!,#REF!)</f>
        <v>#REF!</v>
      </c>
      <c r="K191" t="e">
        <f>_xlfn.XLOOKUP(C191,#REF!,#REF!)</f>
        <v>#REF!</v>
      </c>
      <c r="L191" t="e">
        <f>_xlfn.XLOOKUP(C191,#REF!,#REF!)</f>
        <v>#REF!</v>
      </c>
      <c r="M191">
        <v>0</v>
      </c>
    </row>
    <row r="192" spans="1:13" x14ac:dyDescent="0.45">
      <c r="A192" s="6">
        <v>46206</v>
      </c>
      <c r="B192" t="s">
        <v>49</v>
      </c>
      <c r="C192" t="s">
        <v>322</v>
      </c>
      <c r="D192">
        <v>121</v>
      </c>
      <c r="E192">
        <v>156000</v>
      </c>
      <c r="F192">
        <v>29</v>
      </c>
      <c r="G192" s="7">
        <v>0.29133858267716534</v>
      </c>
      <c r="H192">
        <v>136</v>
      </c>
      <c r="I192" t="e">
        <f>_xlfn.XLOOKUP(C192,#REF!,#REF!)</f>
        <v>#REF!</v>
      </c>
      <c r="J192" t="e">
        <f>_xlfn.XLOOKUP(C192,#REF!,#REF!)</f>
        <v>#REF!</v>
      </c>
      <c r="K192" t="e">
        <f>_xlfn.XLOOKUP(C192,#REF!,#REF!)</f>
        <v>#REF!</v>
      </c>
      <c r="L192" t="e">
        <f>_xlfn.XLOOKUP(C192,#REF!,#REF!)</f>
        <v>#REF!</v>
      </c>
      <c r="M192">
        <v>1</v>
      </c>
    </row>
    <row r="193" spans="1:13" x14ac:dyDescent="0.45">
      <c r="A193" s="6">
        <v>46206</v>
      </c>
      <c r="B193" t="s">
        <v>48</v>
      </c>
      <c r="C193" t="s">
        <v>321</v>
      </c>
      <c r="D193">
        <v>1</v>
      </c>
      <c r="E193">
        <v>110000</v>
      </c>
      <c r="F193">
        <v>69</v>
      </c>
      <c r="G193" s="7">
        <v>0.23333333333333334</v>
      </c>
      <c r="H193">
        <v>79</v>
      </c>
      <c r="I193" t="e">
        <f>_xlfn.XLOOKUP(C193,#REF!,#REF!)</f>
        <v>#REF!</v>
      </c>
      <c r="J193" t="e">
        <f>_xlfn.XLOOKUP(C193,#REF!,#REF!)</f>
        <v>#REF!</v>
      </c>
      <c r="K193" t="e">
        <f>_xlfn.XLOOKUP(C193,#REF!,#REF!)</f>
        <v>#REF!</v>
      </c>
      <c r="L193" t="e">
        <f>_xlfn.XLOOKUP(C193,#REF!,#REF!)</f>
        <v>#REF!</v>
      </c>
      <c r="M193">
        <v>2</v>
      </c>
    </row>
    <row r="194" spans="1:13" x14ac:dyDescent="0.45">
      <c r="A194" s="6">
        <v>46207</v>
      </c>
      <c r="B194" t="s">
        <v>21</v>
      </c>
      <c r="C194" t="s">
        <v>295</v>
      </c>
      <c r="D194">
        <v>258</v>
      </c>
      <c r="E194">
        <v>3800000</v>
      </c>
      <c r="F194">
        <v>1</v>
      </c>
      <c r="G194" s="7">
        <v>0.35335689045936397</v>
      </c>
      <c r="H194">
        <v>120</v>
      </c>
      <c r="I194" t="e">
        <f>_xlfn.XLOOKUP(C194,#REF!,#REF!)</f>
        <v>#REF!</v>
      </c>
      <c r="J194" t="e">
        <f>_xlfn.XLOOKUP(C194,#REF!,#REF!)</f>
        <v>#REF!</v>
      </c>
      <c r="K194" t="e">
        <f>_xlfn.XLOOKUP(C194,#REF!,#REF!)</f>
        <v>#REF!</v>
      </c>
      <c r="L194" t="e">
        <f>_xlfn.XLOOKUP(C194,#REF!,#REF!)</f>
        <v>#REF!</v>
      </c>
      <c r="M194">
        <v>1</v>
      </c>
    </row>
    <row r="195" spans="1:13" x14ac:dyDescent="0.45">
      <c r="A195" s="6">
        <v>46207</v>
      </c>
      <c r="B195" t="s">
        <v>39</v>
      </c>
      <c r="C195" t="s">
        <v>313</v>
      </c>
      <c r="D195">
        <v>127</v>
      </c>
      <c r="E195">
        <v>775000</v>
      </c>
      <c r="F195">
        <v>8</v>
      </c>
      <c r="G195" s="7">
        <v>0.40909090909090912</v>
      </c>
      <c r="H195">
        <v>109</v>
      </c>
      <c r="I195" t="e">
        <f>_xlfn.XLOOKUP(C195,#REF!,#REF!)</f>
        <v>#REF!</v>
      </c>
      <c r="J195" t="e">
        <f>_xlfn.XLOOKUP(C195,#REF!,#REF!)</f>
        <v>#REF!</v>
      </c>
      <c r="K195" t="e">
        <f>_xlfn.XLOOKUP(C195,#REF!,#REF!)</f>
        <v>#REF!</v>
      </c>
      <c r="L195" t="e">
        <f>_xlfn.XLOOKUP(C195,#REF!,#REF!)</f>
        <v>#REF!</v>
      </c>
      <c r="M195">
        <v>3</v>
      </c>
    </row>
    <row r="196" spans="1:13" x14ac:dyDescent="0.45">
      <c r="A196" s="6">
        <v>46208</v>
      </c>
      <c r="B196" t="s">
        <v>37</v>
      </c>
      <c r="C196" t="s">
        <v>311</v>
      </c>
      <c r="D196">
        <v>111</v>
      </c>
      <c r="E196">
        <v>575000</v>
      </c>
      <c r="F196">
        <v>31</v>
      </c>
      <c r="G196" s="7">
        <v>0.43514644351464438</v>
      </c>
      <c r="H196">
        <v>133</v>
      </c>
      <c r="I196" t="e">
        <f>_xlfn.XLOOKUP(C196,#REF!,#REF!)</f>
        <v>#REF!</v>
      </c>
      <c r="J196" t="e">
        <f>_xlfn.XLOOKUP(C196,#REF!,#REF!)</f>
        <v>#REF!</v>
      </c>
      <c r="K196" t="e">
        <f>_xlfn.XLOOKUP(C196,#REF!,#REF!)</f>
        <v>#REF!</v>
      </c>
      <c r="L196" t="e">
        <f>_xlfn.XLOOKUP(C196,#REF!,#REF!)</f>
        <v>#REF!</v>
      </c>
      <c r="M196">
        <v>2</v>
      </c>
    </row>
    <row r="197" spans="1:13" x14ac:dyDescent="0.45">
      <c r="A197" s="6">
        <v>46208</v>
      </c>
      <c r="B197" t="s">
        <v>26</v>
      </c>
      <c r="C197" t="s">
        <v>300</v>
      </c>
      <c r="D197">
        <v>399</v>
      </c>
      <c r="E197">
        <v>5800000</v>
      </c>
      <c r="F197">
        <v>4</v>
      </c>
      <c r="G197" s="7">
        <v>0.40606060606060607</v>
      </c>
      <c r="H197">
        <v>169</v>
      </c>
      <c r="I197" t="e">
        <f>_xlfn.XLOOKUP(C197,#REF!,#REF!)</f>
        <v>#REF!</v>
      </c>
      <c r="J197" t="e">
        <f>_xlfn.XLOOKUP(C197,#REF!,#REF!)</f>
        <v>#REF!</v>
      </c>
      <c r="K197" t="e">
        <f>_xlfn.XLOOKUP(C197,#REF!,#REF!)</f>
        <v>#REF!</v>
      </c>
      <c r="L197" t="e">
        <f>_xlfn.XLOOKUP(C197,#REF!,#REF!)</f>
        <v>#REF!</v>
      </c>
      <c r="M197">
        <v>3</v>
      </c>
    </row>
    <row r="198" spans="1:13" x14ac:dyDescent="0.45">
      <c r="A198" s="6">
        <v>46209</v>
      </c>
      <c r="B198" t="s">
        <v>19</v>
      </c>
      <c r="C198" t="s">
        <v>293</v>
      </c>
      <c r="D198">
        <v>421</v>
      </c>
      <c r="E198">
        <v>2000000</v>
      </c>
      <c r="F198">
        <v>2</v>
      </c>
      <c r="G198" s="7">
        <v>0.29411764705882354</v>
      </c>
      <c r="H198">
        <v>130</v>
      </c>
      <c r="I198" t="e">
        <f>_xlfn.XLOOKUP(C198,#REF!,#REF!)</f>
        <v>#REF!</v>
      </c>
      <c r="J198" t="e">
        <f>_xlfn.XLOOKUP(C198,#REF!,#REF!)</f>
        <v>#REF!</v>
      </c>
      <c r="K198" t="e">
        <f>_xlfn.XLOOKUP(C198,#REF!,#REF!)</f>
        <v>#REF!</v>
      </c>
      <c r="L198" t="e">
        <f>_xlfn.XLOOKUP(C198,#REF!,#REF!)</f>
        <v>#REF!</v>
      </c>
      <c r="M198">
        <v>1</v>
      </c>
    </row>
    <row r="199" spans="1:13" x14ac:dyDescent="0.45">
      <c r="A199" s="6">
        <v>46209</v>
      </c>
      <c r="B199" t="s">
        <v>16</v>
      </c>
      <c r="C199" t="s">
        <v>290</v>
      </c>
      <c r="D199">
        <v>153</v>
      </c>
      <c r="E199">
        <v>1700000</v>
      </c>
      <c r="F199">
        <v>9</v>
      </c>
      <c r="G199" s="7">
        <v>0.41612903225806452</v>
      </c>
      <c r="H199">
        <v>227</v>
      </c>
      <c r="I199" t="e">
        <f>_xlfn.XLOOKUP(C199,#REF!,#REF!)</f>
        <v>#REF!</v>
      </c>
      <c r="J199" t="e">
        <f>_xlfn.XLOOKUP(C199,#REF!,#REF!)</f>
        <v>#REF!</v>
      </c>
      <c r="K199" t="e">
        <f>_xlfn.XLOOKUP(C199,#REF!,#REF!)</f>
        <v>#REF!</v>
      </c>
      <c r="L199" t="e">
        <f>_xlfn.XLOOKUP(C199,#REF!,#REF!)</f>
        <v>#REF!</v>
      </c>
      <c r="M199">
        <v>4</v>
      </c>
    </row>
    <row r="200" spans="1:13" x14ac:dyDescent="0.45">
      <c r="A200" s="6">
        <v>46210</v>
      </c>
      <c r="B200" t="s">
        <v>49</v>
      </c>
      <c r="C200" t="s">
        <v>322</v>
      </c>
      <c r="D200">
        <v>121</v>
      </c>
      <c r="E200">
        <v>156000</v>
      </c>
      <c r="F200">
        <v>29</v>
      </c>
      <c r="G200" s="7">
        <v>0.29133858267716534</v>
      </c>
      <c r="H200">
        <v>136</v>
      </c>
      <c r="I200" t="e">
        <f>_xlfn.XLOOKUP(C200,#REF!,#REF!)</f>
        <v>#REF!</v>
      </c>
      <c r="J200" t="e">
        <f>_xlfn.XLOOKUP(C200,#REF!,#REF!)</f>
        <v>#REF!</v>
      </c>
      <c r="K200" t="e">
        <f>_xlfn.XLOOKUP(C200,#REF!,#REF!)</f>
        <v>#REF!</v>
      </c>
      <c r="L200" t="e">
        <f>_xlfn.XLOOKUP(C200,#REF!,#REF!)</f>
        <v>#REF!</v>
      </c>
      <c r="M200">
        <v>2</v>
      </c>
    </row>
    <row r="201" spans="1:13" x14ac:dyDescent="0.45">
      <c r="A201" s="6">
        <v>46210</v>
      </c>
      <c r="B201" t="s">
        <v>40</v>
      </c>
      <c r="C201" t="s">
        <v>314</v>
      </c>
      <c r="D201">
        <v>241</v>
      </c>
      <c r="E201">
        <v>2000000</v>
      </c>
      <c r="F201">
        <v>13</v>
      </c>
      <c r="G201" s="7">
        <v>0.26143790849673204</v>
      </c>
      <c r="H201">
        <v>113</v>
      </c>
      <c r="I201" t="e">
        <f>_xlfn.XLOOKUP(C201,#REF!,#REF!)</f>
        <v>#REF!</v>
      </c>
      <c r="J201" t="e">
        <f>_xlfn.XLOOKUP(C201,#REF!,#REF!)</f>
        <v>#REF!</v>
      </c>
      <c r="K201" t="e">
        <f>_xlfn.XLOOKUP(C201,#REF!,#REF!)</f>
        <v>#REF!</v>
      </c>
      <c r="L201" t="e">
        <f>_xlfn.XLOOKUP(C201,#REF!,#REF!)</f>
        <v>#REF!</v>
      </c>
      <c r="M201">
        <v>0</v>
      </c>
    </row>
    <row r="202" spans="1:13" x14ac:dyDescent="0.45">
      <c r="A202" s="6">
        <v>46212</v>
      </c>
      <c r="B202" t="s">
        <v>39</v>
      </c>
      <c r="C202" t="s">
        <v>313</v>
      </c>
      <c r="D202">
        <v>127</v>
      </c>
      <c r="E202">
        <v>775000</v>
      </c>
      <c r="F202">
        <v>8</v>
      </c>
      <c r="G202" s="7">
        <v>0.40909090909090912</v>
      </c>
      <c r="H202">
        <v>109</v>
      </c>
      <c r="I202" t="e">
        <f>_xlfn.XLOOKUP(C202,#REF!,#REF!)</f>
        <v>#REF!</v>
      </c>
      <c r="J202" t="e">
        <f>_xlfn.XLOOKUP(C202,#REF!,#REF!)</f>
        <v>#REF!</v>
      </c>
      <c r="K202" t="e">
        <f>_xlfn.XLOOKUP(C202,#REF!,#REF!)</f>
        <v>#REF!</v>
      </c>
      <c r="L202" t="e">
        <f>_xlfn.XLOOKUP(C202,#REF!,#REF!)</f>
        <v>#REF!</v>
      </c>
      <c r="M202">
        <v>0</v>
      </c>
    </row>
    <row r="203" spans="1:13" x14ac:dyDescent="0.45">
      <c r="A203" s="6">
        <v>46213</v>
      </c>
      <c r="B203" t="s">
        <v>16</v>
      </c>
      <c r="C203" t="s">
        <v>290</v>
      </c>
      <c r="D203">
        <v>153</v>
      </c>
      <c r="E203">
        <v>1700000</v>
      </c>
      <c r="F203">
        <v>9</v>
      </c>
      <c r="G203" s="7">
        <v>0.41612903225806452</v>
      </c>
      <c r="H203">
        <v>227</v>
      </c>
      <c r="I203" t="e">
        <f>_xlfn.XLOOKUP(C203,#REF!,#REF!)</f>
        <v>#REF!</v>
      </c>
      <c r="J203" t="e">
        <f>_xlfn.XLOOKUP(C203,#REF!,#REF!)</f>
        <v>#REF!</v>
      </c>
      <c r="K203" t="e">
        <f>_xlfn.XLOOKUP(C203,#REF!,#REF!)</f>
        <v>#REF!</v>
      </c>
      <c r="L203" t="e">
        <f>_xlfn.XLOOKUP(C203,#REF!,#REF!)</f>
        <v>#REF!</v>
      </c>
      <c r="M203">
        <v>1</v>
      </c>
    </row>
    <row r="204" spans="1:13" x14ac:dyDescent="0.45">
      <c r="A204" s="6">
        <v>46214</v>
      </c>
      <c r="B204" t="s">
        <v>26</v>
      </c>
      <c r="C204" t="s">
        <v>300</v>
      </c>
      <c r="D204">
        <v>399</v>
      </c>
      <c r="E204">
        <v>5800000</v>
      </c>
      <c r="F204">
        <v>4</v>
      </c>
      <c r="G204" s="7">
        <v>0.40606060606060607</v>
      </c>
      <c r="H204">
        <v>169</v>
      </c>
      <c r="I204" t="e">
        <f>_xlfn.XLOOKUP(C204,#REF!,#REF!)</f>
        <v>#REF!</v>
      </c>
      <c r="J204" t="e">
        <f>_xlfn.XLOOKUP(C204,#REF!,#REF!)</f>
        <v>#REF!</v>
      </c>
      <c r="K204" t="e">
        <f>_xlfn.XLOOKUP(C204,#REF!,#REF!)</f>
        <v>#REF!</v>
      </c>
      <c r="L204" t="e">
        <f>_xlfn.XLOOKUP(C204,#REF!,#REF!)</f>
        <v>#REF!</v>
      </c>
      <c r="M204">
        <v>2</v>
      </c>
    </row>
    <row r="205" spans="1:13" x14ac:dyDescent="0.45">
      <c r="A205" s="6">
        <v>46214</v>
      </c>
      <c r="B205" t="s">
        <v>27</v>
      </c>
      <c r="C205" t="s">
        <v>301</v>
      </c>
      <c r="D205">
        <v>84</v>
      </c>
      <c r="E205">
        <v>1600000</v>
      </c>
      <c r="F205">
        <v>19</v>
      </c>
      <c r="G205" s="7">
        <v>0.24242424242424243</v>
      </c>
      <c r="H205">
        <v>134</v>
      </c>
      <c r="I205" t="e">
        <f>_xlfn.XLOOKUP(C205,#REF!,#REF!)</f>
        <v>#REF!</v>
      </c>
      <c r="J205" t="e">
        <f>_xlfn.XLOOKUP(C205,#REF!,#REF!)</f>
        <v>#REF!</v>
      </c>
      <c r="K205" t="e">
        <f>_xlfn.XLOOKUP(C205,#REF!,#REF!)</f>
        <v>#REF!</v>
      </c>
      <c r="L205" t="e">
        <f>_xlfn.XLOOKUP(C205,#REF!,#REF!)</f>
        <v>#REF!</v>
      </c>
      <c r="M205">
        <v>1</v>
      </c>
    </row>
    <row r="206" spans="1:13" x14ac:dyDescent="0.45">
      <c r="A206" s="6">
        <v>46217</v>
      </c>
      <c r="B206" t="s">
        <v>19</v>
      </c>
      <c r="C206" t="s">
        <v>293</v>
      </c>
      <c r="D206">
        <v>421</v>
      </c>
      <c r="E206">
        <v>2000000</v>
      </c>
      <c r="F206">
        <v>2</v>
      </c>
      <c r="G206" s="7">
        <v>0.29411764705882354</v>
      </c>
      <c r="H206">
        <v>130</v>
      </c>
      <c r="I206" t="e">
        <f>_xlfn.XLOOKUP(C206,#REF!,#REF!)</f>
        <v>#REF!</v>
      </c>
      <c r="J206" t="e">
        <f>_xlfn.XLOOKUP(C206,#REF!,#REF!)</f>
        <v>#REF!</v>
      </c>
      <c r="K206" t="e">
        <f>_xlfn.XLOOKUP(C206,#REF!,#REF!)</f>
        <v>#REF!</v>
      </c>
      <c r="L206" t="e">
        <f>_xlfn.XLOOKUP(C206,#REF!,#REF!)</f>
        <v>#REF!</v>
      </c>
      <c r="M206">
        <v>2</v>
      </c>
    </row>
    <row r="207" spans="1:13" x14ac:dyDescent="0.45">
      <c r="A207" s="6">
        <v>46218</v>
      </c>
      <c r="B207" t="s">
        <v>23</v>
      </c>
      <c r="C207" t="s">
        <v>297</v>
      </c>
      <c r="D207">
        <v>465</v>
      </c>
      <c r="E207">
        <v>3000000</v>
      </c>
      <c r="F207">
        <v>3</v>
      </c>
      <c r="G207" s="7">
        <v>0.46419753086419752</v>
      </c>
      <c r="H207">
        <v>241</v>
      </c>
      <c r="I207" t="e">
        <f>_xlfn.XLOOKUP(C207,#REF!,#REF!)</f>
        <v>#REF!</v>
      </c>
      <c r="J207" t="e">
        <f>_xlfn.XLOOKUP(C207,#REF!,#REF!)</f>
        <v>#REF!</v>
      </c>
      <c r="K207" t="e">
        <f>_xlfn.XLOOKUP(C207,#REF!,#REF!)</f>
        <v>#REF!</v>
      </c>
      <c r="L207" t="e">
        <f>_xlfn.XLOOKUP(C207,#REF!,#REF!)</f>
        <v>#REF!</v>
      </c>
      <c r="M207">
        <v>2</v>
      </c>
    </row>
    <row r="208" spans="1:13" x14ac:dyDescent="0.45">
      <c r="A208" s="6">
        <v>46221</v>
      </c>
      <c r="B208" t="s">
        <v>21</v>
      </c>
      <c r="C208" t="s">
        <v>295</v>
      </c>
      <c r="D208">
        <v>258</v>
      </c>
      <c r="E208">
        <v>3800000</v>
      </c>
      <c r="F208">
        <v>1</v>
      </c>
      <c r="G208" s="7">
        <v>0.35335689045936397</v>
      </c>
      <c r="H208">
        <v>120</v>
      </c>
      <c r="I208" t="e">
        <f>_xlfn.XLOOKUP(C208,#REF!,#REF!)</f>
        <v>#REF!</v>
      </c>
      <c r="J208" t="e">
        <f>_xlfn.XLOOKUP(C208,#REF!,#REF!)</f>
        <v>#REF!</v>
      </c>
      <c r="K208" t="e">
        <f>_xlfn.XLOOKUP(C208,#REF!,#REF!)</f>
        <v>#REF!</v>
      </c>
      <c r="L208" t="e">
        <f>_xlfn.XLOOKUP(C208,#REF!,#REF!)</f>
        <v>#REF!</v>
      </c>
      <c r="M208">
        <v>4</v>
      </c>
    </row>
    <row r="209" spans="1:13" x14ac:dyDescent="0.45">
      <c r="A209" s="6">
        <v>46222</v>
      </c>
      <c r="B209" t="s">
        <v>23</v>
      </c>
      <c r="C209" t="s">
        <v>297</v>
      </c>
      <c r="D209">
        <v>465</v>
      </c>
      <c r="E209">
        <v>3000000</v>
      </c>
      <c r="F209">
        <v>3</v>
      </c>
      <c r="G209" s="7">
        <v>0.46419753086419752</v>
      </c>
      <c r="H209">
        <v>241</v>
      </c>
      <c r="I209" t="e">
        <f>_xlfn.XLOOKUP(C209,#REF!,#REF!)</f>
        <v>#REF!</v>
      </c>
      <c r="J209" t="e">
        <f>_xlfn.XLOOKUP(C209,#REF!,#REF!)</f>
        <v>#REF!</v>
      </c>
      <c r="K209" t="e">
        <f>_xlfn.XLOOKUP(C209,#REF!,#REF!)</f>
        <v>#REF!</v>
      </c>
      <c r="L209" t="e">
        <f>_xlfn.XLOOKUP(C209,#REF!,#REF!)</f>
        <v>#REF!</v>
      </c>
      <c r="M20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053A-BE36-4593-9510-A7FD482A17A4}">
  <dimension ref="A1:L213"/>
  <sheetViews>
    <sheetView zoomScale="70" zoomScaleNormal="70" workbookViewId="0">
      <pane ySplit="2" topLeftCell="A3" activePane="bottomLeft" state="frozen"/>
      <selection sqref="A1:G1048576"/>
      <selection pane="bottomLeft" sqref="A1:G1048576"/>
    </sheetView>
  </sheetViews>
  <sheetFormatPr defaultRowHeight="12" x14ac:dyDescent="0.4"/>
  <cols>
    <col min="1" max="1" width="19.796875" style="9" bestFit="1" customWidth="1"/>
    <col min="2" max="16384" width="9.06640625" style="9"/>
  </cols>
  <sheetData>
    <row r="1" spans="1:12" x14ac:dyDescent="0.4">
      <c r="A1" s="9" t="s">
        <v>461</v>
      </c>
      <c r="J1" s="12" t="s">
        <v>462</v>
      </c>
    </row>
    <row r="2" spans="1:12" s="13" customFormat="1" ht="36" x14ac:dyDescent="0.4">
      <c r="A2" s="13" t="s">
        <v>463</v>
      </c>
      <c r="B2" s="13" t="s">
        <v>464</v>
      </c>
      <c r="C2" s="13" t="s">
        <v>465</v>
      </c>
      <c r="D2" s="13" t="s">
        <v>466</v>
      </c>
      <c r="E2" s="13" t="s">
        <v>467</v>
      </c>
      <c r="F2" s="13" t="s">
        <v>468</v>
      </c>
      <c r="G2" s="13" t="s">
        <v>469</v>
      </c>
      <c r="H2" s="13" t="s">
        <v>470</v>
      </c>
      <c r="J2" s="12" t="s">
        <v>471</v>
      </c>
    </row>
    <row r="3" spans="1:12" x14ac:dyDescent="0.4">
      <c r="A3" s="9" t="s">
        <v>472</v>
      </c>
      <c r="B3" s="9" t="s">
        <v>92</v>
      </c>
      <c r="C3" s="9">
        <v>0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J3" s="12" t="s">
        <v>473</v>
      </c>
    </row>
    <row r="4" spans="1:12" ht="14.25" x14ac:dyDescent="0.45">
      <c r="A4" s="9" t="s">
        <v>474</v>
      </c>
      <c r="B4" s="9" t="s">
        <v>69</v>
      </c>
      <c r="C4" s="9">
        <v>78</v>
      </c>
      <c r="D4" s="9">
        <v>26</v>
      </c>
      <c r="E4" s="9">
        <v>0</v>
      </c>
      <c r="F4" s="9">
        <v>382810</v>
      </c>
      <c r="G4" s="9">
        <v>0.47199999999999998</v>
      </c>
      <c r="H4" s="9">
        <v>-0.38100000000000001</v>
      </c>
      <c r="J4" s="14" t="s">
        <v>475</v>
      </c>
      <c r="K4" s="9" t="s">
        <v>476</v>
      </c>
      <c r="L4" s="9" t="s">
        <v>477</v>
      </c>
    </row>
    <row r="5" spans="1:12" x14ac:dyDescent="0.4">
      <c r="A5" s="9" t="s">
        <v>52</v>
      </c>
      <c r="B5" s="9" t="s">
        <v>81</v>
      </c>
      <c r="C5" s="9">
        <v>23</v>
      </c>
      <c r="D5" s="9">
        <v>28</v>
      </c>
      <c r="E5" s="9">
        <v>1785236</v>
      </c>
      <c r="F5" s="9">
        <v>0</v>
      </c>
      <c r="G5" s="9">
        <v>0.53300000000000003</v>
      </c>
      <c r="H5" s="9">
        <v>0.47399999999999998</v>
      </c>
    </row>
    <row r="6" spans="1:12" x14ac:dyDescent="0.4">
      <c r="A6" s="9" t="s">
        <v>478</v>
      </c>
      <c r="B6" s="9" t="s">
        <v>141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12" x14ac:dyDescent="0.4">
      <c r="A7" s="9" t="s">
        <v>479</v>
      </c>
      <c r="B7" s="9" t="s">
        <v>69</v>
      </c>
      <c r="C7" s="9">
        <v>25</v>
      </c>
      <c r="D7" s="9">
        <v>16</v>
      </c>
      <c r="E7" s="9">
        <v>0</v>
      </c>
      <c r="F7" s="9">
        <v>0</v>
      </c>
      <c r="G7" s="9">
        <v>-0.40500000000000003</v>
      </c>
      <c r="H7" s="9">
        <v>0</v>
      </c>
    </row>
    <row r="8" spans="1:12" x14ac:dyDescent="0.4">
      <c r="A8" s="9" t="s">
        <v>480</v>
      </c>
      <c r="B8" s="9" t="s">
        <v>81</v>
      </c>
      <c r="C8" s="9">
        <v>13</v>
      </c>
      <c r="D8" s="9">
        <v>13</v>
      </c>
      <c r="E8" s="9">
        <v>81388</v>
      </c>
      <c r="F8" s="9">
        <v>0</v>
      </c>
      <c r="G8" s="9">
        <v>0.44400000000000001</v>
      </c>
      <c r="H8" s="9">
        <v>1.6</v>
      </c>
    </row>
    <row r="9" spans="1:12" x14ac:dyDescent="0.4">
      <c r="A9" s="9" t="s">
        <v>481</v>
      </c>
      <c r="B9" s="9" t="s">
        <v>482</v>
      </c>
      <c r="C9" s="9">
        <v>0</v>
      </c>
      <c r="D9" s="9">
        <v>1</v>
      </c>
      <c r="E9" s="9">
        <v>0</v>
      </c>
      <c r="F9" s="9">
        <v>0</v>
      </c>
      <c r="G9" s="9">
        <v>0</v>
      </c>
      <c r="H9" s="9">
        <v>0</v>
      </c>
    </row>
    <row r="10" spans="1:12" x14ac:dyDescent="0.4">
      <c r="A10" s="9" t="s">
        <v>483</v>
      </c>
      <c r="B10" s="9" t="s">
        <v>482</v>
      </c>
      <c r="C10" s="9">
        <v>1</v>
      </c>
      <c r="D10" s="9">
        <v>1</v>
      </c>
      <c r="E10" s="9">
        <v>0</v>
      </c>
      <c r="F10" s="9">
        <v>0</v>
      </c>
      <c r="G10" s="9">
        <v>0</v>
      </c>
      <c r="H10" s="9">
        <v>0</v>
      </c>
    </row>
    <row r="11" spans="1:12" x14ac:dyDescent="0.4">
      <c r="A11" s="9" t="s">
        <v>23</v>
      </c>
      <c r="B11" s="9" t="s">
        <v>98</v>
      </c>
      <c r="C11" s="9">
        <v>237</v>
      </c>
      <c r="D11" s="9">
        <v>228</v>
      </c>
      <c r="E11" s="9">
        <v>19903775</v>
      </c>
      <c r="F11" s="9">
        <v>30926229</v>
      </c>
      <c r="G11" s="9">
        <v>-9.1999999999999998E-2</v>
      </c>
      <c r="H11" s="9">
        <v>-0.106</v>
      </c>
    </row>
    <row r="12" spans="1:12" x14ac:dyDescent="0.4">
      <c r="A12" s="9" t="s">
        <v>484</v>
      </c>
      <c r="B12" s="9" t="s">
        <v>69</v>
      </c>
      <c r="C12" s="9">
        <v>3</v>
      </c>
      <c r="D12" s="9">
        <v>17</v>
      </c>
      <c r="E12" s="9">
        <v>0</v>
      </c>
      <c r="F12" s="9">
        <v>0</v>
      </c>
      <c r="G12" s="9">
        <v>-0.66700000000000004</v>
      </c>
      <c r="H12" s="9">
        <v>0</v>
      </c>
    </row>
    <row r="13" spans="1:12" x14ac:dyDescent="0.4">
      <c r="A13" s="9" t="s">
        <v>485</v>
      </c>
      <c r="B13" s="9" t="s">
        <v>482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</row>
    <row r="14" spans="1:12" x14ac:dyDescent="0.4">
      <c r="A14" s="9" t="s">
        <v>12</v>
      </c>
      <c r="B14" s="9" t="s">
        <v>92</v>
      </c>
      <c r="C14" s="9">
        <v>77</v>
      </c>
      <c r="D14" s="9">
        <v>34</v>
      </c>
      <c r="E14" s="9">
        <v>0</v>
      </c>
      <c r="F14" s="9">
        <v>1974378</v>
      </c>
      <c r="G14" s="9">
        <v>-0.313</v>
      </c>
      <c r="H14" s="9">
        <v>0.47799999999999998</v>
      </c>
    </row>
    <row r="15" spans="1:12" x14ac:dyDescent="0.4">
      <c r="A15" s="9" t="s">
        <v>24</v>
      </c>
      <c r="B15" s="9" t="s">
        <v>69</v>
      </c>
      <c r="C15" s="9">
        <v>25</v>
      </c>
      <c r="D15" s="9">
        <v>48</v>
      </c>
      <c r="E15" s="9">
        <v>4713301</v>
      </c>
      <c r="F15" s="9">
        <v>37781985</v>
      </c>
      <c r="G15" s="9">
        <v>-0.432</v>
      </c>
      <c r="H15" s="9">
        <v>0</v>
      </c>
    </row>
    <row r="16" spans="1:12" x14ac:dyDescent="0.4">
      <c r="A16" s="9" t="s">
        <v>486</v>
      </c>
      <c r="B16" s="9" t="s">
        <v>69</v>
      </c>
      <c r="C16" s="9">
        <v>16</v>
      </c>
      <c r="D16" s="9">
        <v>11</v>
      </c>
      <c r="E16" s="9">
        <v>1225359</v>
      </c>
      <c r="F16" s="9">
        <v>468792</v>
      </c>
      <c r="G16" s="9">
        <v>-0.36</v>
      </c>
      <c r="H16" s="9">
        <v>-8.3000000000000004E-2</v>
      </c>
    </row>
    <row r="17" spans="1:8" x14ac:dyDescent="0.4">
      <c r="A17" s="9" t="s">
        <v>487</v>
      </c>
      <c r="B17" s="9" t="s">
        <v>482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</row>
    <row r="18" spans="1:8" x14ac:dyDescent="0.4">
      <c r="A18" s="9" t="s">
        <v>488</v>
      </c>
      <c r="B18" s="9" t="s">
        <v>92</v>
      </c>
      <c r="C18" s="9">
        <v>33</v>
      </c>
      <c r="D18" s="9">
        <v>23</v>
      </c>
      <c r="E18" s="9">
        <v>0</v>
      </c>
      <c r="F18" s="9">
        <v>102553</v>
      </c>
      <c r="G18" s="9">
        <v>-0.38900000000000001</v>
      </c>
      <c r="H18" s="9">
        <v>-0.17899999999999999</v>
      </c>
    </row>
    <row r="19" spans="1:8" x14ac:dyDescent="0.4">
      <c r="A19" s="9" t="s">
        <v>489</v>
      </c>
      <c r="B19" s="9" t="s">
        <v>92</v>
      </c>
      <c r="C19" s="9">
        <v>20</v>
      </c>
      <c r="D19" s="9">
        <v>12</v>
      </c>
      <c r="E19" s="9">
        <v>0</v>
      </c>
      <c r="F19" s="9">
        <v>0</v>
      </c>
      <c r="G19" s="9">
        <v>0</v>
      </c>
      <c r="H19" s="9">
        <v>1</v>
      </c>
    </row>
    <row r="20" spans="1:8" x14ac:dyDescent="0.4">
      <c r="A20" s="9" t="s">
        <v>490</v>
      </c>
      <c r="B20" s="9" t="s">
        <v>482</v>
      </c>
      <c r="C20" s="9">
        <v>0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</row>
    <row r="21" spans="1:8" x14ac:dyDescent="0.4">
      <c r="A21" s="9" t="s">
        <v>491</v>
      </c>
      <c r="B21" s="9" t="s">
        <v>69</v>
      </c>
      <c r="C21" s="9">
        <v>14</v>
      </c>
      <c r="D21" s="9">
        <v>33</v>
      </c>
      <c r="E21" s="9">
        <v>1363142</v>
      </c>
      <c r="F21" s="9">
        <v>182774</v>
      </c>
      <c r="G21" s="9">
        <v>-0.26300000000000001</v>
      </c>
      <c r="H21" s="9">
        <v>0.435</v>
      </c>
    </row>
    <row r="22" spans="1:8" x14ac:dyDescent="0.4">
      <c r="A22" s="9" t="s">
        <v>16</v>
      </c>
      <c r="B22" s="9" t="s">
        <v>69</v>
      </c>
      <c r="C22" s="9">
        <v>82</v>
      </c>
      <c r="D22" s="9">
        <v>71</v>
      </c>
      <c r="E22" s="9">
        <v>44391148</v>
      </c>
      <c r="F22" s="9">
        <v>89201924</v>
      </c>
      <c r="G22" s="9">
        <v>-0.20399999999999999</v>
      </c>
      <c r="H22" s="9">
        <v>-0.253</v>
      </c>
    </row>
    <row r="23" spans="1:8" x14ac:dyDescent="0.4">
      <c r="A23" s="9" t="s">
        <v>492</v>
      </c>
      <c r="B23" s="9" t="s">
        <v>482</v>
      </c>
      <c r="C23" s="9">
        <v>10</v>
      </c>
      <c r="D23" s="9">
        <v>5</v>
      </c>
      <c r="E23" s="9">
        <v>0</v>
      </c>
      <c r="F23" s="9">
        <v>0</v>
      </c>
      <c r="G23" s="9">
        <v>-0.33300000000000002</v>
      </c>
      <c r="H23" s="9">
        <v>1.5</v>
      </c>
    </row>
    <row r="24" spans="1:8" x14ac:dyDescent="0.4">
      <c r="A24" s="9" t="s">
        <v>493</v>
      </c>
      <c r="B24" s="9" t="s">
        <v>81</v>
      </c>
      <c r="C24" s="9">
        <v>16</v>
      </c>
      <c r="D24" s="9">
        <v>9</v>
      </c>
      <c r="E24" s="9">
        <v>0</v>
      </c>
      <c r="F24" s="9">
        <v>0</v>
      </c>
      <c r="G24" s="9">
        <v>1.286</v>
      </c>
      <c r="H24" s="9">
        <v>-0.25</v>
      </c>
    </row>
    <row r="25" spans="1:8" x14ac:dyDescent="0.4">
      <c r="A25" s="9" t="s">
        <v>494</v>
      </c>
      <c r="B25" s="9" t="s">
        <v>482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</row>
    <row r="26" spans="1:8" x14ac:dyDescent="0.4">
      <c r="A26" s="9" t="s">
        <v>495</v>
      </c>
      <c r="B26" s="9" t="s">
        <v>92</v>
      </c>
      <c r="C26" s="9">
        <v>0</v>
      </c>
      <c r="D26" s="9">
        <v>24</v>
      </c>
      <c r="E26" s="9">
        <v>0</v>
      </c>
      <c r="F26" s="9">
        <v>0</v>
      </c>
      <c r="G26" s="9">
        <v>0</v>
      </c>
      <c r="H26" s="9">
        <v>5</v>
      </c>
    </row>
    <row r="27" spans="1:8" x14ac:dyDescent="0.4">
      <c r="A27" s="9" t="s">
        <v>496</v>
      </c>
      <c r="B27" s="9" t="s">
        <v>98</v>
      </c>
      <c r="C27" s="9">
        <v>9</v>
      </c>
      <c r="D27" s="9">
        <v>55</v>
      </c>
      <c r="E27" s="9">
        <v>0</v>
      </c>
      <c r="F27" s="9">
        <v>1545000</v>
      </c>
      <c r="G27" s="9">
        <v>-0.308</v>
      </c>
      <c r="H27" s="9">
        <v>-0.127</v>
      </c>
    </row>
    <row r="28" spans="1:8" x14ac:dyDescent="0.4">
      <c r="A28" s="9" t="s">
        <v>497</v>
      </c>
      <c r="B28" s="9" t="s">
        <v>69</v>
      </c>
      <c r="C28" s="9">
        <v>40</v>
      </c>
      <c r="D28" s="9">
        <v>48</v>
      </c>
      <c r="E28" s="9">
        <v>106900</v>
      </c>
      <c r="F28" s="9">
        <v>2485589</v>
      </c>
      <c r="G28" s="9">
        <v>0</v>
      </c>
      <c r="H28" s="9">
        <v>0.45500000000000002</v>
      </c>
    </row>
    <row r="29" spans="1:8" x14ac:dyDescent="0.4">
      <c r="A29" s="9" t="s">
        <v>498</v>
      </c>
      <c r="B29" s="9" t="s">
        <v>81</v>
      </c>
      <c r="C29" s="9">
        <v>21</v>
      </c>
      <c r="D29" s="9">
        <v>10</v>
      </c>
      <c r="E29" s="9">
        <v>0</v>
      </c>
      <c r="F29" s="9">
        <v>0</v>
      </c>
      <c r="G29" s="9">
        <v>-0.125</v>
      </c>
      <c r="H29" s="9">
        <v>1.5</v>
      </c>
    </row>
    <row r="30" spans="1:8" x14ac:dyDescent="0.4">
      <c r="A30" s="9" t="s">
        <v>10</v>
      </c>
      <c r="B30" s="9" t="s">
        <v>98</v>
      </c>
      <c r="C30" s="9">
        <v>456</v>
      </c>
      <c r="D30" s="9">
        <v>204</v>
      </c>
      <c r="E30" s="9">
        <v>179848120</v>
      </c>
      <c r="F30" s="9">
        <v>154663700</v>
      </c>
      <c r="G30" s="9">
        <v>-2.8000000000000001E-2</v>
      </c>
      <c r="H30" s="9">
        <v>-2.9000000000000001E-2</v>
      </c>
    </row>
    <row r="31" spans="1:8" x14ac:dyDescent="0.4">
      <c r="A31" s="9" t="s">
        <v>499</v>
      </c>
      <c r="B31" s="9" t="s">
        <v>482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x14ac:dyDescent="0.4">
      <c r="A32" s="9" t="s">
        <v>500</v>
      </c>
      <c r="B32" s="9" t="s">
        <v>92</v>
      </c>
      <c r="C32" s="9">
        <v>0</v>
      </c>
      <c r="D32" s="9">
        <v>1</v>
      </c>
      <c r="E32" s="9">
        <v>0</v>
      </c>
      <c r="F32" s="9">
        <v>0</v>
      </c>
      <c r="G32" s="9">
        <v>0</v>
      </c>
      <c r="H32" s="9">
        <v>0</v>
      </c>
    </row>
    <row r="33" spans="1:8" x14ac:dyDescent="0.4">
      <c r="A33" s="9" t="s">
        <v>501</v>
      </c>
      <c r="B33" s="9" t="s">
        <v>69</v>
      </c>
      <c r="C33" s="9">
        <v>41</v>
      </c>
      <c r="D33" s="9">
        <v>35</v>
      </c>
      <c r="E33" s="9">
        <v>3127476</v>
      </c>
      <c r="F33" s="9">
        <v>4746045</v>
      </c>
      <c r="G33" s="9">
        <v>-2.4E-2</v>
      </c>
      <c r="H33" s="9">
        <v>-5.3999999999999999E-2</v>
      </c>
    </row>
    <row r="34" spans="1:8" x14ac:dyDescent="0.4">
      <c r="A34" s="9" t="s">
        <v>502</v>
      </c>
      <c r="B34" s="9" t="s">
        <v>81</v>
      </c>
      <c r="C34" s="9">
        <v>21</v>
      </c>
      <c r="D34" s="9">
        <v>17</v>
      </c>
      <c r="E34" s="9">
        <v>0</v>
      </c>
      <c r="F34" s="9">
        <v>255205</v>
      </c>
      <c r="G34" s="9">
        <v>0.90900000000000003</v>
      </c>
      <c r="H34" s="9">
        <v>-0.22700000000000001</v>
      </c>
    </row>
    <row r="35" spans="1:8" x14ac:dyDescent="0.4">
      <c r="A35" s="9" t="s">
        <v>503</v>
      </c>
      <c r="B35" s="9" t="s">
        <v>81</v>
      </c>
      <c r="C35" s="9">
        <v>23</v>
      </c>
      <c r="D35" s="9">
        <v>6</v>
      </c>
      <c r="E35" s="9">
        <v>0</v>
      </c>
      <c r="F35" s="9">
        <v>130000</v>
      </c>
      <c r="G35" s="9">
        <v>0.35299999999999998</v>
      </c>
      <c r="H35" s="9">
        <v>0</v>
      </c>
    </row>
    <row r="36" spans="1:8" x14ac:dyDescent="0.4">
      <c r="A36" s="9" t="s">
        <v>504</v>
      </c>
      <c r="B36" s="9" t="s">
        <v>81</v>
      </c>
      <c r="C36" s="9">
        <v>17</v>
      </c>
      <c r="D36" s="9">
        <v>67</v>
      </c>
      <c r="E36" s="9">
        <v>0</v>
      </c>
      <c r="F36" s="9">
        <v>3308347</v>
      </c>
      <c r="G36" s="9">
        <v>-0.41399999999999998</v>
      </c>
      <c r="H36" s="9">
        <v>0.63400000000000001</v>
      </c>
    </row>
    <row r="37" spans="1:8" x14ac:dyDescent="0.4">
      <c r="A37" s="9" t="s">
        <v>261</v>
      </c>
      <c r="B37" s="9" t="s">
        <v>81</v>
      </c>
      <c r="C37" s="9">
        <v>0</v>
      </c>
      <c r="D37" s="9">
        <v>1</v>
      </c>
      <c r="E37" s="9">
        <v>0</v>
      </c>
      <c r="F37" s="9">
        <v>0</v>
      </c>
      <c r="G37" s="9">
        <v>0</v>
      </c>
      <c r="H37" s="9">
        <v>0</v>
      </c>
    </row>
    <row r="38" spans="1:8" x14ac:dyDescent="0.4">
      <c r="A38" s="9" t="s">
        <v>505</v>
      </c>
      <c r="B38" s="9" t="s">
        <v>92</v>
      </c>
      <c r="C38" s="9">
        <v>1</v>
      </c>
      <c r="D38" s="9">
        <v>4</v>
      </c>
      <c r="E38" s="9">
        <v>0</v>
      </c>
      <c r="F38" s="9">
        <v>0</v>
      </c>
      <c r="G38" s="9">
        <v>-0.93799999999999994</v>
      </c>
      <c r="H38" s="9">
        <v>-0.5</v>
      </c>
    </row>
    <row r="39" spans="1:8" x14ac:dyDescent="0.4">
      <c r="A39" s="9" t="s">
        <v>506</v>
      </c>
      <c r="B39" s="9" t="s">
        <v>81</v>
      </c>
      <c r="C39" s="9">
        <v>16</v>
      </c>
      <c r="D39" s="9">
        <v>24</v>
      </c>
      <c r="E39" s="9">
        <v>0</v>
      </c>
      <c r="F39" s="9">
        <v>805511</v>
      </c>
      <c r="G39" s="9">
        <v>-0.42899999999999999</v>
      </c>
      <c r="H39" s="9">
        <v>-0.111</v>
      </c>
    </row>
    <row r="40" spans="1:8" x14ac:dyDescent="0.4">
      <c r="A40" s="9" t="s">
        <v>7</v>
      </c>
      <c r="B40" s="9" t="s">
        <v>482</v>
      </c>
      <c r="C40" s="9">
        <v>34</v>
      </c>
      <c r="D40" s="9">
        <v>56</v>
      </c>
      <c r="E40" s="9">
        <v>1595000</v>
      </c>
      <c r="F40" s="9">
        <v>2496909</v>
      </c>
      <c r="G40" s="9">
        <v>0.7</v>
      </c>
      <c r="H40" s="9">
        <v>0.16700000000000001</v>
      </c>
    </row>
    <row r="41" spans="1:8" x14ac:dyDescent="0.4">
      <c r="A41" s="9" t="s">
        <v>507</v>
      </c>
      <c r="B41" s="9" t="s">
        <v>482</v>
      </c>
      <c r="C41" s="9">
        <v>0</v>
      </c>
      <c r="D41" s="9">
        <v>2</v>
      </c>
      <c r="E41" s="9">
        <v>0</v>
      </c>
      <c r="F41" s="9">
        <v>0</v>
      </c>
      <c r="G41" s="9">
        <v>0</v>
      </c>
      <c r="H41" s="9">
        <v>1</v>
      </c>
    </row>
    <row r="42" spans="1:8" x14ac:dyDescent="0.4">
      <c r="A42" s="9" t="s">
        <v>508</v>
      </c>
      <c r="B42" s="9" t="s">
        <v>81</v>
      </c>
      <c r="C42" s="9">
        <v>0</v>
      </c>
      <c r="D42" s="9">
        <v>4</v>
      </c>
      <c r="E42" s="9">
        <v>0</v>
      </c>
      <c r="F42" s="9">
        <v>0</v>
      </c>
      <c r="G42" s="9">
        <v>0</v>
      </c>
      <c r="H42" s="9">
        <v>0</v>
      </c>
    </row>
    <row r="43" spans="1:8" x14ac:dyDescent="0.4">
      <c r="A43" s="9" t="s">
        <v>509</v>
      </c>
      <c r="B43" s="9" t="s">
        <v>81</v>
      </c>
      <c r="C43" s="9">
        <v>0</v>
      </c>
      <c r="D43" s="9">
        <v>2</v>
      </c>
      <c r="E43" s="9">
        <v>0</v>
      </c>
      <c r="F43" s="9">
        <v>0</v>
      </c>
      <c r="G43" s="9">
        <v>0</v>
      </c>
      <c r="H43" s="9">
        <v>0</v>
      </c>
    </row>
    <row r="44" spans="1:8" x14ac:dyDescent="0.4">
      <c r="A44" s="9" t="s">
        <v>510</v>
      </c>
      <c r="B44" s="9" t="s">
        <v>98</v>
      </c>
      <c r="C44" s="9">
        <v>81</v>
      </c>
      <c r="D44" s="9">
        <v>76</v>
      </c>
      <c r="E44" s="9">
        <v>1344720</v>
      </c>
      <c r="F44" s="9">
        <v>7805000</v>
      </c>
      <c r="G44" s="9">
        <v>-2.4E-2</v>
      </c>
      <c r="H44" s="9">
        <v>-0.156</v>
      </c>
    </row>
    <row r="45" spans="1:8" x14ac:dyDescent="0.4">
      <c r="A45" s="9" t="s">
        <v>511</v>
      </c>
      <c r="B45" s="9" t="s">
        <v>92</v>
      </c>
      <c r="C45" s="9">
        <v>5</v>
      </c>
      <c r="D45" s="9">
        <v>34</v>
      </c>
      <c r="E45" s="9">
        <v>5436786</v>
      </c>
      <c r="F45" s="9">
        <v>0</v>
      </c>
      <c r="G45" s="9">
        <v>-0.80800000000000005</v>
      </c>
      <c r="H45" s="9">
        <v>-2.9000000000000001E-2</v>
      </c>
    </row>
    <row r="46" spans="1:8" x14ac:dyDescent="0.4">
      <c r="A46" s="9" t="s">
        <v>512</v>
      </c>
      <c r="B46" s="9" t="s">
        <v>92</v>
      </c>
      <c r="C46" s="9">
        <v>10</v>
      </c>
      <c r="D46" s="9">
        <v>3</v>
      </c>
      <c r="E46" s="9">
        <v>0</v>
      </c>
      <c r="F46" s="9">
        <v>0</v>
      </c>
      <c r="G46" s="9">
        <v>0</v>
      </c>
      <c r="H46" s="9">
        <v>-0.5</v>
      </c>
    </row>
    <row r="47" spans="1:8" x14ac:dyDescent="0.4">
      <c r="A47" s="9" t="s">
        <v>40</v>
      </c>
      <c r="B47" s="9" t="s">
        <v>98</v>
      </c>
      <c r="C47" s="9">
        <v>95</v>
      </c>
      <c r="D47" s="9">
        <v>146</v>
      </c>
      <c r="E47" s="9">
        <v>2771157</v>
      </c>
      <c r="F47" s="9">
        <v>21243184</v>
      </c>
      <c r="G47" s="9">
        <v>-0.04</v>
      </c>
      <c r="H47" s="9">
        <v>0.16800000000000001</v>
      </c>
    </row>
    <row r="48" spans="1:8" x14ac:dyDescent="0.4">
      <c r="A48" s="9" t="s">
        <v>513</v>
      </c>
      <c r="B48" s="9" t="s">
        <v>81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x14ac:dyDescent="0.4">
      <c r="A49" s="9" t="s">
        <v>88</v>
      </c>
      <c r="B49" s="9" t="s">
        <v>81</v>
      </c>
      <c r="C49" s="9">
        <v>0</v>
      </c>
      <c r="D49" s="9">
        <v>7</v>
      </c>
      <c r="E49" s="9">
        <v>0</v>
      </c>
      <c r="F49" s="9">
        <v>0</v>
      </c>
      <c r="G49" s="9">
        <v>0</v>
      </c>
      <c r="H49" s="9">
        <v>-0.3</v>
      </c>
    </row>
    <row r="50" spans="1:8" x14ac:dyDescent="0.4">
      <c r="A50" s="9" t="s">
        <v>240</v>
      </c>
      <c r="B50" s="9" t="s">
        <v>81</v>
      </c>
      <c r="C50" s="9">
        <v>0</v>
      </c>
      <c r="D50" s="9">
        <v>30</v>
      </c>
      <c r="E50" s="9">
        <v>0</v>
      </c>
      <c r="F50" s="9">
        <v>0</v>
      </c>
      <c r="G50" s="9">
        <v>-1</v>
      </c>
      <c r="H50" s="9">
        <v>-0.25</v>
      </c>
    </row>
    <row r="51" spans="1:8" x14ac:dyDescent="0.4">
      <c r="A51" s="9" t="s">
        <v>514</v>
      </c>
      <c r="B51" s="9" t="s">
        <v>141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x14ac:dyDescent="0.4">
      <c r="A52" s="9" t="s">
        <v>515</v>
      </c>
      <c r="B52" s="9" t="s">
        <v>482</v>
      </c>
      <c r="C52" s="9">
        <v>30</v>
      </c>
      <c r="D52" s="9">
        <v>30</v>
      </c>
      <c r="E52" s="9">
        <v>0</v>
      </c>
      <c r="F52" s="9">
        <v>975000</v>
      </c>
      <c r="G52" s="9">
        <v>-0.434</v>
      </c>
      <c r="H52" s="9">
        <v>0</v>
      </c>
    </row>
    <row r="53" spans="1:8" x14ac:dyDescent="0.4">
      <c r="A53" s="9" t="s">
        <v>50</v>
      </c>
      <c r="B53" s="9" t="s">
        <v>69</v>
      </c>
      <c r="C53" s="9">
        <v>40</v>
      </c>
      <c r="D53" s="9">
        <v>57</v>
      </c>
      <c r="E53" s="9">
        <v>2164384</v>
      </c>
      <c r="F53" s="9">
        <v>23765975</v>
      </c>
      <c r="G53" s="9">
        <v>5.2999999999999999E-2</v>
      </c>
      <c r="H53" s="9">
        <v>-9.5000000000000001E-2</v>
      </c>
    </row>
    <row r="54" spans="1:8" x14ac:dyDescent="0.4">
      <c r="A54" s="9" t="s">
        <v>516</v>
      </c>
      <c r="B54" s="9" t="s">
        <v>482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x14ac:dyDescent="0.4">
      <c r="A55" s="9" t="s">
        <v>517</v>
      </c>
      <c r="B55" s="9" t="s">
        <v>482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x14ac:dyDescent="0.4">
      <c r="A56" s="9" t="s">
        <v>518</v>
      </c>
      <c r="B56" s="9" t="s">
        <v>69</v>
      </c>
      <c r="C56" s="9">
        <v>50</v>
      </c>
      <c r="D56" s="9">
        <v>35</v>
      </c>
      <c r="E56" s="9">
        <v>1513228</v>
      </c>
      <c r="F56" s="9">
        <v>4344342</v>
      </c>
      <c r="G56" s="9">
        <v>0</v>
      </c>
      <c r="H56" s="9">
        <v>-0.14599999999999999</v>
      </c>
    </row>
    <row r="57" spans="1:8" x14ac:dyDescent="0.4">
      <c r="A57" s="9" t="s">
        <v>254</v>
      </c>
      <c r="B57" s="9" t="s">
        <v>69</v>
      </c>
      <c r="C57" s="9">
        <v>60</v>
      </c>
      <c r="D57" s="9">
        <v>40</v>
      </c>
      <c r="E57" s="9">
        <v>40496537</v>
      </c>
      <c r="F57" s="9">
        <v>26111385</v>
      </c>
      <c r="G57" s="9">
        <v>0.53800000000000003</v>
      </c>
      <c r="H57" s="9">
        <v>8.1000000000000003E-2</v>
      </c>
    </row>
    <row r="58" spans="1:8" x14ac:dyDescent="0.4">
      <c r="A58" s="9" t="s">
        <v>519</v>
      </c>
      <c r="B58" s="9" t="s">
        <v>69</v>
      </c>
      <c r="C58" s="9">
        <v>79</v>
      </c>
      <c r="D58" s="9">
        <v>51</v>
      </c>
      <c r="E58" s="9">
        <v>19703690</v>
      </c>
      <c r="F58" s="9">
        <v>28702406</v>
      </c>
      <c r="G58" s="9">
        <v>0.36199999999999999</v>
      </c>
      <c r="H58" s="9">
        <v>0</v>
      </c>
    </row>
    <row r="59" spans="1:8" x14ac:dyDescent="0.4">
      <c r="A59" s="9" t="s">
        <v>520</v>
      </c>
      <c r="B59" s="9" t="s">
        <v>81</v>
      </c>
      <c r="C59" s="9">
        <v>1</v>
      </c>
      <c r="D59" s="9">
        <v>1</v>
      </c>
      <c r="E59" s="9">
        <v>0</v>
      </c>
      <c r="F59" s="9">
        <v>0</v>
      </c>
      <c r="G59" s="9">
        <v>0</v>
      </c>
      <c r="H59" s="9">
        <v>-0.5</v>
      </c>
    </row>
    <row r="60" spans="1:8" x14ac:dyDescent="0.4">
      <c r="A60" s="9" t="s">
        <v>521</v>
      </c>
      <c r="B60" s="9" t="s">
        <v>482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</row>
    <row r="61" spans="1:8" x14ac:dyDescent="0.4">
      <c r="A61" s="9" t="s">
        <v>522</v>
      </c>
      <c r="B61" s="9" t="s">
        <v>482</v>
      </c>
      <c r="C61" s="9">
        <v>5</v>
      </c>
      <c r="D61" s="9">
        <v>9</v>
      </c>
      <c r="E61" s="9">
        <v>0</v>
      </c>
      <c r="F61" s="9">
        <v>0</v>
      </c>
      <c r="G61" s="9">
        <v>-0.64300000000000002</v>
      </c>
      <c r="H61" s="9">
        <v>1.25</v>
      </c>
    </row>
    <row r="62" spans="1:8" x14ac:dyDescent="0.4">
      <c r="A62" s="9" t="s">
        <v>523</v>
      </c>
      <c r="B62" s="9" t="s">
        <v>92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</row>
    <row r="63" spans="1:8" x14ac:dyDescent="0.4">
      <c r="A63" s="9" t="s">
        <v>35</v>
      </c>
      <c r="B63" s="9" t="s">
        <v>98</v>
      </c>
      <c r="C63" s="9">
        <v>27</v>
      </c>
      <c r="D63" s="9">
        <v>97</v>
      </c>
      <c r="E63" s="9">
        <v>400750</v>
      </c>
      <c r="F63" s="9">
        <v>1775220</v>
      </c>
      <c r="G63" s="9">
        <v>-0.47099999999999997</v>
      </c>
      <c r="H63" s="9">
        <v>0.16900000000000001</v>
      </c>
    </row>
    <row r="64" spans="1:8" x14ac:dyDescent="0.4">
      <c r="A64" s="9" t="s">
        <v>49</v>
      </c>
      <c r="B64" s="9" t="s">
        <v>81</v>
      </c>
      <c r="C64" s="9">
        <v>94</v>
      </c>
      <c r="D64" s="9">
        <v>27</v>
      </c>
      <c r="E64" s="9">
        <v>1627619</v>
      </c>
      <c r="F64" s="9">
        <v>1557664</v>
      </c>
      <c r="G64" s="9">
        <v>1.611</v>
      </c>
      <c r="H64" s="9">
        <v>-0.27</v>
      </c>
    </row>
    <row r="65" spans="1:8" x14ac:dyDescent="0.4">
      <c r="A65" s="9" t="s">
        <v>524</v>
      </c>
      <c r="B65" s="9" t="s">
        <v>482</v>
      </c>
      <c r="C65" s="9">
        <v>24</v>
      </c>
      <c r="D65" s="9">
        <v>12</v>
      </c>
      <c r="E65" s="9">
        <v>0</v>
      </c>
      <c r="F65" s="9">
        <v>0</v>
      </c>
      <c r="G65" s="9">
        <v>0.26300000000000001</v>
      </c>
      <c r="H65" s="9">
        <v>-0.33300000000000002</v>
      </c>
    </row>
    <row r="66" spans="1:8" x14ac:dyDescent="0.4">
      <c r="A66" s="9" t="s">
        <v>26</v>
      </c>
      <c r="B66" s="9" t="s">
        <v>69</v>
      </c>
      <c r="C66" s="9">
        <v>193</v>
      </c>
      <c r="D66" s="9">
        <v>206</v>
      </c>
      <c r="E66" s="9">
        <v>363522854</v>
      </c>
      <c r="F66" s="9">
        <v>150230010</v>
      </c>
      <c r="G66" s="9">
        <v>1.6E-2</v>
      </c>
      <c r="H66" s="9">
        <v>-1.4E-2</v>
      </c>
    </row>
    <row r="67" spans="1:8" x14ac:dyDescent="0.4">
      <c r="A67" s="9" t="s">
        <v>525</v>
      </c>
      <c r="B67" s="9" t="s">
        <v>81</v>
      </c>
      <c r="C67" s="9">
        <v>0</v>
      </c>
      <c r="D67" s="9">
        <v>6</v>
      </c>
      <c r="E67" s="9">
        <v>0</v>
      </c>
      <c r="F67" s="9">
        <v>0</v>
      </c>
      <c r="G67" s="9">
        <v>0</v>
      </c>
      <c r="H67" s="9">
        <v>2</v>
      </c>
    </row>
    <row r="68" spans="1:8" x14ac:dyDescent="0.4">
      <c r="A68" s="9" t="s">
        <v>526</v>
      </c>
      <c r="B68" s="9" t="s">
        <v>81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</row>
    <row r="69" spans="1:8" x14ac:dyDescent="0.4">
      <c r="A69" s="9" t="s">
        <v>527</v>
      </c>
      <c r="B69" s="9" t="s">
        <v>69</v>
      </c>
      <c r="C69" s="9">
        <v>9</v>
      </c>
      <c r="D69" s="9">
        <v>14</v>
      </c>
      <c r="E69" s="9">
        <v>87868</v>
      </c>
      <c r="F69" s="9">
        <v>0</v>
      </c>
      <c r="G69" s="9">
        <v>-0.1</v>
      </c>
      <c r="H69" s="9">
        <v>-0.222</v>
      </c>
    </row>
    <row r="70" spans="1:8" x14ac:dyDescent="0.4">
      <c r="A70" s="9" t="s">
        <v>528</v>
      </c>
      <c r="B70" s="9" t="s">
        <v>81</v>
      </c>
      <c r="C70" s="9">
        <v>10</v>
      </c>
      <c r="D70" s="9">
        <v>2</v>
      </c>
      <c r="E70" s="9">
        <v>0</v>
      </c>
      <c r="F70" s="9">
        <v>0</v>
      </c>
      <c r="G70" s="9">
        <v>-0.23100000000000001</v>
      </c>
      <c r="H70" s="9">
        <v>-0.33300000000000002</v>
      </c>
    </row>
    <row r="71" spans="1:8" x14ac:dyDescent="0.4">
      <c r="A71" s="9" t="s">
        <v>529</v>
      </c>
      <c r="B71" s="9" t="s">
        <v>81</v>
      </c>
      <c r="C71" s="9">
        <v>0</v>
      </c>
      <c r="D71" s="9">
        <v>6</v>
      </c>
      <c r="E71" s="9">
        <v>0</v>
      </c>
      <c r="F71" s="9">
        <v>0</v>
      </c>
      <c r="G71" s="9">
        <v>0</v>
      </c>
      <c r="H71" s="9">
        <v>0</v>
      </c>
    </row>
    <row r="72" spans="1:8" x14ac:dyDescent="0.4">
      <c r="A72" s="9" t="s">
        <v>530</v>
      </c>
      <c r="B72" s="9" t="s">
        <v>69</v>
      </c>
      <c r="C72" s="9">
        <v>9</v>
      </c>
      <c r="D72" s="9">
        <v>5</v>
      </c>
      <c r="E72" s="9">
        <v>0</v>
      </c>
      <c r="F72" s="9">
        <v>0</v>
      </c>
      <c r="G72" s="9">
        <v>3.5</v>
      </c>
      <c r="H72" s="9">
        <v>-0.16700000000000001</v>
      </c>
    </row>
    <row r="73" spans="1:8" x14ac:dyDescent="0.4">
      <c r="A73" s="9" t="s">
        <v>531</v>
      </c>
      <c r="B73" s="9" t="s">
        <v>141</v>
      </c>
      <c r="C73" s="9">
        <v>7</v>
      </c>
      <c r="D73" s="9">
        <v>1</v>
      </c>
      <c r="E73" s="9">
        <v>0</v>
      </c>
      <c r="F73" s="9">
        <v>0</v>
      </c>
      <c r="G73" s="9">
        <v>0</v>
      </c>
      <c r="H73" s="9">
        <v>0</v>
      </c>
    </row>
    <row r="74" spans="1:8" x14ac:dyDescent="0.4">
      <c r="A74" s="9" t="s">
        <v>532</v>
      </c>
      <c r="B74" s="9" t="s">
        <v>69</v>
      </c>
      <c r="C74" s="9">
        <v>1</v>
      </c>
      <c r="D74" s="9">
        <v>53</v>
      </c>
      <c r="E74" s="9">
        <v>0</v>
      </c>
      <c r="F74" s="9">
        <v>2218511</v>
      </c>
      <c r="G74" s="9">
        <v>0</v>
      </c>
      <c r="H74" s="9">
        <v>-8.5999999999999993E-2</v>
      </c>
    </row>
    <row r="75" spans="1:8" x14ac:dyDescent="0.4">
      <c r="A75" s="9" t="s">
        <v>21</v>
      </c>
      <c r="B75" s="9" t="s">
        <v>69</v>
      </c>
      <c r="C75" s="9">
        <v>133</v>
      </c>
      <c r="D75" s="9">
        <v>125</v>
      </c>
      <c r="E75" s="9">
        <v>119939160</v>
      </c>
      <c r="F75" s="9">
        <v>218033175</v>
      </c>
      <c r="G75" s="9">
        <v>0.09</v>
      </c>
      <c r="H75" s="9">
        <v>-0.19900000000000001</v>
      </c>
    </row>
    <row r="76" spans="1:8" x14ac:dyDescent="0.4">
      <c r="A76" s="9" t="s">
        <v>533</v>
      </c>
      <c r="B76" s="9" t="s">
        <v>81</v>
      </c>
      <c r="C76" s="9">
        <v>0</v>
      </c>
      <c r="D76" s="9">
        <v>3</v>
      </c>
      <c r="E76" s="9">
        <v>0</v>
      </c>
      <c r="F76" s="9">
        <v>0</v>
      </c>
      <c r="G76" s="9">
        <v>0</v>
      </c>
      <c r="H76" s="9">
        <v>-0.25</v>
      </c>
    </row>
    <row r="77" spans="1:8" x14ac:dyDescent="0.4">
      <c r="A77" s="9" t="s">
        <v>534</v>
      </c>
      <c r="B77" s="9" t="s">
        <v>69</v>
      </c>
      <c r="C77" s="9">
        <v>7</v>
      </c>
      <c r="D77" s="9">
        <v>30</v>
      </c>
      <c r="E77" s="9">
        <v>0</v>
      </c>
      <c r="F77" s="9">
        <v>632829</v>
      </c>
      <c r="G77" s="9">
        <v>0.16700000000000001</v>
      </c>
      <c r="H77" s="9">
        <v>-0.23100000000000001</v>
      </c>
    </row>
    <row r="78" spans="1:8" x14ac:dyDescent="0.4">
      <c r="A78" s="9" t="s">
        <v>13</v>
      </c>
      <c r="B78" s="9" t="s">
        <v>69</v>
      </c>
      <c r="C78" s="9">
        <v>133</v>
      </c>
      <c r="D78" s="9">
        <v>129</v>
      </c>
      <c r="E78" s="9">
        <v>125798255</v>
      </c>
      <c r="F78" s="9">
        <v>58862160</v>
      </c>
      <c r="G78" s="9">
        <v>-2.9000000000000001E-2</v>
      </c>
      <c r="H78" s="9">
        <v>0.17299999999999999</v>
      </c>
    </row>
    <row r="79" spans="1:8" x14ac:dyDescent="0.4">
      <c r="A79" s="9" t="s">
        <v>29</v>
      </c>
      <c r="B79" s="9" t="s">
        <v>81</v>
      </c>
      <c r="C79" s="9">
        <v>33</v>
      </c>
      <c r="D79" s="9">
        <v>69</v>
      </c>
      <c r="E79" s="9">
        <v>0</v>
      </c>
      <c r="F79" s="9">
        <v>3275745</v>
      </c>
      <c r="G79" s="9">
        <v>-0.19500000000000001</v>
      </c>
      <c r="H79" s="9">
        <v>0.5</v>
      </c>
    </row>
    <row r="80" spans="1:8" x14ac:dyDescent="0.4">
      <c r="A80" s="9" t="s">
        <v>535</v>
      </c>
      <c r="B80" s="9" t="s">
        <v>69</v>
      </c>
      <c r="C80" s="9">
        <v>9</v>
      </c>
      <c r="D80" s="9">
        <v>8</v>
      </c>
      <c r="E80" s="9">
        <v>0</v>
      </c>
      <c r="F80" s="9">
        <v>0</v>
      </c>
      <c r="G80" s="9">
        <v>0.5</v>
      </c>
      <c r="H80" s="9">
        <v>-0.111</v>
      </c>
    </row>
    <row r="81" spans="1:8" x14ac:dyDescent="0.4">
      <c r="A81" s="9" t="s">
        <v>536</v>
      </c>
      <c r="B81" s="9" t="s">
        <v>69</v>
      </c>
      <c r="C81" s="9">
        <v>73</v>
      </c>
      <c r="D81" s="9">
        <v>63</v>
      </c>
      <c r="E81" s="9">
        <v>36138367</v>
      </c>
      <c r="F81" s="9">
        <v>10830244</v>
      </c>
      <c r="G81" s="9">
        <v>-5.1999999999999998E-2</v>
      </c>
      <c r="H81" s="9">
        <v>0</v>
      </c>
    </row>
    <row r="82" spans="1:8" x14ac:dyDescent="0.4">
      <c r="A82" s="9" t="s">
        <v>537</v>
      </c>
      <c r="B82" s="9" t="s">
        <v>482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</row>
    <row r="83" spans="1:8" x14ac:dyDescent="0.4">
      <c r="A83" s="9" t="s">
        <v>538</v>
      </c>
      <c r="B83" s="9" t="s">
        <v>92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</row>
    <row r="84" spans="1:8" x14ac:dyDescent="0.4">
      <c r="A84" s="9" t="s">
        <v>539</v>
      </c>
      <c r="B84" s="9" t="s">
        <v>482</v>
      </c>
      <c r="C84" s="9">
        <v>49</v>
      </c>
      <c r="D84" s="9">
        <v>25</v>
      </c>
      <c r="E84" s="9">
        <v>0</v>
      </c>
      <c r="F84" s="9">
        <v>0</v>
      </c>
      <c r="G84" s="9">
        <v>8.8999999999999996E-2</v>
      </c>
      <c r="H84" s="9">
        <v>0</v>
      </c>
    </row>
    <row r="85" spans="1:8" x14ac:dyDescent="0.4">
      <c r="A85" s="9" t="s">
        <v>540</v>
      </c>
      <c r="B85" s="9" t="s">
        <v>81</v>
      </c>
      <c r="C85" s="9">
        <v>8</v>
      </c>
      <c r="D85" s="9">
        <v>13</v>
      </c>
      <c r="E85" s="9">
        <v>0</v>
      </c>
      <c r="F85" s="9">
        <v>581508</v>
      </c>
      <c r="G85" s="9">
        <v>1</v>
      </c>
      <c r="H85" s="9">
        <v>0.44400000000000001</v>
      </c>
    </row>
    <row r="86" spans="1:8" x14ac:dyDescent="0.4">
      <c r="A86" s="9" t="s">
        <v>541</v>
      </c>
      <c r="B86" s="9" t="s">
        <v>81</v>
      </c>
      <c r="C86" s="9">
        <v>0</v>
      </c>
      <c r="D86" s="9">
        <v>1</v>
      </c>
      <c r="E86" s="9">
        <v>0</v>
      </c>
      <c r="F86" s="9">
        <v>0</v>
      </c>
      <c r="G86" s="9">
        <v>0</v>
      </c>
      <c r="H86" s="9">
        <v>0</v>
      </c>
    </row>
    <row r="87" spans="1:8" x14ac:dyDescent="0.4">
      <c r="A87" s="9" t="s">
        <v>542</v>
      </c>
      <c r="B87" s="9" t="s">
        <v>482</v>
      </c>
      <c r="C87" s="9">
        <v>3</v>
      </c>
      <c r="D87" s="9">
        <v>1</v>
      </c>
      <c r="E87" s="9">
        <v>0</v>
      </c>
      <c r="F87" s="9">
        <v>0</v>
      </c>
      <c r="G87" s="9">
        <v>-0.25</v>
      </c>
      <c r="H87" s="9">
        <v>0</v>
      </c>
    </row>
    <row r="88" spans="1:8" x14ac:dyDescent="0.4">
      <c r="A88" s="9" t="s">
        <v>11</v>
      </c>
      <c r="B88" s="9" t="s">
        <v>482</v>
      </c>
      <c r="C88" s="9">
        <v>0</v>
      </c>
      <c r="D88" s="9">
        <v>2</v>
      </c>
      <c r="E88" s="9">
        <v>0</v>
      </c>
      <c r="F88" s="9">
        <v>0</v>
      </c>
      <c r="G88" s="9">
        <v>0</v>
      </c>
      <c r="H88" s="9">
        <v>1</v>
      </c>
    </row>
    <row r="89" spans="1:8" x14ac:dyDescent="0.4">
      <c r="A89" s="9" t="s">
        <v>543</v>
      </c>
      <c r="B89" s="9" t="s">
        <v>482</v>
      </c>
      <c r="C89" s="9">
        <v>53</v>
      </c>
      <c r="D89" s="9">
        <v>24</v>
      </c>
      <c r="E89" s="9">
        <v>0</v>
      </c>
      <c r="F89" s="9">
        <v>0</v>
      </c>
      <c r="G89" s="9">
        <v>-0.33800000000000002</v>
      </c>
      <c r="H89" s="9">
        <v>0.26300000000000001</v>
      </c>
    </row>
    <row r="90" spans="1:8" x14ac:dyDescent="0.4">
      <c r="A90" s="9" t="s">
        <v>544</v>
      </c>
    </row>
    <row r="91" spans="1:8" x14ac:dyDescent="0.4">
      <c r="A91" s="9" t="s">
        <v>545</v>
      </c>
      <c r="B91" s="9" t="s">
        <v>69</v>
      </c>
      <c r="C91" s="9">
        <v>37</v>
      </c>
      <c r="D91" s="9">
        <v>21</v>
      </c>
      <c r="E91" s="9">
        <v>7576240</v>
      </c>
      <c r="F91" s="9">
        <v>23837960</v>
      </c>
      <c r="G91" s="9">
        <v>0</v>
      </c>
      <c r="H91" s="9">
        <v>-0.192</v>
      </c>
    </row>
    <row r="92" spans="1:8" x14ac:dyDescent="0.4">
      <c r="A92" s="9" t="s">
        <v>546</v>
      </c>
      <c r="B92" s="9" t="s">
        <v>69</v>
      </c>
      <c r="C92" s="9">
        <v>0</v>
      </c>
      <c r="D92" s="9">
        <v>19</v>
      </c>
      <c r="E92" s="9">
        <v>0</v>
      </c>
      <c r="F92" s="9">
        <v>629396</v>
      </c>
      <c r="G92" s="9">
        <v>-1</v>
      </c>
      <c r="H92" s="9">
        <v>0.58299999999999996</v>
      </c>
    </row>
    <row r="93" spans="1:8" x14ac:dyDescent="0.4">
      <c r="A93" s="9" t="s">
        <v>547</v>
      </c>
      <c r="B93" s="9" t="s">
        <v>92</v>
      </c>
      <c r="C93" s="9">
        <v>21</v>
      </c>
      <c r="D93" s="9">
        <v>48</v>
      </c>
      <c r="E93" s="9">
        <v>0</v>
      </c>
      <c r="F93" s="9">
        <v>0</v>
      </c>
      <c r="G93" s="9">
        <v>0.05</v>
      </c>
      <c r="H93" s="9">
        <v>1.1819999999999999</v>
      </c>
    </row>
    <row r="94" spans="1:8" x14ac:dyDescent="0.4">
      <c r="A94" s="9" t="s">
        <v>548</v>
      </c>
      <c r="B94" s="9" t="s">
        <v>92</v>
      </c>
      <c r="C94" s="9">
        <v>64</v>
      </c>
      <c r="D94" s="9">
        <v>29</v>
      </c>
      <c r="E94" s="9">
        <v>184335</v>
      </c>
      <c r="F94" s="9">
        <v>0</v>
      </c>
      <c r="G94" s="9">
        <v>0.88200000000000001</v>
      </c>
      <c r="H94" s="9">
        <v>3.5999999999999997E-2</v>
      </c>
    </row>
    <row r="95" spans="1:8" x14ac:dyDescent="0.4">
      <c r="A95" s="9" t="s">
        <v>245</v>
      </c>
      <c r="B95" s="9" t="s">
        <v>92</v>
      </c>
      <c r="C95" s="9">
        <v>8</v>
      </c>
      <c r="D95" s="9">
        <v>7</v>
      </c>
      <c r="E95" s="9">
        <v>669227</v>
      </c>
      <c r="F95" s="9">
        <v>0</v>
      </c>
      <c r="G95" s="9">
        <v>-0.33300000000000002</v>
      </c>
      <c r="H95" s="9">
        <v>-0.5</v>
      </c>
    </row>
    <row r="96" spans="1:8" x14ac:dyDescent="0.4">
      <c r="A96" s="9" t="s">
        <v>22</v>
      </c>
      <c r="B96" s="9" t="s">
        <v>92</v>
      </c>
      <c r="C96" s="9">
        <v>74</v>
      </c>
      <c r="D96" s="9">
        <v>42</v>
      </c>
      <c r="E96" s="9">
        <v>61500</v>
      </c>
      <c r="F96" s="9">
        <v>1400000</v>
      </c>
      <c r="G96" s="9">
        <v>0.34499999999999997</v>
      </c>
      <c r="H96" s="9">
        <v>0.4</v>
      </c>
    </row>
    <row r="97" spans="1:8" x14ac:dyDescent="0.4">
      <c r="A97" s="9" t="s">
        <v>549</v>
      </c>
      <c r="B97" s="9" t="s">
        <v>69</v>
      </c>
      <c r="C97" s="9">
        <v>33</v>
      </c>
      <c r="D97" s="9">
        <v>20</v>
      </c>
      <c r="E97" s="9">
        <v>870777</v>
      </c>
      <c r="F97" s="9">
        <v>8921361</v>
      </c>
      <c r="G97" s="9">
        <v>6.5000000000000002E-2</v>
      </c>
      <c r="H97" s="9">
        <v>-0.16700000000000001</v>
      </c>
    </row>
    <row r="98" spans="1:8" x14ac:dyDescent="0.4">
      <c r="A98" s="9" t="s">
        <v>550</v>
      </c>
      <c r="B98" s="9" t="s">
        <v>69</v>
      </c>
      <c r="C98" s="9">
        <v>128</v>
      </c>
      <c r="D98" s="9">
        <v>149</v>
      </c>
      <c r="E98" s="9">
        <v>282460136</v>
      </c>
      <c r="F98" s="9">
        <v>174789144</v>
      </c>
      <c r="G98" s="9">
        <v>-8.0000000000000002E-3</v>
      </c>
      <c r="H98" s="9">
        <v>0.14599999999999999</v>
      </c>
    </row>
    <row r="99" spans="1:8" x14ac:dyDescent="0.4">
      <c r="A99" s="9" t="s">
        <v>551</v>
      </c>
      <c r="B99" s="9" t="s">
        <v>482</v>
      </c>
      <c r="C99" s="9">
        <v>11</v>
      </c>
      <c r="D99" s="9">
        <v>5</v>
      </c>
      <c r="E99" s="9">
        <v>0</v>
      </c>
      <c r="F99" s="9">
        <v>0</v>
      </c>
      <c r="G99" s="9">
        <v>-0.5</v>
      </c>
      <c r="H99" s="9">
        <v>0</v>
      </c>
    </row>
    <row r="100" spans="1:8" x14ac:dyDescent="0.4">
      <c r="A100" s="9" t="s">
        <v>46</v>
      </c>
      <c r="B100" s="9" t="s">
        <v>92</v>
      </c>
      <c r="C100" s="9">
        <v>36</v>
      </c>
      <c r="D100" s="9">
        <v>90</v>
      </c>
      <c r="E100" s="9">
        <v>3544292</v>
      </c>
      <c r="F100" s="9">
        <v>11986382</v>
      </c>
      <c r="G100" s="9">
        <v>-0.49299999999999999</v>
      </c>
      <c r="H100" s="9">
        <v>0.23300000000000001</v>
      </c>
    </row>
    <row r="101" spans="1:8" x14ac:dyDescent="0.4">
      <c r="A101" s="9" t="s">
        <v>38</v>
      </c>
      <c r="B101" s="9" t="s">
        <v>92</v>
      </c>
      <c r="C101" s="9">
        <v>26</v>
      </c>
      <c r="D101" s="9">
        <v>16</v>
      </c>
      <c r="E101" s="9">
        <v>0</v>
      </c>
      <c r="F101" s="9">
        <v>622500</v>
      </c>
      <c r="G101" s="9">
        <v>0.36799999999999999</v>
      </c>
      <c r="H101" s="9">
        <v>-0.111</v>
      </c>
    </row>
    <row r="102" spans="1:8" x14ac:dyDescent="0.4">
      <c r="A102" s="9" t="s">
        <v>552</v>
      </c>
      <c r="B102" s="9" t="s">
        <v>69</v>
      </c>
      <c r="C102" s="9">
        <v>12</v>
      </c>
      <c r="D102" s="9">
        <v>19</v>
      </c>
      <c r="E102" s="9">
        <v>0</v>
      </c>
      <c r="F102" s="9">
        <v>0</v>
      </c>
      <c r="G102" s="9">
        <v>0.5</v>
      </c>
      <c r="H102" s="9">
        <v>-0.52500000000000002</v>
      </c>
    </row>
    <row r="103" spans="1:8" x14ac:dyDescent="0.4">
      <c r="A103" s="9" t="s">
        <v>553</v>
      </c>
      <c r="B103" s="9" t="s">
        <v>81</v>
      </c>
      <c r="C103" s="9">
        <v>30</v>
      </c>
      <c r="D103" s="9">
        <v>11</v>
      </c>
      <c r="E103" s="9">
        <v>40000</v>
      </c>
      <c r="F103" s="9">
        <v>153541</v>
      </c>
      <c r="G103" s="9">
        <v>6.5</v>
      </c>
      <c r="H103" s="9">
        <v>0.375</v>
      </c>
    </row>
    <row r="104" spans="1:8" x14ac:dyDescent="0.4">
      <c r="A104" s="9" t="s">
        <v>198</v>
      </c>
      <c r="B104" s="9" t="s">
        <v>92</v>
      </c>
      <c r="C104" s="9">
        <v>41</v>
      </c>
      <c r="D104" s="9">
        <v>62</v>
      </c>
      <c r="E104" s="9">
        <v>3823924</v>
      </c>
      <c r="F104" s="9">
        <v>3701597</v>
      </c>
      <c r="G104" s="9">
        <v>0</v>
      </c>
      <c r="H104" s="9">
        <v>-4.5999999999999999E-2</v>
      </c>
    </row>
    <row r="105" spans="1:8" x14ac:dyDescent="0.4">
      <c r="A105" s="9" t="s">
        <v>554</v>
      </c>
      <c r="B105" s="9" t="s">
        <v>69</v>
      </c>
      <c r="C105" s="9">
        <v>27</v>
      </c>
      <c r="D105" s="9">
        <v>25</v>
      </c>
      <c r="E105" s="9">
        <v>0</v>
      </c>
      <c r="F105" s="9">
        <v>1250885</v>
      </c>
      <c r="G105" s="9">
        <v>-0.182</v>
      </c>
      <c r="H105" s="9">
        <v>0.316</v>
      </c>
    </row>
    <row r="106" spans="1:8" x14ac:dyDescent="0.4">
      <c r="A106" s="9" t="s">
        <v>555</v>
      </c>
      <c r="B106" s="9" t="s">
        <v>92</v>
      </c>
      <c r="C106" s="9">
        <v>26</v>
      </c>
      <c r="D106" s="9">
        <v>16</v>
      </c>
      <c r="E106" s="9">
        <v>242553</v>
      </c>
      <c r="F106" s="9">
        <v>326000</v>
      </c>
      <c r="G106" s="9">
        <v>0.23799999999999999</v>
      </c>
      <c r="H106" s="9">
        <v>0</v>
      </c>
    </row>
    <row r="107" spans="1:8" x14ac:dyDescent="0.4">
      <c r="A107" s="9" t="s">
        <v>556</v>
      </c>
      <c r="B107" s="9" t="s">
        <v>92</v>
      </c>
      <c r="C107" s="9">
        <v>13</v>
      </c>
      <c r="D107" s="9">
        <v>13</v>
      </c>
      <c r="E107" s="9">
        <v>0</v>
      </c>
      <c r="F107" s="9">
        <v>0</v>
      </c>
      <c r="G107" s="9">
        <v>3.3330000000000002</v>
      </c>
      <c r="H107" s="9">
        <v>0.85699999999999998</v>
      </c>
    </row>
    <row r="108" spans="1:8" x14ac:dyDescent="0.4">
      <c r="A108" s="9" t="s">
        <v>557</v>
      </c>
      <c r="B108" s="9" t="s">
        <v>92</v>
      </c>
      <c r="C108" s="9">
        <v>0</v>
      </c>
      <c r="D108" s="9">
        <v>1</v>
      </c>
      <c r="E108" s="9">
        <v>0</v>
      </c>
      <c r="F108" s="9">
        <v>0</v>
      </c>
      <c r="G108" s="9">
        <v>-1</v>
      </c>
      <c r="H108" s="9">
        <v>-0.5</v>
      </c>
    </row>
    <row r="109" spans="1:8" x14ac:dyDescent="0.4">
      <c r="A109" s="9" t="s">
        <v>558</v>
      </c>
      <c r="B109" s="9" t="s">
        <v>69</v>
      </c>
      <c r="C109" s="9">
        <v>13</v>
      </c>
      <c r="D109" s="9">
        <v>20</v>
      </c>
      <c r="E109" s="9">
        <v>834993</v>
      </c>
      <c r="F109" s="9">
        <v>0</v>
      </c>
      <c r="G109" s="9">
        <v>1.167</v>
      </c>
      <c r="H109" s="9">
        <v>-0.25900000000000001</v>
      </c>
    </row>
    <row r="110" spans="1:8" x14ac:dyDescent="0.4">
      <c r="A110" s="9" t="s">
        <v>559</v>
      </c>
      <c r="B110" s="9" t="s">
        <v>92</v>
      </c>
      <c r="C110" s="9">
        <v>25</v>
      </c>
      <c r="D110" s="9">
        <v>13</v>
      </c>
      <c r="E110" s="9">
        <v>0</v>
      </c>
      <c r="F110" s="9">
        <v>0</v>
      </c>
      <c r="G110" s="9">
        <v>0</v>
      </c>
      <c r="H110" s="9">
        <v>0</v>
      </c>
    </row>
    <row r="111" spans="1:8" x14ac:dyDescent="0.4">
      <c r="A111" s="9" t="s">
        <v>560</v>
      </c>
      <c r="B111" s="9" t="s">
        <v>81</v>
      </c>
      <c r="C111" s="9">
        <v>3</v>
      </c>
      <c r="D111" s="9">
        <v>3</v>
      </c>
      <c r="E111" s="9">
        <v>0</v>
      </c>
      <c r="F111" s="9">
        <v>0</v>
      </c>
      <c r="G111" s="9">
        <v>-0.625</v>
      </c>
      <c r="H111" s="9">
        <v>0.5</v>
      </c>
    </row>
    <row r="112" spans="1:8" x14ac:dyDescent="0.4">
      <c r="A112" s="9" t="s">
        <v>561</v>
      </c>
      <c r="B112" s="9" t="s">
        <v>81</v>
      </c>
      <c r="C112" s="9">
        <v>0</v>
      </c>
      <c r="D112" s="9">
        <v>10</v>
      </c>
      <c r="E112" s="9">
        <v>0</v>
      </c>
      <c r="F112" s="9">
        <v>50000</v>
      </c>
      <c r="G112" s="9">
        <v>-1</v>
      </c>
      <c r="H112" s="9">
        <v>4</v>
      </c>
    </row>
    <row r="113" spans="1:8" x14ac:dyDescent="0.4">
      <c r="A113" s="9" t="s">
        <v>562</v>
      </c>
      <c r="B113" s="9" t="s">
        <v>81</v>
      </c>
      <c r="C113" s="9">
        <v>19</v>
      </c>
      <c r="D113" s="9">
        <v>97</v>
      </c>
      <c r="E113" s="9">
        <v>4624000</v>
      </c>
      <c r="F113" s="9">
        <v>240000</v>
      </c>
      <c r="G113" s="9">
        <v>-0.55800000000000005</v>
      </c>
      <c r="H113" s="9">
        <v>2.464</v>
      </c>
    </row>
    <row r="114" spans="1:8" x14ac:dyDescent="0.4">
      <c r="A114" s="9" t="s">
        <v>563</v>
      </c>
      <c r="B114" s="9" t="s">
        <v>69</v>
      </c>
      <c r="C114" s="9">
        <v>0</v>
      </c>
      <c r="D114" s="9">
        <v>0</v>
      </c>
      <c r="E114" s="9">
        <v>0</v>
      </c>
      <c r="F114" s="9">
        <v>0</v>
      </c>
      <c r="G114" s="9">
        <v>0</v>
      </c>
      <c r="H114" s="9">
        <v>0</v>
      </c>
    </row>
    <row r="115" spans="1:8" x14ac:dyDescent="0.4">
      <c r="A115" s="9" t="s">
        <v>564</v>
      </c>
      <c r="B115" s="9" t="s">
        <v>69</v>
      </c>
      <c r="C115" s="9">
        <v>16</v>
      </c>
      <c r="D115" s="9">
        <v>32</v>
      </c>
      <c r="E115" s="9">
        <v>0</v>
      </c>
      <c r="F115" s="9">
        <v>350025</v>
      </c>
      <c r="G115" s="9">
        <v>-0.111</v>
      </c>
      <c r="H115" s="9">
        <v>-0.30399999999999999</v>
      </c>
    </row>
    <row r="116" spans="1:8" x14ac:dyDescent="0.4">
      <c r="A116" s="9" t="s">
        <v>565</v>
      </c>
      <c r="B116" s="9" t="s">
        <v>69</v>
      </c>
      <c r="C116" s="9">
        <v>9</v>
      </c>
      <c r="D116" s="9">
        <v>10</v>
      </c>
      <c r="E116" s="9">
        <v>0</v>
      </c>
      <c r="F116" s="9">
        <v>0</v>
      </c>
      <c r="G116" s="9">
        <v>-0.25</v>
      </c>
      <c r="H116" s="9">
        <v>-0.52400000000000002</v>
      </c>
    </row>
    <row r="117" spans="1:8" x14ac:dyDescent="0.4">
      <c r="A117" s="9" t="s">
        <v>566</v>
      </c>
      <c r="B117" s="9" t="s">
        <v>92</v>
      </c>
      <c r="C117" s="9">
        <v>0</v>
      </c>
      <c r="D117" s="9">
        <v>5</v>
      </c>
      <c r="E117" s="9">
        <v>0</v>
      </c>
      <c r="F117" s="9">
        <v>0</v>
      </c>
      <c r="G117" s="9">
        <v>0</v>
      </c>
      <c r="H117" s="9">
        <v>4</v>
      </c>
    </row>
    <row r="118" spans="1:8" x14ac:dyDescent="0.4">
      <c r="A118" s="9" t="s">
        <v>567</v>
      </c>
      <c r="B118" s="9" t="s">
        <v>81</v>
      </c>
      <c r="C118" s="9">
        <v>0</v>
      </c>
      <c r="D118" s="9">
        <v>3</v>
      </c>
      <c r="E118" s="9">
        <v>0</v>
      </c>
      <c r="F118" s="9">
        <v>0</v>
      </c>
      <c r="G118" s="9">
        <v>0</v>
      </c>
      <c r="H118" s="9">
        <v>-0.57099999999999995</v>
      </c>
    </row>
    <row r="119" spans="1:8" x14ac:dyDescent="0.4">
      <c r="A119" s="9" t="s">
        <v>568</v>
      </c>
      <c r="B119" s="9" t="s">
        <v>81</v>
      </c>
      <c r="C119" s="9">
        <v>0</v>
      </c>
      <c r="D119" s="9">
        <v>7</v>
      </c>
      <c r="E119" s="9">
        <v>0</v>
      </c>
      <c r="F119" s="9">
        <v>607602</v>
      </c>
      <c r="G119" s="9">
        <v>0</v>
      </c>
      <c r="H119" s="9">
        <v>0.75</v>
      </c>
    </row>
    <row r="120" spans="1:8" x14ac:dyDescent="0.4">
      <c r="A120" s="9" t="s">
        <v>569</v>
      </c>
      <c r="B120" s="9" t="s">
        <v>92</v>
      </c>
      <c r="C120" s="9">
        <v>37</v>
      </c>
      <c r="D120" s="9">
        <v>20</v>
      </c>
      <c r="E120" s="9">
        <v>24000</v>
      </c>
      <c r="F120" s="9">
        <v>0</v>
      </c>
      <c r="G120" s="9">
        <v>5.1669999999999998</v>
      </c>
      <c r="H120" s="9">
        <v>0.17599999999999999</v>
      </c>
    </row>
    <row r="121" spans="1:8" x14ac:dyDescent="0.4">
      <c r="A121" s="9" t="s">
        <v>570</v>
      </c>
      <c r="B121" s="9" t="s">
        <v>92</v>
      </c>
      <c r="C121" s="9">
        <v>0</v>
      </c>
      <c r="D121" s="9">
        <v>3</v>
      </c>
      <c r="E121" s="9">
        <v>0</v>
      </c>
      <c r="F121" s="9">
        <v>0</v>
      </c>
      <c r="G121" s="9">
        <v>0</v>
      </c>
      <c r="H121" s="9">
        <v>0.5</v>
      </c>
    </row>
    <row r="122" spans="1:8" x14ac:dyDescent="0.4">
      <c r="A122" s="9" t="s">
        <v>571</v>
      </c>
      <c r="B122" s="9" t="s">
        <v>81</v>
      </c>
      <c r="C122" s="9">
        <v>6</v>
      </c>
      <c r="D122" s="9">
        <v>26</v>
      </c>
      <c r="E122" s="9">
        <v>0</v>
      </c>
      <c r="F122" s="9">
        <v>4613304</v>
      </c>
      <c r="G122" s="9">
        <v>0</v>
      </c>
      <c r="H122" s="9">
        <v>-0.27800000000000002</v>
      </c>
    </row>
    <row r="123" spans="1:8" x14ac:dyDescent="0.4">
      <c r="A123" s="9" t="s">
        <v>572</v>
      </c>
      <c r="B123" s="9" t="s">
        <v>69</v>
      </c>
      <c r="C123" s="9">
        <v>72</v>
      </c>
      <c r="D123" s="9">
        <v>39</v>
      </c>
      <c r="E123" s="9">
        <v>0</v>
      </c>
      <c r="F123" s="9">
        <v>182623</v>
      </c>
      <c r="G123" s="9">
        <v>-0.04</v>
      </c>
      <c r="H123" s="9">
        <v>-0.188</v>
      </c>
    </row>
    <row r="124" spans="1:8" x14ac:dyDescent="0.4">
      <c r="A124" s="9" t="s">
        <v>573</v>
      </c>
      <c r="B124" s="9" t="s">
        <v>81</v>
      </c>
      <c r="C124" s="9">
        <v>28</v>
      </c>
      <c r="D124" s="9">
        <v>5</v>
      </c>
      <c r="E124" s="9">
        <v>0</v>
      </c>
      <c r="F124" s="9">
        <v>0</v>
      </c>
      <c r="G124" s="9">
        <v>-0.152</v>
      </c>
      <c r="H124" s="9">
        <v>-0.44400000000000001</v>
      </c>
    </row>
    <row r="125" spans="1:8" x14ac:dyDescent="0.4">
      <c r="A125" s="9" t="s">
        <v>574</v>
      </c>
      <c r="B125" s="9" t="s">
        <v>81</v>
      </c>
      <c r="C125" s="9">
        <v>3</v>
      </c>
      <c r="D125" s="9">
        <v>3</v>
      </c>
      <c r="E125" s="9">
        <v>0</v>
      </c>
      <c r="F125" s="9">
        <v>0</v>
      </c>
      <c r="G125" s="9">
        <v>-0.625</v>
      </c>
      <c r="H125" s="9">
        <v>0</v>
      </c>
    </row>
    <row r="126" spans="1:8" x14ac:dyDescent="0.4">
      <c r="A126" s="9" t="s">
        <v>5</v>
      </c>
      <c r="B126" s="9" t="s">
        <v>482</v>
      </c>
      <c r="C126" s="9">
        <v>115</v>
      </c>
      <c r="D126" s="9">
        <v>63</v>
      </c>
      <c r="E126" s="9">
        <v>37380617</v>
      </c>
      <c r="F126" s="9">
        <v>10109076</v>
      </c>
      <c r="G126" s="9">
        <v>-9.4E-2</v>
      </c>
      <c r="H126" s="9">
        <v>-7.3999999999999996E-2</v>
      </c>
    </row>
    <row r="127" spans="1:8" x14ac:dyDescent="0.4">
      <c r="A127" s="9" t="s">
        <v>575</v>
      </c>
      <c r="B127" s="9" t="s">
        <v>69</v>
      </c>
      <c r="C127" s="9">
        <v>1</v>
      </c>
      <c r="D127" s="9">
        <v>15</v>
      </c>
      <c r="E127" s="9">
        <v>0</v>
      </c>
      <c r="F127" s="9">
        <v>353397</v>
      </c>
      <c r="G127" s="9">
        <v>-0.75</v>
      </c>
      <c r="H127" s="9">
        <v>0.25</v>
      </c>
    </row>
    <row r="128" spans="1:8" x14ac:dyDescent="0.4">
      <c r="A128" s="9" t="s">
        <v>576</v>
      </c>
      <c r="B128" s="9" t="s">
        <v>92</v>
      </c>
      <c r="C128" s="9">
        <v>0</v>
      </c>
      <c r="D128" s="9">
        <v>7</v>
      </c>
      <c r="E128" s="9">
        <v>0</v>
      </c>
      <c r="F128" s="9">
        <v>0</v>
      </c>
      <c r="G128" s="9">
        <v>0</v>
      </c>
      <c r="H128" s="9">
        <v>0.75</v>
      </c>
    </row>
    <row r="129" spans="1:8" x14ac:dyDescent="0.4">
      <c r="A129" s="9" t="s">
        <v>577</v>
      </c>
      <c r="B129" s="9" t="s">
        <v>69</v>
      </c>
      <c r="C129" s="9">
        <v>22</v>
      </c>
      <c r="D129" s="9">
        <v>7</v>
      </c>
      <c r="E129" s="9">
        <v>0</v>
      </c>
      <c r="F129" s="9">
        <v>0</v>
      </c>
      <c r="G129" s="9">
        <v>0.1</v>
      </c>
      <c r="H129" s="9">
        <v>-0.36399999999999999</v>
      </c>
    </row>
    <row r="130" spans="1:8" x14ac:dyDescent="0.4">
      <c r="A130" s="9" t="s">
        <v>578</v>
      </c>
      <c r="B130" s="9" t="s">
        <v>482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9">
        <v>0</v>
      </c>
    </row>
    <row r="131" spans="1:8" x14ac:dyDescent="0.4">
      <c r="A131" s="9" t="s">
        <v>39</v>
      </c>
      <c r="B131" s="9" t="s">
        <v>81</v>
      </c>
      <c r="C131" s="9">
        <v>104</v>
      </c>
      <c r="D131" s="9">
        <v>23</v>
      </c>
      <c r="E131" s="9">
        <v>4211747</v>
      </c>
      <c r="F131" s="9">
        <v>2168468</v>
      </c>
      <c r="G131" s="9">
        <v>1.08</v>
      </c>
      <c r="H131" s="9">
        <v>-0.34300000000000003</v>
      </c>
    </row>
    <row r="132" spans="1:8" x14ac:dyDescent="0.4">
      <c r="A132" s="9" t="s">
        <v>579</v>
      </c>
      <c r="B132" s="9" t="s">
        <v>81</v>
      </c>
      <c r="C132" s="9">
        <v>3</v>
      </c>
      <c r="D132" s="9">
        <v>13</v>
      </c>
      <c r="E132" s="9">
        <v>0</v>
      </c>
      <c r="F132" s="9">
        <v>730000</v>
      </c>
      <c r="G132" s="9">
        <v>2</v>
      </c>
      <c r="H132" s="9">
        <v>1.167</v>
      </c>
    </row>
    <row r="133" spans="1:8" x14ac:dyDescent="0.4">
      <c r="A133" s="9" t="s">
        <v>580</v>
      </c>
      <c r="B133" s="9" t="s">
        <v>92</v>
      </c>
      <c r="C133" s="9">
        <v>13</v>
      </c>
      <c r="D133" s="9">
        <v>0</v>
      </c>
      <c r="E133" s="9">
        <v>0</v>
      </c>
      <c r="F133" s="9">
        <v>0</v>
      </c>
      <c r="G133" s="9">
        <v>0</v>
      </c>
      <c r="H133" s="9">
        <v>-1</v>
      </c>
    </row>
    <row r="134" spans="1:8" x14ac:dyDescent="0.4">
      <c r="A134" s="9" t="s">
        <v>581</v>
      </c>
      <c r="B134" s="9" t="s">
        <v>81</v>
      </c>
      <c r="C134" s="9">
        <v>13</v>
      </c>
      <c r="D134" s="9">
        <v>5</v>
      </c>
      <c r="E134" s="9">
        <v>0</v>
      </c>
      <c r="F134" s="9">
        <v>0</v>
      </c>
      <c r="G134" s="9">
        <v>12</v>
      </c>
      <c r="H134" s="9">
        <v>-0.16700000000000001</v>
      </c>
    </row>
    <row r="135" spans="1:8" x14ac:dyDescent="0.4">
      <c r="A135" s="9" t="s">
        <v>582</v>
      </c>
      <c r="B135" s="9" t="s">
        <v>92</v>
      </c>
      <c r="C135" s="9">
        <v>39</v>
      </c>
      <c r="D135" s="9">
        <v>1</v>
      </c>
      <c r="E135" s="9">
        <v>0</v>
      </c>
      <c r="F135" s="9">
        <v>0</v>
      </c>
      <c r="G135" s="9">
        <v>38</v>
      </c>
      <c r="H135" s="9">
        <v>-0.5</v>
      </c>
    </row>
    <row r="136" spans="1:8" x14ac:dyDescent="0.4">
      <c r="A136" s="9" t="s">
        <v>14</v>
      </c>
      <c r="B136" s="9" t="s">
        <v>69</v>
      </c>
      <c r="C136" s="9">
        <v>59</v>
      </c>
      <c r="D136" s="9">
        <v>89</v>
      </c>
      <c r="E136" s="9">
        <v>21764968</v>
      </c>
      <c r="F136" s="9">
        <v>73663479</v>
      </c>
      <c r="G136" s="9">
        <v>-0.11899999999999999</v>
      </c>
      <c r="H136" s="9">
        <v>0.20300000000000001</v>
      </c>
    </row>
    <row r="137" spans="1:8" x14ac:dyDescent="0.4">
      <c r="A137" s="9" t="s">
        <v>583</v>
      </c>
      <c r="B137" s="9" t="s">
        <v>141</v>
      </c>
      <c r="C137" s="9">
        <v>0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</row>
    <row r="138" spans="1:8" x14ac:dyDescent="0.4">
      <c r="A138" s="9" t="s">
        <v>36</v>
      </c>
      <c r="B138" s="9" t="s">
        <v>141</v>
      </c>
      <c r="C138" s="9">
        <v>12</v>
      </c>
      <c r="D138" s="9">
        <v>16</v>
      </c>
      <c r="E138" s="9">
        <v>0</v>
      </c>
      <c r="F138" s="9">
        <v>0</v>
      </c>
      <c r="G138" s="9">
        <v>11</v>
      </c>
      <c r="H138" s="9">
        <v>0</v>
      </c>
    </row>
    <row r="139" spans="1:8" x14ac:dyDescent="0.4">
      <c r="A139" s="9" t="s">
        <v>584</v>
      </c>
      <c r="B139" s="9" t="s">
        <v>482</v>
      </c>
      <c r="C139" s="9">
        <v>23</v>
      </c>
      <c r="D139" s="9">
        <v>16</v>
      </c>
      <c r="E139" s="9">
        <v>0</v>
      </c>
      <c r="F139" s="9">
        <v>0</v>
      </c>
      <c r="G139" s="9">
        <v>-0.14799999999999999</v>
      </c>
      <c r="H139" s="9">
        <v>-0.111</v>
      </c>
    </row>
    <row r="140" spans="1:8" x14ac:dyDescent="0.4">
      <c r="A140" s="9" t="s">
        <v>585</v>
      </c>
      <c r="B140" s="9" t="s">
        <v>81</v>
      </c>
      <c r="C140" s="9">
        <v>0</v>
      </c>
      <c r="D140" s="9">
        <v>10</v>
      </c>
      <c r="E140" s="9">
        <v>0</v>
      </c>
      <c r="F140" s="9">
        <v>50269</v>
      </c>
      <c r="G140" s="9">
        <v>-1</v>
      </c>
      <c r="H140" s="9">
        <v>4</v>
      </c>
    </row>
    <row r="141" spans="1:8" x14ac:dyDescent="0.4">
      <c r="A141" s="9" t="s">
        <v>586</v>
      </c>
      <c r="B141" s="9" t="s">
        <v>81</v>
      </c>
      <c r="C141" s="9">
        <v>24</v>
      </c>
      <c r="D141" s="9">
        <v>98</v>
      </c>
      <c r="E141" s="9">
        <v>0</v>
      </c>
      <c r="F141" s="9">
        <v>3201043</v>
      </c>
      <c r="G141" s="9">
        <v>-0.111</v>
      </c>
      <c r="H141" s="9">
        <v>-6.7000000000000004E-2</v>
      </c>
    </row>
    <row r="142" spans="1:8" x14ac:dyDescent="0.4">
      <c r="A142" s="9" t="s">
        <v>587</v>
      </c>
      <c r="B142" s="9" t="s">
        <v>69</v>
      </c>
      <c r="C142" s="9">
        <v>11</v>
      </c>
      <c r="D142" s="9">
        <v>24</v>
      </c>
      <c r="E142" s="9">
        <v>0</v>
      </c>
      <c r="F142" s="9">
        <v>0</v>
      </c>
      <c r="G142" s="9">
        <v>0</v>
      </c>
      <c r="H142" s="9">
        <v>0</v>
      </c>
    </row>
    <row r="143" spans="1:8" x14ac:dyDescent="0.4">
      <c r="A143" s="9" t="s">
        <v>588</v>
      </c>
      <c r="B143" s="9" t="s">
        <v>69</v>
      </c>
      <c r="C143" s="9">
        <v>31</v>
      </c>
      <c r="D143" s="9">
        <v>18</v>
      </c>
      <c r="E143" s="9">
        <v>161198</v>
      </c>
      <c r="F143" s="9">
        <v>605383</v>
      </c>
      <c r="G143" s="9">
        <v>-8.7999999999999995E-2</v>
      </c>
      <c r="H143" s="9">
        <v>0.5</v>
      </c>
    </row>
    <row r="144" spans="1:8" x14ac:dyDescent="0.4">
      <c r="A144" s="9" t="s">
        <v>37</v>
      </c>
      <c r="B144" s="9" t="s">
        <v>69</v>
      </c>
      <c r="C144" s="9">
        <v>41</v>
      </c>
      <c r="D144" s="9">
        <v>70</v>
      </c>
      <c r="E144" s="9">
        <v>9829932</v>
      </c>
      <c r="F144" s="9">
        <v>41057532</v>
      </c>
      <c r="G144" s="9">
        <v>-2.4E-2</v>
      </c>
      <c r="H144" s="9">
        <v>0.111</v>
      </c>
    </row>
    <row r="145" spans="1:8" x14ac:dyDescent="0.4">
      <c r="A145" s="9" t="s">
        <v>589</v>
      </c>
      <c r="B145" s="9" t="s">
        <v>92</v>
      </c>
      <c r="C145" s="9">
        <v>25</v>
      </c>
      <c r="D145" s="9">
        <v>18</v>
      </c>
      <c r="E145" s="9">
        <v>0</v>
      </c>
      <c r="F145" s="9">
        <v>0</v>
      </c>
      <c r="G145" s="9">
        <v>-0.107</v>
      </c>
      <c r="H145" s="9">
        <v>0.28599999999999998</v>
      </c>
    </row>
    <row r="146" spans="1:8" x14ac:dyDescent="0.4">
      <c r="A146" s="9" t="s">
        <v>590</v>
      </c>
      <c r="B146" s="9" t="s">
        <v>92</v>
      </c>
      <c r="C146" s="9">
        <v>0</v>
      </c>
      <c r="D146" s="9">
        <v>5</v>
      </c>
      <c r="E146" s="9">
        <v>0</v>
      </c>
      <c r="F146" s="9">
        <v>0</v>
      </c>
      <c r="G146" s="9">
        <v>0</v>
      </c>
      <c r="H146" s="9">
        <v>0</v>
      </c>
    </row>
    <row r="147" spans="1:8" x14ac:dyDescent="0.4">
      <c r="A147" s="9" t="s">
        <v>591</v>
      </c>
      <c r="B147" s="9" t="s">
        <v>92</v>
      </c>
      <c r="C147" s="9">
        <v>0</v>
      </c>
      <c r="D147" s="9">
        <v>1</v>
      </c>
      <c r="E147" s="9">
        <v>0</v>
      </c>
      <c r="F147" s="9">
        <v>0</v>
      </c>
      <c r="G147" s="9">
        <v>0</v>
      </c>
      <c r="H147" s="9">
        <v>-0.85699999999999998</v>
      </c>
    </row>
    <row r="148" spans="1:8" x14ac:dyDescent="0.4">
      <c r="A148" s="9" t="s">
        <v>41</v>
      </c>
      <c r="B148" s="9" t="s">
        <v>482</v>
      </c>
      <c r="C148" s="9">
        <v>44</v>
      </c>
      <c r="D148" s="9">
        <v>25</v>
      </c>
      <c r="E148" s="9">
        <v>0</v>
      </c>
      <c r="F148" s="9">
        <v>135000</v>
      </c>
      <c r="G148" s="9">
        <v>0.189</v>
      </c>
      <c r="H148" s="9">
        <v>-0.13800000000000001</v>
      </c>
    </row>
    <row r="149" spans="1:8" x14ac:dyDescent="0.4">
      <c r="A149" s="9" t="s">
        <v>592</v>
      </c>
      <c r="B149" s="9" t="s">
        <v>141</v>
      </c>
      <c r="C149" s="9">
        <v>1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</row>
    <row r="150" spans="1:8" x14ac:dyDescent="0.4">
      <c r="A150" s="9" t="s">
        <v>47</v>
      </c>
      <c r="B150" s="9" t="s">
        <v>98</v>
      </c>
      <c r="C150" s="9">
        <v>52</v>
      </c>
      <c r="D150" s="9">
        <v>66</v>
      </c>
      <c r="E150" s="9">
        <v>540000</v>
      </c>
      <c r="F150" s="9">
        <v>2705000</v>
      </c>
      <c r="G150" s="9">
        <v>-3.6999999999999998E-2</v>
      </c>
      <c r="H150" s="9">
        <v>-0.185</v>
      </c>
    </row>
    <row r="151" spans="1:8" x14ac:dyDescent="0.4">
      <c r="A151" s="9" t="s">
        <v>593</v>
      </c>
      <c r="B151" s="9" t="s">
        <v>98</v>
      </c>
      <c r="C151" s="9">
        <v>76</v>
      </c>
      <c r="D151" s="9">
        <v>47</v>
      </c>
      <c r="E151" s="9">
        <v>2456750</v>
      </c>
      <c r="F151" s="9">
        <v>395000</v>
      </c>
      <c r="G151" s="9">
        <v>0.188</v>
      </c>
      <c r="H151" s="9">
        <v>2.1999999999999999E-2</v>
      </c>
    </row>
    <row r="152" spans="1:8" x14ac:dyDescent="0.4">
      <c r="A152" s="9" t="s">
        <v>594</v>
      </c>
      <c r="B152" s="9" t="s">
        <v>92</v>
      </c>
      <c r="C152" s="9">
        <v>35</v>
      </c>
      <c r="D152" s="9">
        <v>13</v>
      </c>
      <c r="E152" s="9">
        <v>0</v>
      </c>
      <c r="F152" s="9">
        <v>0</v>
      </c>
      <c r="G152" s="9">
        <v>0.20699999999999999</v>
      </c>
      <c r="H152" s="9">
        <v>0</v>
      </c>
    </row>
    <row r="153" spans="1:8" x14ac:dyDescent="0.4">
      <c r="A153" s="9" t="s">
        <v>595</v>
      </c>
      <c r="B153" s="9" t="s">
        <v>69</v>
      </c>
      <c r="C153" s="9">
        <v>60</v>
      </c>
      <c r="D153" s="9">
        <v>62</v>
      </c>
      <c r="E153" s="9">
        <v>26381643</v>
      </c>
      <c r="F153" s="9">
        <v>35116676</v>
      </c>
      <c r="G153" s="9">
        <v>0.25</v>
      </c>
      <c r="H153" s="9">
        <v>6.9000000000000006E-2</v>
      </c>
    </row>
    <row r="154" spans="1:8" x14ac:dyDescent="0.4">
      <c r="A154" s="9" t="s">
        <v>25</v>
      </c>
      <c r="B154" s="9" t="s">
        <v>69</v>
      </c>
      <c r="C154" s="9">
        <v>152</v>
      </c>
      <c r="D154" s="9">
        <v>163</v>
      </c>
      <c r="E154" s="9">
        <v>69792422</v>
      </c>
      <c r="F154" s="9">
        <v>90355551</v>
      </c>
      <c r="G154" s="9">
        <v>-0.23599999999999999</v>
      </c>
      <c r="H154" s="9">
        <v>-4.1000000000000002E-2</v>
      </c>
    </row>
    <row r="155" spans="1:8" x14ac:dyDescent="0.4">
      <c r="A155" s="9" t="s">
        <v>596</v>
      </c>
      <c r="B155" s="9" t="s">
        <v>482</v>
      </c>
      <c r="C155" s="9">
        <v>0</v>
      </c>
      <c r="D155" s="9">
        <v>1</v>
      </c>
      <c r="E155" s="9">
        <v>0</v>
      </c>
      <c r="F155" s="9">
        <v>0</v>
      </c>
      <c r="G155" s="9">
        <v>0</v>
      </c>
      <c r="H155" s="9">
        <v>0</v>
      </c>
    </row>
    <row r="156" spans="1:8" x14ac:dyDescent="0.4">
      <c r="A156" s="9" t="s">
        <v>9</v>
      </c>
      <c r="B156" s="9" t="s">
        <v>92</v>
      </c>
      <c r="C156" s="9">
        <v>16</v>
      </c>
      <c r="D156" s="9">
        <v>15</v>
      </c>
      <c r="E156" s="9">
        <v>3311110</v>
      </c>
      <c r="F156" s="9">
        <v>0</v>
      </c>
      <c r="G156" s="9">
        <v>-0.158</v>
      </c>
      <c r="H156" s="9">
        <v>0.5</v>
      </c>
    </row>
    <row r="157" spans="1:8" x14ac:dyDescent="0.4">
      <c r="A157" s="9" t="s">
        <v>597</v>
      </c>
      <c r="B157" s="9" t="s">
        <v>69</v>
      </c>
      <c r="C157" s="9">
        <v>54</v>
      </c>
      <c r="D157" s="9">
        <v>45</v>
      </c>
      <c r="E157" s="9">
        <v>1670595</v>
      </c>
      <c r="F157" s="9">
        <v>7795390</v>
      </c>
      <c r="G157" s="9">
        <v>0.28599999999999998</v>
      </c>
      <c r="H157" s="9">
        <v>-0.23699999999999999</v>
      </c>
    </row>
    <row r="158" spans="1:8" x14ac:dyDescent="0.4">
      <c r="A158" s="9" t="s">
        <v>598</v>
      </c>
      <c r="B158" s="9" t="s">
        <v>69</v>
      </c>
      <c r="C158" s="9">
        <v>55</v>
      </c>
      <c r="D158" s="9">
        <v>45</v>
      </c>
      <c r="E158" s="9">
        <v>1676951</v>
      </c>
      <c r="F158" s="9">
        <v>14680094</v>
      </c>
      <c r="G158" s="9">
        <v>0.31</v>
      </c>
      <c r="H158" s="9">
        <v>9.8000000000000004E-2</v>
      </c>
    </row>
    <row r="159" spans="1:8" x14ac:dyDescent="0.4">
      <c r="A159" s="9" t="s">
        <v>599</v>
      </c>
      <c r="B159" s="9" t="s">
        <v>69</v>
      </c>
      <c r="C159" s="9">
        <v>35</v>
      </c>
      <c r="D159" s="9">
        <v>39</v>
      </c>
      <c r="E159" s="9">
        <v>10270908</v>
      </c>
      <c r="F159" s="9">
        <v>52810282</v>
      </c>
      <c r="G159" s="9">
        <v>-2.8000000000000001E-2</v>
      </c>
      <c r="H159" s="9">
        <v>-0.152</v>
      </c>
    </row>
    <row r="160" spans="1:8" x14ac:dyDescent="0.4">
      <c r="A160" s="9" t="s">
        <v>600</v>
      </c>
      <c r="B160" s="9" t="s">
        <v>81</v>
      </c>
      <c r="C160" s="9">
        <v>34</v>
      </c>
      <c r="D160" s="9">
        <v>15</v>
      </c>
      <c r="E160" s="9">
        <v>0</v>
      </c>
      <c r="F160" s="9">
        <v>0</v>
      </c>
      <c r="G160" s="9">
        <v>-0.128</v>
      </c>
      <c r="H160" s="9">
        <v>0.25</v>
      </c>
    </row>
    <row r="161" spans="1:8" x14ac:dyDescent="0.4">
      <c r="A161" s="9" t="s">
        <v>601</v>
      </c>
      <c r="B161" s="9" t="s">
        <v>81</v>
      </c>
      <c r="C161" s="9">
        <v>0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</row>
    <row r="162" spans="1:8" x14ac:dyDescent="0.4">
      <c r="A162" s="9" t="s">
        <v>602</v>
      </c>
      <c r="B162" s="9" t="s">
        <v>141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</row>
    <row r="163" spans="1:8" x14ac:dyDescent="0.4">
      <c r="A163" s="9" t="s">
        <v>603</v>
      </c>
      <c r="B163" s="9" t="s">
        <v>69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</row>
    <row r="164" spans="1:8" x14ac:dyDescent="0.4">
      <c r="A164" s="9" t="s">
        <v>15</v>
      </c>
      <c r="B164" s="9" t="s">
        <v>92</v>
      </c>
      <c r="C164" s="9">
        <v>87</v>
      </c>
      <c r="D164" s="9">
        <v>59</v>
      </c>
      <c r="E164" s="9">
        <v>101089441</v>
      </c>
      <c r="F164" s="9">
        <v>5854459</v>
      </c>
      <c r="G164" s="9">
        <v>-1.0999999999999999E-2</v>
      </c>
      <c r="H164" s="9">
        <v>3.5000000000000003E-2</v>
      </c>
    </row>
    <row r="165" spans="1:8" x14ac:dyDescent="0.4">
      <c r="A165" s="9" t="s">
        <v>31</v>
      </c>
      <c r="B165" s="9" t="s">
        <v>69</v>
      </c>
      <c r="C165" s="9">
        <v>80</v>
      </c>
      <c r="D165" s="9">
        <v>59</v>
      </c>
      <c r="E165" s="9">
        <v>35083708</v>
      </c>
      <c r="F165" s="9">
        <v>13177593</v>
      </c>
      <c r="G165" s="9">
        <v>2.5999999999999999E-2</v>
      </c>
      <c r="H165" s="9">
        <v>-0.14499999999999999</v>
      </c>
    </row>
    <row r="166" spans="1:8" x14ac:dyDescent="0.4">
      <c r="A166" s="9" t="s">
        <v>45</v>
      </c>
      <c r="B166" s="9" t="s">
        <v>81</v>
      </c>
      <c r="C166" s="9">
        <v>0</v>
      </c>
      <c r="D166" s="9">
        <v>58</v>
      </c>
      <c r="E166" s="9">
        <v>0</v>
      </c>
      <c r="F166" s="9">
        <v>12592985</v>
      </c>
      <c r="G166" s="9">
        <v>-1</v>
      </c>
      <c r="H166" s="9">
        <v>0.115</v>
      </c>
    </row>
    <row r="167" spans="1:8" x14ac:dyDescent="0.4">
      <c r="A167" s="9" t="s">
        <v>604</v>
      </c>
      <c r="B167" s="9" t="s">
        <v>69</v>
      </c>
      <c r="C167" s="9">
        <v>52</v>
      </c>
      <c r="D167" s="9">
        <v>64</v>
      </c>
      <c r="E167" s="9">
        <v>704126</v>
      </c>
      <c r="F167" s="9">
        <v>19098703</v>
      </c>
      <c r="G167" s="9">
        <v>0.106</v>
      </c>
      <c r="H167" s="9">
        <v>8.5000000000000006E-2</v>
      </c>
    </row>
    <row r="168" spans="1:8" x14ac:dyDescent="0.4">
      <c r="A168" s="9" t="s">
        <v>605</v>
      </c>
      <c r="B168" s="9" t="s">
        <v>81</v>
      </c>
      <c r="C168" s="9">
        <v>0</v>
      </c>
      <c r="D168" s="9">
        <v>0</v>
      </c>
      <c r="E168" s="9">
        <v>0</v>
      </c>
      <c r="F168" s="9">
        <v>0</v>
      </c>
      <c r="G168" s="9">
        <v>0</v>
      </c>
      <c r="H168" s="9">
        <v>0</v>
      </c>
    </row>
    <row r="169" spans="1:8" x14ac:dyDescent="0.4">
      <c r="A169" s="9" t="s">
        <v>606</v>
      </c>
      <c r="B169" s="9" t="s">
        <v>81</v>
      </c>
      <c r="C169" s="9">
        <v>0</v>
      </c>
      <c r="D169" s="9">
        <v>5</v>
      </c>
      <c r="E169" s="9">
        <v>0</v>
      </c>
      <c r="F169" s="9">
        <v>0</v>
      </c>
      <c r="G169" s="9">
        <v>0</v>
      </c>
      <c r="H169" s="9">
        <v>0</v>
      </c>
    </row>
    <row r="170" spans="1:8" x14ac:dyDescent="0.4">
      <c r="A170" s="9" t="s">
        <v>607</v>
      </c>
      <c r="B170" s="9" t="s">
        <v>92</v>
      </c>
      <c r="C170" s="9">
        <v>14</v>
      </c>
      <c r="D170" s="9">
        <v>9</v>
      </c>
      <c r="E170" s="9">
        <v>0</v>
      </c>
      <c r="F170" s="9">
        <v>0</v>
      </c>
      <c r="G170" s="9">
        <v>0.27300000000000002</v>
      </c>
      <c r="H170" s="9">
        <v>0.8</v>
      </c>
    </row>
    <row r="171" spans="1:8" x14ac:dyDescent="0.4">
      <c r="A171" s="9" t="s">
        <v>608</v>
      </c>
      <c r="B171" s="9" t="s">
        <v>69</v>
      </c>
      <c r="C171" s="9">
        <v>30</v>
      </c>
      <c r="D171" s="9">
        <v>35</v>
      </c>
      <c r="E171" s="9">
        <v>1145419</v>
      </c>
      <c r="F171" s="9">
        <v>12728084</v>
      </c>
      <c r="G171" s="9">
        <v>0.111</v>
      </c>
      <c r="H171" s="9">
        <v>2.9000000000000001E-2</v>
      </c>
    </row>
    <row r="172" spans="1:8" x14ac:dyDescent="0.4">
      <c r="A172" s="9" t="s">
        <v>609</v>
      </c>
      <c r="B172" s="9" t="s">
        <v>69</v>
      </c>
      <c r="C172" s="9">
        <v>18</v>
      </c>
      <c r="D172" s="9">
        <v>47</v>
      </c>
      <c r="E172" s="9">
        <v>1501265</v>
      </c>
      <c r="F172" s="9">
        <v>9498970</v>
      </c>
      <c r="G172" s="9">
        <v>-0.48599999999999999</v>
      </c>
      <c r="H172" s="9">
        <v>0.51600000000000001</v>
      </c>
    </row>
    <row r="173" spans="1:8" x14ac:dyDescent="0.4">
      <c r="A173" s="9" t="s">
        <v>610</v>
      </c>
      <c r="B173" s="9" t="s">
        <v>141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-1</v>
      </c>
    </row>
    <row r="174" spans="1:8" x14ac:dyDescent="0.4">
      <c r="A174" s="9" t="s">
        <v>611</v>
      </c>
      <c r="B174" s="9" t="s">
        <v>81</v>
      </c>
      <c r="C174" s="9">
        <v>0</v>
      </c>
      <c r="D174" s="9">
        <v>1</v>
      </c>
      <c r="E174" s="9">
        <v>0</v>
      </c>
      <c r="F174" s="9">
        <v>0</v>
      </c>
      <c r="G174" s="9">
        <v>0</v>
      </c>
      <c r="H174" s="9">
        <v>-0.5</v>
      </c>
    </row>
    <row r="175" spans="1:8" x14ac:dyDescent="0.4">
      <c r="A175" s="9" t="s">
        <v>43</v>
      </c>
      <c r="B175" s="9" t="s">
        <v>81</v>
      </c>
      <c r="C175" s="9">
        <v>20</v>
      </c>
      <c r="D175" s="9">
        <v>29</v>
      </c>
      <c r="E175" s="9">
        <v>3243115</v>
      </c>
      <c r="F175" s="9">
        <v>4885339</v>
      </c>
      <c r="G175" s="9">
        <v>0.111</v>
      </c>
      <c r="H175" s="9">
        <v>0.26100000000000001</v>
      </c>
    </row>
    <row r="176" spans="1:8" x14ac:dyDescent="0.4">
      <c r="A176" s="9" t="s">
        <v>612</v>
      </c>
      <c r="B176" s="9" t="s">
        <v>81</v>
      </c>
      <c r="C176" s="9">
        <v>14</v>
      </c>
      <c r="D176" s="9">
        <v>3</v>
      </c>
      <c r="E176" s="9">
        <v>60000</v>
      </c>
      <c r="F176" s="9">
        <v>0</v>
      </c>
      <c r="G176" s="9">
        <v>0</v>
      </c>
      <c r="H176" s="9">
        <v>0</v>
      </c>
    </row>
    <row r="177" spans="1:8" x14ac:dyDescent="0.4">
      <c r="A177" s="9" t="s">
        <v>19</v>
      </c>
      <c r="B177" s="9" t="s">
        <v>69</v>
      </c>
      <c r="C177" s="9">
        <v>244</v>
      </c>
      <c r="D177" s="9">
        <v>177</v>
      </c>
      <c r="E177" s="9">
        <v>99095121</v>
      </c>
      <c r="F177" s="9">
        <v>139234398</v>
      </c>
      <c r="G177" s="9">
        <v>0.27700000000000002</v>
      </c>
      <c r="H177" s="9">
        <v>0.127</v>
      </c>
    </row>
    <row r="178" spans="1:8" x14ac:dyDescent="0.4">
      <c r="A178" s="9" t="s">
        <v>613</v>
      </c>
      <c r="B178" s="9" t="s">
        <v>92</v>
      </c>
      <c r="C178" s="9">
        <v>0</v>
      </c>
      <c r="D178" s="9">
        <v>1</v>
      </c>
      <c r="E178" s="9">
        <v>0</v>
      </c>
      <c r="F178" s="9">
        <v>0</v>
      </c>
      <c r="G178" s="9">
        <v>0</v>
      </c>
      <c r="H178" s="9">
        <v>0</v>
      </c>
    </row>
    <row r="179" spans="1:8" x14ac:dyDescent="0.4">
      <c r="A179" s="9" t="s">
        <v>614</v>
      </c>
      <c r="B179" s="9" t="s">
        <v>482</v>
      </c>
      <c r="C179" s="9">
        <v>1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</row>
    <row r="180" spans="1:8" x14ac:dyDescent="0.4">
      <c r="A180" s="9" t="s">
        <v>615</v>
      </c>
      <c r="B180" s="9" t="s">
        <v>482</v>
      </c>
      <c r="C180" s="9">
        <v>0</v>
      </c>
      <c r="D180" s="9">
        <v>0</v>
      </c>
      <c r="E180" s="9">
        <v>0</v>
      </c>
      <c r="F180" s="9">
        <v>0</v>
      </c>
      <c r="G180" s="9">
        <v>0</v>
      </c>
      <c r="H180" s="9">
        <v>-1</v>
      </c>
    </row>
    <row r="181" spans="1:8" x14ac:dyDescent="0.4">
      <c r="A181" s="9" t="s">
        <v>616</v>
      </c>
      <c r="B181" s="9" t="s">
        <v>482</v>
      </c>
      <c r="C181" s="9">
        <v>0</v>
      </c>
      <c r="D181" s="9">
        <v>0</v>
      </c>
      <c r="E181" s="9">
        <v>0</v>
      </c>
      <c r="F181" s="9">
        <v>0</v>
      </c>
      <c r="G181" s="9">
        <v>0</v>
      </c>
      <c r="H181" s="9">
        <v>0</v>
      </c>
    </row>
    <row r="182" spans="1:8" x14ac:dyDescent="0.4">
      <c r="A182" s="9" t="s">
        <v>617</v>
      </c>
      <c r="B182" s="9" t="s">
        <v>81</v>
      </c>
      <c r="C182" s="9">
        <v>19</v>
      </c>
      <c r="D182" s="9">
        <v>3</v>
      </c>
      <c r="E182" s="9">
        <v>200000</v>
      </c>
      <c r="F182" s="9">
        <v>0</v>
      </c>
      <c r="G182" s="9">
        <v>0.72699999999999998</v>
      </c>
      <c r="H182" s="9">
        <v>-0.4</v>
      </c>
    </row>
    <row r="183" spans="1:8" x14ac:dyDescent="0.4">
      <c r="A183" s="9" t="s">
        <v>618</v>
      </c>
      <c r="B183" s="9" t="s">
        <v>482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</row>
    <row r="184" spans="1:8" x14ac:dyDescent="0.4">
      <c r="A184" s="9" t="s">
        <v>17</v>
      </c>
      <c r="B184" s="9" t="s">
        <v>69</v>
      </c>
      <c r="C184" s="9">
        <v>53</v>
      </c>
      <c r="D184" s="9">
        <v>98</v>
      </c>
      <c r="E184" s="9">
        <v>8363960</v>
      </c>
      <c r="F184" s="9">
        <v>88419261</v>
      </c>
      <c r="G184" s="9">
        <v>3.9E-2</v>
      </c>
      <c r="H184" s="9">
        <v>0</v>
      </c>
    </row>
    <row r="185" spans="1:8" x14ac:dyDescent="0.4">
      <c r="A185" s="9" t="s">
        <v>27</v>
      </c>
      <c r="B185" s="9" t="s">
        <v>69</v>
      </c>
      <c r="C185" s="9">
        <v>31</v>
      </c>
      <c r="D185" s="9">
        <v>53</v>
      </c>
      <c r="E185" s="9">
        <v>11128406</v>
      </c>
      <c r="F185" s="9">
        <v>33005845</v>
      </c>
      <c r="G185" s="9">
        <v>-0.24399999999999999</v>
      </c>
      <c r="H185" s="9">
        <v>0.128</v>
      </c>
    </row>
    <row r="186" spans="1:8" x14ac:dyDescent="0.4">
      <c r="A186" s="9" t="s">
        <v>619</v>
      </c>
      <c r="B186" s="9" t="s">
        <v>92</v>
      </c>
      <c r="C186" s="9">
        <v>7</v>
      </c>
      <c r="D186" s="9">
        <v>5</v>
      </c>
      <c r="E186" s="9">
        <v>0</v>
      </c>
      <c r="F186" s="9">
        <v>0</v>
      </c>
      <c r="G186" s="9">
        <v>0</v>
      </c>
      <c r="H186" s="9">
        <v>-0.70599999999999996</v>
      </c>
    </row>
    <row r="187" spans="1:8" x14ac:dyDescent="0.4">
      <c r="A187" s="9" t="s">
        <v>620</v>
      </c>
      <c r="B187" s="9" t="s">
        <v>69</v>
      </c>
      <c r="C187" s="9">
        <v>85</v>
      </c>
      <c r="D187" s="9">
        <v>61</v>
      </c>
      <c r="E187" s="9">
        <v>86639351</v>
      </c>
      <c r="F187" s="9">
        <v>71613648</v>
      </c>
      <c r="G187" s="9">
        <v>0.214</v>
      </c>
      <c r="H187" s="9">
        <v>0.19600000000000001</v>
      </c>
    </row>
    <row r="188" spans="1:8" x14ac:dyDescent="0.4">
      <c r="A188" s="9" t="s">
        <v>621</v>
      </c>
      <c r="B188" s="9" t="s">
        <v>141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</row>
    <row r="189" spans="1:8" x14ac:dyDescent="0.4">
      <c r="A189" s="9" t="s">
        <v>622</v>
      </c>
      <c r="B189" s="9" t="s">
        <v>92</v>
      </c>
      <c r="C189" s="9">
        <v>0</v>
      </c>
      <c r="D189" s="9">
        <v>14</v>
      </c>
      <c r="E189" s="9">
        <v>0</v>
      </c>
      <c r="F189" s="9">
        <v>0</v>
      </c>
      <c r="G189" s="9">
        <v>0</v>
      </c>
      <c r="H189" s="9">
        <v>-0.125</v>
      </c>
    </row>
    <row r="190" spans="1:8" x14ac:dyDescent="0.4">
      <c r="A190" s="9" t="s">
        <v>623</v>
      </c>
      <c r="B190" s="9" t="s">
        <v>81</v>
      </c>
      <c r="C190" s="9">
        <v>40</v>
      </c>
      <c r="D190" s="9">
        <v>31</v>
      </c>
      <c r="E190" s="9">
        <v>700000</v>
      </c>
      <c r="F190" s="9">
        <v>325386</v>
      </c>
      <c r="G190" s="9">
        <v>0.81799999999999995</v>
      </c>
      <c r="H190" s="9">
        <v>1.385</v>
      </c>
    </row>
    <row r="191" spans="1:8" x14ac:dyDescent="0.4">
      <c r="A191" s="9" t="s">
        <v>624</v>
      </c>
      <c r="B191" s="9" t="s">
        <v>92</v>
      </c>
      <c r="C191" s="9">
        <v>34</v>
      </c>
      <c r="D191" s="9">
        <v>37</v>
      </c>
      <c r="E191" s="9">
        <v>0</v>
      </c>
      <c r="F191" s="9">
        <v>0</v>
      </c>
      <c r="G191" s="9">
        <v>-5.6000000000000001E-2</v>
      </c>
      <c r="H191" s="9">
        <v>0.48</v>
      </c>
    </row>
    <row r="192" spans="1:8" x14ac:dyDescent="0.4">
      <c r="A192" s="9" t="s">
        <v>625</v>
      </c>
      <c r="B192" s="9" t="s">
        <v>81</v>
      </c>
      <c r="C192" s="9">
        <v>11</v>
      </c>
      <c r="D192" s="9">
        <v>19</v>
      </c>
      <c r="E192" s="9">
        <v>0</v>
      </c>
      <c r="F192" s="9">
        <v>1650872</v>
      </c>
      <c r="G192" s="9">
        <v>-8.3000000000000004E-2</v>
      </c>
      <c r="H192" s="9">
        <v>0.35699999999999998</v>
      </c>
    </row>
    <row r="193" spans="1:8" x14ac:dyDescent="0.4">
      <c r="A193" s="9" t="s">
        <v>626</v>
      </c>
      <c r="B193" s="9" t="s">
        <v>92</v>
      </c>
      <c r="C193" s="9">
        <v>0</v>
      </c>
      <c r="D193" s="9">
        <v>1</v>
      </c>
      <c r="E193" s="9">
        <v>0</v>
      </c>
      <c r="F193" s="9">
        <v>0</v>
      </c>
      <c r="G193" s="9">
        <v>0</v>
      </c>
      <c r="H193" s="9">
        <v>0</v>
      </c>
    </row>
    <row r="194" spans="1:8" x14ac:dyDescent="0.4">
      <c r="A194" s="9" t="s">
        <v>627</v>
      </c>
      <c r="B194" s="9" t="s">
        <v>81</v>
      </c>
      <c r="C194" s="9">
        <v>1</v>
      </c>
      <c r="D194" s="9">
        <v>12</v>
      </c>
      <c r="E194" s="9">
        <v>0</v>
      </c>
      <c r="F194" s="9">
        <v>0</v>
      </c>
      <c r="G194" s="9">
        <v>-0.66700000000000004</v>
      </c>
      <c r="H194" s="9">
        <v>-0.14299999999999999</v>
      </c>
    </row>
    <row r="195" spans="1:8" x14ac:dyDescent="0.4">
      <c r="A195" s="9" t="s">
        <v>628</v>
      </c>
      <c r="B195" s="9" t="s">
        <v>141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</row>
    <row r="196" spans="1:8" x14ac:dyDescent="0.4">
      <c r="A196" s="9" t="s">
        <v>629</v>
      </c>
      <c r="B196" s="9" t="s">
        <v>482</v>
      </c>
      <c r="C196" s="9">
        <v>3</v>
      </c>
      <c r="D196" s="9">
        <v>1</v>
      </c>
      <c r="E196" s="9">
        <v>0</v>
      </c>
      <c r="F196" s="9">
        <v>0</v>
      </c>
      <c r="G196" s="9">
        <v>0</v>
      </c>
      <c r="H196" s="9">
        <v>-0.8</v>
      </c>
    </row>
    <row r="197" spans="1:8" x14ac:dyDescent="0.4">
      <c r="A197" s="9" t="s">
        <v>34</v>
      </c>
      <c r="B197" s="9" t="s">
        <v>81</v>
      </c>
      <c r="C197" s="9">
        <v>72</v>
      </c>
      <c r="D197" s="9">
        <v>37</v>
      </c>
      <c r="E197" s="9">
        <v>646648</v>
      </c>
      <c r="F197" s="9">
        <v>2877530</v>
      </c>
      <c r="G197" s="9">
        <v>1</v>
      </c>
      <c r="H197" s="9">
        <v>0.156</v>
      </c>
    </row>
    <row r="198" spans="1:8" x14ac:dyDescent="0.4">
      <c r="A198" s="9" t="s">
        <v>630</v>
      </c>
      <c r="B198" s="9" t="s">
        <v>92</v>
      </c>
      <c r="C198" s="9">
        <v>1</v>
      </c>
      <c r="D198" s="9">
        <v>0</v>
      </c>
      <c r="E198" s="9">
        <v>0</v>
      </c>
      <c r="F198" s="9">
        <v>0</v>
      </c>
      <c r="G198" s="9">
        <v>0</v>
      </c>
      <c r="H198" s="9">
        <v>0</v>
      </c>
    </row>
    <row r="199" spans="1:8" x14ac:dyDescent="0.4">
      <c r="A199" s="9" t="s">
        <v>631</v>
      </c>
      <c r="B199" s="9" t="s">
        <v>482</v>
      </c>
      <c r="C199" s="9">
        <v>0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</row>
    <row r="200" spans="1:8" x14ac:dyDescent="0.4">
      <c r="A200" s="9" t="s">
        <v>632</v>
      </c>
      <c r="B200" s="9" t="s">
        <v>81</v>
      </c>
      <c r="C200" s="9">
        <v>0</v>
      </c>
      <c r="D200" s="9">
        <v>15</v>
      </c>
      <c r="E200" s="9">
        <v>0</v>
      </c>
      <c r="F200" s="9">
        <v>150000</v>
      </c>
      <c r="G200" s="9">
        <v>-1</v>
      </c>
      <c r="H200" s="9">
        <v>0.66700000000000004</v>
      </c>
    </row>
    <row r="201" spans="1:8" x14ac:dyDescent="0.4">
      <c r="A201" s="9" t="s">
        <v>633</v>
      </c>
      <c r="B201" s="9" t="s">
        <v>69</v>
      </c>
      <c r="C201" s="9">
        <v>10</v>
      </c>
      <c r="D201" s="9">
        <v>25</v>
      </c>
      <c r="E201" s="9">
        <v>4311850</v>
      </c>
      <c r="F201" s="9">
        <v>2923444</v>
      </c>
      <c r="G201" s="9">
        <v>0.25</v>
      </c>
      <c r="H201" s="9">
        <v>8.6999999999999994E-2</v>
      </c>
    </row>
    <row r="202" spans="1:8" x14ac:dyDescent="0.4">
      <c r="A202" s="9" t="s">
        <v>634</v>
      </c>
      <c r="B202" s="9" t="s">
        <v>92</v>
      </c>
      <c r="C202" s="9">
        <v>29</v>
      </c>
      <c r="D202" s="9">
        <v>57</v>
      </c>
      <c r="E202" s="9">
        <v>5313885</v>
      </c>
      <c r="F202" s="9">
        <v>0</v>
      </c>
      <c r="G202" s="9">
        <v>-6.5000000000000002E-2</v>
      </c>
      <c r="H202" s="9">
        <v>0.26700000000000002</v>
      </c>
    </row>
    <row r="203" spans="1:8" x14ac:dyDescent="0.4">
      <c r="A203" s="9" t="s">
        <v>33</v>
      </c>
      <c r="B203" s="9" t="s">
        <v>98</v>
      </c>
      <c r="C203" s="9">
        <v>85</v>
      </c>
      <c r="D203" s="9">
        <v>118</v>
      </c>
      <c r="E203" s="9">
        <v>1343557</v>
      </c>
      <c r="F203" s="9">
        <v>12646389</v>
      </c>
      <c r="G203" s="9">
        <v>0.18099999999999999</v>
      </c>
      <c r="H203" s="9">
        <v>8.9999999999999993E-3</v>
      </c>
    </row>
    <row r="204" spans="1:8" x14ac:dyDescent="0.4">
      <c r="A204" s="9" t="s">
        <v>635</v>
      </c>
      <c r="B204" s="9" t="s">
        <v>482</v>
      </c>
      <c r="C204" s="9">
        <v>0</v>
      </c>
      <c r="D204" s="9">
        <v>0</v>
      </c>
      <c r="E204" s="9">
        <v>0</v>
      </c>
      <c r="F204" s="9">
        <v>0</v>
      </c>
      <c r="G204" s="9">
        <v>0</v>
      </c>
      <c r="H204" s="9">
        <v>0</v>
      </c>
    </row>
    <row r="205" spans="1:8" x14ac:dyDescent="0.4">
      <c r="A205" s="9" t="s">
        <v>8</v>
      </c>
      <c r="B205" s="9" t="s">
        <v>482</v>
      </c>
      <c r="C205" s="9">
        <v>112</v>
      </c>
      <c r="D205" s="9">
        <v>175</v>
      </c>
      <c r="E205" s="9">
        <v>99305021</v>
      </c>
      <c r="F205" s="9">
        <v>47979516</v>
      </c>
      <c r="G205" s="9">
        <v>0.191</v>
      </c>
      <c r="H205" s="9">
        <v>-6.4000000000000001E-2</v>
      </c>
    </row>
    <row r="206" spans="1:8" x14ac:dyDescent="0.4">
      <c r="A206" s="9" t="s">
        <v>28</v>
      </c>
      <c r="B206" s="9" t="s">
        <v>92</v>
      </c>
      <c r="C206" s="9">
        <v>25</v>
      </c>
      <c r="D206" s="9">
        <v>17</v>
      </c>
      <c r="E206" s="9">
        <v>28291</v>
      </c>
      <c r="F206" s="9">
        <v>0</v>
      </c>
      <c r="G206" s="9">
        <v>-0.107</v>
      </c>
      <c r="H206" s="9">
        <v>-0.105</v>
      </c>
    </row>
    <row r="207" spans="1:8" x14ac:dyDescent="0.4">
      <c r="A207" s="9" t="s">
        <v>636</v>
      </c>
      <c r="B207" s="9" t="s">
        <v>141</v>
      </c>
      <c r="C207" s="9">
        <v>0</v>
      </c>
      <c r="D207" s="9">
        <v>0</v>
      </c>
      <c r="E207" s="9">
        <v>0</v>
      </c>
      <c r="F207" s="9">
        <v>0</v>
      </c>
      <c r="G207" s="9">
        <v>0</v>
      </c>
      <c r="H207" s="9">
        <v>0</v>
      </c>
    </row>
    <row r="208" spans="1:8" x14ac:dyDescent="0.4">
      <c r="A208" s="9" t="s">
        <v>637</v>
      </c>
      <c r="B208" s="9" t="s">
        <v>98</v>
      </c>
      <c r="C208" s="9">
        <v>55</v>
      </c>
      <c r="D208" s="9">
        <v>49</v>
      </c>
      <c r="E208" s="9">
        <v>165000</v>
      </c>
      <c r="F208" s="9">
        <v>1408092</v>
      </c>
      <c r="G208" s="9">
        <v>-0.214</v>
      </c>
      <c r="H208" s="9">
        <v>-0.26900000000000002</v>
      </c>
    </row>
    <row r="209" spans="1:8" x14ac:dyDescent="0.4">
      <c r="A209" s="9" t="s">
        <v>638</v>
      </c>
      <c r="B209" s="9" t="s">
        <v>92</v>
      </c>
      <c r="C209" s="9">
        <v>8</v>
      </c>
      <c r="D209" s="9">
        <v>9</v>
      </c>
      <c r="E209" s="9">
        <v>0</v>
      </c>
      <c r="F209" s="9">
        <v>0</v>
      </c>
      <c r="G209" s="9">
        <v>-0.38500000000000001</v>
      </c>
      <c r="H209" s="9">
        <v>0.28599999999999998</v>
      </c>
    </row>
    <row r="210" spans="1:8" x14ac:dyDescent="0.4">
      <c r="A210" s="9" t="s">
        <v>639</v>
      </c>
      <c r="B210" s="9" t="s">
        <v>69</v>
      </c>
      <c r="C210" s="9">
        <v>45</v>
      </c>
      <c r="D210" s="9">
        <v>44</v>
      </c>
      <c r="E210" s="9">
        <v>12581965</v>
      </c>
      <c r="F210" s="9">
        <v>796188</v>
      </c>
      <c r="G210" s="9">
        <v>0.125</v>
      </c>
      <c r="H210" s="9">
        <v>0.222</v>
      </c>
    </row>
    <row r="211" spans="1:8" x14ac:dyDescent="0.4">
      <c r="A211" s="9" t="s">
        <v>640</v>
      </c>
      <c r="B211" s="9" t="s">
        <v>92</v>
      </c>
      <c r="C211" s="9">
        <v>0</v>
      </c>
      <c r="D211" s="9">
        <v>8</v>
      </c>
      <c r="E211" s="9">
        <v>0</v>
      </c>
      <c r="F211" s="9">
        <v>0</v>
      </c>
      <c r="G211" s="9">
        <v>-1</v>
      </c>
      <c r="H211" s="9">
        <v>0.14299999999999999</v>
      </c>
    </row>
    <row r="212" spans="1:8" x14ac:dyDescent="0.4">
      <c r="A212" s="9" t="s">
        <v>641</v>
      </c>
      <c r="B212" s="9" t="s">
        <v>81</v>
      </c>
      <c r="C212" s="9">
        <v>15</v>
      </c>
      <c r="D212" s="9">
        <v>14</v>
      </c>
      <c r="E212" s="9">
        <v>30000</v>
      </c>
      <c r="F212" s="9">
        <v>0</v>
      </c>
      <c r="G212" s="9">
        <v>0</v>
      </c>
      <c r="H212" s="9">
        <v>-6.7000000000000004E-2</v>
      </c>
    </row>
    <row r="213" spans="1:8" x14ac:dyDescent="0.4">
      <c r="A213" s="9" t="s">
        <v>642</v>
      </c>
      <c r="B213" s="9" t="s">
        <v>81</v>
      </c>
      <c r="C213" s="9">
        <v>3</v>
      </c>
      <c r="D213" s="9">
        <v>10</v>
      </c>
      <c r="E213" s="9">
        <v>0</v>
      </c>
      <c r="F213" s="9">
        <v>0</v>
      </c>
      <c r="G213" s="9">
        <v>-0.4</v>
      </c>
      <c r="H213" s="9">
        <v>0.111</v>
      </c>
    </row>
  </sheetData>
  <hyperlinks>
    <hyperlink ref="J4" r:id="rId1" xr:uid="{E86E7C13-455F-43CC-AA24-665DFD21938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BBF5-31C6-42AD-8169-0130125AA4EC}">
  <dimension ref="A1:J105"/>
  <sheetViews>
    <sheetView workbookViewId="0">
      <selection sqref="A1:G1048576"/>
    </sheetView>
  </sheetViews>
  <sheetFormatPr defaultRowHeight="14.25" x14ac:dyDescent="0.45"/>
  <cols>
    <col min="2" max="2" width="9.73046875" customWidth="1"/>
    <col min="5" max="5" width="14.1328125" customWidth="1"/>
    <col min="6" max="6" width="14" customWidth="1"/>
    <col min="9" max="10" width="7.06640625" customWidth="1"/>
  </cols>
  <sheetData>
    <row r="1" spans="1:6" s="1" customFormat="1" ht="28.5" x14ac:dyDescent="0.45">
      <c r="A1" s="1" t="s">
        <v>0</v>
      </c>
      <c r="B1" s="1" t="s">
        <v>643</v>
      </c>
    </row>
    <row r="2" spans="1:6" x14ac:dyDescent="0.45">
      <c r="A2" t="s">
        <v>5</v>
      </c>
      <c r="B2" t="s">
        <v>280</v>
      </c>
      <c r="F2" s="6"/>
    </row>
    <row r="3" spans="1:6" x14ac:dyDescent="0.45">
      <c r="A3" t="s">
        <v>6</v>
      </c>
      <c r="B3" t="s">
        <v>281</v>
      </c>
      <c r="F3" s="6"/>
    </row>
    <row r="4" spans="1:6" x14ac:dyDescent="0.45">
      <c r="A4" t="s">
        <v>7</v>
      </c>
      <c r="B4" t="s">
        <v>282</v>
      </c>
      <c r="F4" s="6"/>
    </row>
    <row r="5" spans="1:6" x14ac:dyDescent="0.45">
      <c r="A5" t="s">
        <v>8</v>
      </c>
      <c r="B5" t="s">
        <v>8</v>
      </c>
      <c r="F5" s="6"/>
    </row>
    <row r="6" spans="1:6" x14ac:dyDescent="0.45">
      <c r="A6" t="s">
        <v>9</v>
      </c>
      <c r="B6" t="s">
        <v>283</v>
      </c>
      <c r="F6" s="6"/>
    </row>
    <row r="7" spans="1:6" x14ac:dyDescent="0.45">
      <c r="A7" t="s">
        <v>10</v>
      </c>
      <c r="B7" t="s">
        <v>284</v>
      </c>
      <c r="F7" s="6"/>
    </row>
    <row r="8" spans="1:6" x14ac:dyDescent="0.45">
      <c r="A8" t="s">
        <v>11</v>
      </c>
      <c r="B8" t="s">
        <v>285</v>
      </c>
      <c r="F8" s="6"/>
    </row>
    <row r="9" spans="1:6" x14ac:dyDescent="0.45">
      <c r="A9" t="s">
        <v>12</v>
      </c>
      <c r="B9" t="s">
        <v>286</v>
      </c>
      <c r="F9" s="6"/>
    </row>
    <row r="10" spans="1:6" x14ac:dyDescent="0.45">
      <c r="A10" t="s">
        <v>13</v>
      </c>
      <c r="B10" t="s">
        <v>287</v>
      </c>
      <c r="F10" s="6"/>
    </row>
    <row r="11" spans="1:6" x14ac:dyDescent="0.45">
      <c r="A11" t="s">
        <v>14</v>
      </c>
      <c r="B11" t="s">
        <v>288</v>
      </c>
      <c r="F11" s="6"/>
    </row>
    <row r="12" spans="1:6" x14ac:dyDescent="0.45">
      <c r="A12" t="s">
        <v>15</v>
      </c>
      <c r="B12" t="s">
        <v>289</v>
      </c>
      <c r="F12" s="6"/>
    </row>
    <row r="13" spans="1:6" x14ac:dyDescent="0.45">
      <c r="A13" t="s">
        <v>16</v>
      </c>
      <c r="B13" t="s">
        <v>290</v>
      </c>
      <c r="F13" s="6"/>
    </row>
    <row r="14" spans="1:6" x14ac:dyDescent="0.45">
      <c r="A14" t="s">
        <v>17</v>
      </c>
      <c r="B14" t="s">
        <v>291</v>
      </c>
      <c r="F14" s="6"/>
    </row>
    <row r="15" spans="1:6" x14ac:dyDescent="0.45">
      <c r="A15" t="s">
        <v>18</v>
      </c>
      <c r="B15" t="s">
        <v>292</v>
      </c>
      <c r="F15" s="6"/>
    </row>
    <row r="16" spans="1:6" x14ac:dyDescent="0.45">
      <c r="A16" t="s">
        <v>19</v>
      </c>
      <c r="B16" t="s">
        <v>293</v>
      </c>
      <c r="F16" s="6"/>
    </row>
    <row r="17" spans="1:6" x14ac:dyDescent="0.45">
      <c r="A17" t="s">
        <v>20</v>
      </c>
      <c r="B17" t="s">
        <v>294</v>
      </c>
      <c r="F17" s="6"/>
    </row>
    <row r="18" spans="1:6" x14ac:dyDescent="0.45">
      <c r="A18" t="s">
        <v>21</v>
      </c>
      <c r="B18" t="s">
        <v>295</v>
      </c>
      <c r="F18" s="6"/>
    </row>
    <row r="19" spans="1:6" x14ac:dyDescent="0.45">
      <c r="A19" t="s">
        <v>22</v>
      </c>
      <c r="B19" t="s">
        <v>296</v>
      </c>
      <c r="F19" s="6"/>
    </row>
    <row r="20" spans="1:6" x14ac:dyDescent="0.45">
      <c r="A20" t="s">
        <v>23</v>
      </c>
      <c r="B20" t="s">
        <v>297</v>
      </c>
      <c r="F20" s="6"/>
    </row>
    <row r="21" spans="1:6" x14ac:dyDescent="0.45">
      <c r="A21" t="s">
        <v>24</v>
      </c>
      <c r="B21" t="s">
        <v>298</v>
      </c>
      <c r="F21" s="6"/>
    </row>
    <row r="22" spans="1:6" x14ac:dyDescent="0.45">
      <c r="A22" t="s">
        <v>25</v>
      </c>
      <c r="B22" t="s">
        <v>299</v>
      </c>
      <c r="F22" s="6"/>
    </row>
    <row r="23" spans="1:6" x14ac:dyDescent="0.45">
      <c r="A23" t="s">
        <v>26</v>
      </c>
      <c r="B23" t="s">
        <v>300</v>
      </c>
      <c r="F23" s="6"/>
    </row>
    <row r="24" spans="1:6" x14ac:dyDescent="0.45">
      <c r="A24" t="s">
        <v>27</v>
      </c>
      <c r="B24" t="s">
        <v>301</v>
      </c>
      <c r="F24" s="6"/>
    </row>
    <row r="25" spans="1:6" x14ac:dyDescent="0.45">
      <c r="A25" t="s">
        <v>28</v>
      </c>
      <c r="B25" t="s">
        <v>302</v>
      </c>
      <c r="F25" s="6"/>
    </row>
    <row r="26" spans="1:6" x14ac:dyDescent="0.45">
      <c r="A26" t="s">
        <v>29</v>
      </c>
      <c r="B26" t="s">
        <v>303</v>
      </c>
      <c r="F26" s="6"/>
    </row>
    <row r="27" spans="1:6" x14ac:dyDescent="0.45">
      <c r="A27" t="s">
        <v>30</v>
      </c>
      <c r="B27" t="s">
        <v>304</v>
      </c>
      <c r="F27" s="6"/>
    </row>
    <row r="28" spans="1:6" x14ac:dyDescent="0.45">
      <c r="A28" t="s">
        <v>31</v>
      </c>
      <c r="B28" t="s">
        <v>305</v>
      </c>
      <c r="F28" s="6"/>
    </row>
    <row r="29" spans="1:6" x14ac:dyDescent="0.45">
      <c r="A29" t="s">
        <v>32</v>
      </c>
      <c r="B29" t="s">
        <v>306</v>
      </c>
      <c r="F29" s="6"/>
    </row>
    <row r="30" spans="1:6" x14ac:dyDescent="0.45">
      <c r="A30" t="s">
        <v>33</v>
      </c>
      <c r="B30" t="s">
        <v>307</v>
      </c>
      <c r="F30" s="6"/>
    </row>
    <row r="31" spans="1:6" x14ac:dyDescent="0.45">
      <c r="A31" t="s">
        <v>34</v>
      </c>
      <c r="B31" t="s">
        <v>308</v>
      </c>
      <c r="F31" s="6"/>
    </row>
    <row r="32" spans="1:6" x14ac:dyDescent="0.45">
      <c r="A32" t="s">
        <v>35</v>
      </c>
      <c r="B32" t="s">
        <v>309</v>
      </c>
      <c r="F32" s="6"/>
    </row>
    <row r="33" spans="1:6" x14ac:dyDescent="0.45">
      <c r="A33" t="s">
        <v>36</v>
      </c>
      <c r="B33" t="s">
        <v>310</v>
      </c>
      <c r="F33" s="6"/>
    </row>
    <row r="34" spans="1:6" x14ac:dyDescent="0.45">
      <c r="A34" t="s">
        <v>37</v>
      </c>
      <c r="B34" t="s">
        <v>311</v>
      </c>
      <c r="F34" s="6"/>
    </row>
    <row r="35" spans="1:6" x14ac:dyDescent="0.45">
      <c r="A35" t="s">
        <v>38</v>
      </c>
      <c r="B35" t="s">
        <v>312</v>
      </c>
      <c r="F35" s="6"/>
    </row>
    <row r="36" spans="1:6" x14ac:dyDescent="0.45">
      <c r="A36" t="s">
        <v>39</v>
      </c>
      <c r="B36" t="s">
        <v>313</v>
      </c>
      <c r="F36" s="6"/>
    </row>
    <row r="37" spans="1:6" x14ac:dyDescent="0.45">
      <c r="A37" t="s">
        <v>40</v>
      </c>
      <c r="B37" t="s">
        <v>314</v>
      </c>
      <c r="F37" s="6"/>
    </row>
    <row r="38" spans="1:6" x14ac:dyDescent="0.45">
      <c r="A38" t="s">
        <v>41</v>
      </c>
      <c r="B38" t="s">
        <v>315</v>
      </c>
      <c r="F38" s="6"/>
    </row>
    <row r="39" spans="1:6" x14ac:dyDescent="0.45">
      <c r="A39" t="s">
        <v>42</v>
      </c>
      <c r="B39" t="s">
        <v>316</v>
      </c>
      <c r="F39" s="6"/>
    </row>
    <row r="40" spans="1:6" x14ac:dyDescent="0.45">
      <c r="A40" t="s">
        <v>43</v>
      </c>
      <c r="B40" t="s">
        <v>289</v>
      </c>
      <c r="F40" s="6"/>
    </row>
    <row r="41" spans="1:6" x14ac:dyDescent="0.45">
      <c r="A41" t="s">
        <v>44</v>
      </c>
      <c r="B41" t="s">
        <v>317</v>
      </c>
      <c r="F41" s="6"/>
    </row>
    <row r="42" spans="1:6" x14ac:dyDescent="0.45">
      <c r="A42" t="s">
        <v>45</v>
      </c>
      <c r="B42" t="s">
        <v>318</v>
      </c>
      <c r="F42" s="6"/>
    </row>
    <row r="43" spans="1:6" x14ac:dyDescent="0.45">
      <c r="A43" t="s">
        <v>46</v>
      </c>
      <c r="B43" t="s">
        <v>319</v>
      </c>
      <c r="F43" s="6"/>
    </row>
    <row r="44" spans="1:6" x14ac:dyDescent="0.45">
      <c r="A44" t="s">
        <v>47</v>
      </c>
      <c r="B44" t="s">
        <v>320</v>
      </c>
      <c r="F44" s="6"/>
    </row>
    <row r="45" spans="1:6" x14ac:dyDescent="0.45">
      <c r="A45" t="s">
        <v>48</v>
      </c>
      <c r="B45" t="s">
        <v>321</v>
      </c>
      <c r="F45" s="6"/>
    </row>
    <row r="46" spans="1:6" x14ac:dyDescent="0.45">
      <c r="A46" t="s">
        <v>49</v>
      </c>
      <c r="B46" t="s">
        <v>322</v>
      </c>
      <c r="F46" s="6"/>
    </row>
    <row r="47" spans="1:6" x14ac:dyDescent="0.45">
      <c r="A47" t="s">
        <v>50</v>
      </c>
      <c r="B47" t="s">
        <v>323</v>
      </c>
      <c r="F47" s="6"/>
    </row>
    <row r="48" spans="1:6" x14ac:dyDescent="0.45">
      <c r="A48" t="s">
        <v>51</v>
      </c>
      <c r="B48" t="s">
        <v>324</v>
      </c>
      <c r="F48" s="6"/>
    </row>
    <row r="49" spans="1:10" x14ac:dyDescent="0.45">
      <c r="A49" t="s">
        <v>52</v>
      </c>
      <c r="B49" t="s">
        <v>325</v>
      </c>
      <c r="F49" s="6"/>
    </row>
    <row r="50" spans="1:10" x14ac:dyDescent="0.45">
      <c r="F50" s="6"/>
    </row>
    <row r="51" spans="1:10" x14ac:dyDescent="0.45">
      <c r="F51" s="6"/>
    </row>
    <row r="52" spans="1:10" x14ac:dyDescent="0.45">
      <c r="F52" s="6"/>
    </row>
    <row r="53" spans="1:10" x14ac:dyDescent="0.45">
      <c r="F53" s="6"/>
    </row>
    <row r="54" spans="1:10" x14ac:dyDescent="0.45">
      <c r="F54" s="6"/>
    </row>
    <row r="55" spans="1:10" x14ac:dyDescent="0.45">
      <c r="F55" s="6"/>
    </row>
    <row r="56" spans="1:10" x14ac:dyDescent="0.45">
      <c r="F56" s="6"/>
    </row>
    <row r="57" spans="1:10" x14ac:dyDescent="0.45">
      <c r="F57" s="6"/>
    </row>
    <row r="58" spans="1:10" x14ac:dyDescent="0.45">
      <c r="F58" s="6"/>
    </row>
    <row r="59" spans="1:10" x14ac:dyDescent="0.45">
      <c r="F59" s="6"/>
    </row>
    <row r="60" spans="1:10" x14ac:dyDescent="0.45">
      <c r="F60" s="6"/>
    </row>
    <row r="61" spans="1:10" x14ac:dyDescent="0.45">
      <c r="F61" s="6"/>
    </row>
    <row r="62" spans="1:10" x14ac:dyDescent="0.45">
      <c r="F62" s="6"/>
    </row>
    <row r="63" spans="1:10" x14ac:dyDescent="0.45">
      <c r="F63" s="6"/>
    </row>
    <row r="64" spans="1:10" x14ac:dyDescent="0.45">
      <c r="F64" s="6"/>
      <c r="J64" s="15"/>
    </row>
    <row r="65" spans="6:6" x14ac:dyDescent="0.45">
      <c r="F65" s="6"/>
    </row>
    <row r="66" spans="6:6" x14ac:dyDescent="0.45">
      <c r="F66" s="6"/>
    </row>
    <row r="67" spans="6:6" x14ac:dyDescent="0.45">
      <c r="F67" s="6"/>
    </row>
    <row r="68" spans="6:6" x14ac:dyDescent="0.45">
      <c r="F68" s="6"/>
    </row>
    <row r="69" spans="6:6" x14ac:dyDescent="0.45">
      <c r="F69" s="6"/>
    </row>
    <row r="70" spans="6:6" x14ac:dyDescent="0.45">
      <c r="F70" s="6"/>
    </row>
    <row r="71" spans="6:6" x14ac:dyDescent="0.45">
      <c r="F71" s="6"/>
    </row>
    <row r="72" spans="6:6" x14ac:dyDescent="0.45">
      <c r="F72" s="6"/>
    </row>
    <row r="73" spans="6:6" x14ac:dyDescent="0.45">
      <c r="F73" s="6"/>
    </row>
    <row r="74" spans="6:6" x14ac:dyDescent="0.45">
      <c r="F74" s="6"/>
    </row>
    <row r="75" spans="6:6" x14ac:dyDescent="0.45">
      <c r="F75" s="6"/>
    </row>
    <row r="76" spans="6:6" x14ac:dyDescent="0.45">
      <c r="F76" s="6"/>
    </row>
    <row r="77" spans="6:6" x14ac:dyDescent="0.45">
      <c r="F77" s="6"/>
    </row>
    <row r="78" spans="6:6" x14ac:dyDescent="0.45">
      <c r="F78" s="6"/>
    </row>
    <row r="79" spans="6:6" x14ac:dyDescent="0.45">
      <c r="F79" s="6"/>
    </row>
    <row r="80" spans="6:6" x14ac:dyDescent="0.45">
      <c r="F80" s="6"/>
    </row>
    <row r="81" spans="6:6" x14ac:dyDescent="0.45">
      <c r="F81" s="6"/>
    </row>
    <row r="82" spans="6:6" x14ac:dyDescent="0.45">
      <c r="F82" s="6"/>
    </row>
    <row r="83" spans="6:6" x14ac:dyDescent="0.45">
      <c r="F83" s="6"/>
    </row>
    <row r="84" spans="6:6" x14ac:dyDescent="0.45">
      <c r="F84" s="6"/>
    </row>
    <row r="85" spans="6:6" x14ac:dyDescent="0.45">
      <c r="F85" s="6"/>
    </row>
    <row r="86" spans="6:6" x14ac:dyDescent="0.45">
      <c r="F86" s="6"/>
    </row>
    <row r="87" spans="6:6" x14ac:dyDescent="0.45">
      <c r="F87" s="6"/>
    </row>
    <row r="88" spans="6:6" x14ac:dyDescent="0.45">
      <c r="F88" s="6"/>
    </row>
    <row r="89" spans="6:6" x14ac:dyDescent="0.45">
      <c r="F89" s="6"/>
    </row>
    <row r="90" spans="6:6" x14ac:dyDescent="0.45">
      <c r="F90" s="6"/>
    </row>
    <row r="91" spans="6:6" x14ac:dyDescent="0.45">
      <c r="F91" s="6"/>
    </row>
    <row r="92" spans="6:6" x14ac:dyDescent="0.45">
      <c r="F92" s="6"/>
    </row>
    <row r="93" spans="6:6" x14ac:dyDescent="0.45">
      <c r="F93" s="6"/>
    </row>
    <row r="94" spans="6:6" x14ac:dyDescent="0.45">
      <c r="F94" s="6"/>
    </row>
    <row r="95" spans="6:6" x14ac:dyDescent="0.45">
      <c r="F95" s="6"/>
    </row>
    <row r="96" spans="6:6" x14ac:dyDescent="0.45">
      <c r="F96" s="6"/>
    </row>
    <row r="97" spans="6:6" x14ac:dyDescent="0.45">
      <c r="F97" s="6"/>
    </row>
    <row r="98" spans="6:6" x14ac:dyDescent="0.45">
      <c r="F98" s="6"/>
    </row>
    <row r="99" spans="6:6" x14ac:dyDescent="0.45">
      <c r="F99" s="6"/>
    </row>
    <row r="100" spans="6:6" x14ac:dyDescent="0.45">
      <c r="F100" s="6"/>
    </row>
    <row r="101" spans="6:6" x14ac:dyDescent="0.45">
      <c r="F101" s="6"/>
    </row>
    <row r="102" spans="6:6" x14ac:dyDescent="0.45">
      <c r="F102" s="6"/>
    </row>
    <row r="103" spans="6:6" x14ac:dyDescent="0.45">
      <c r="F103" s="6"/>
    </row>
    <row r="104" spans="6:6" x14ac:dyDescent="0.45">
      <c r="F104" s="6"/>
    </row>
    <row r="105" spans="6:6" x14ac:dyDescent="0.45">
      <c r="F105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A336-4444-46F0-BF73-4054705C30EA}">
  <dimension ref="A1:G105"/>
  <sheetViews>
    <sheetView topLeftCell="A4" workbookViewId="0">
      <selection sqref="A1:G1048576"/>
    </sheetView>
  </sheetViews>
  <sheetFormatPr defaultRowHeight="14.25" x14ac:dyDescent="0.45"/>
  <sheetData>
    <row r="1" spans="1:7" x14ac:dyDescent="0.45">
      <c r="A1" t="s">
        <v>644</v>
      </c>
      <c r="B1" t="s">
        <v>645</v>
      </c>
      <c r="C1" t="s">
        <v>267</v>
      </c>
      <c r="D1" t="s">
        <v>646</v>
      </c>
      <c r="E1" t="s">
        <v>647</v>
      </c>
      <c r="F1" t="s">
        <v>327</v>
      </c>
      <c r="G1" t="s">
        <v>328</v>
      </c>
    </row>
    <row r="2" spans="1:7" x14ac:dyDescent="0.45">
      <c r="A2">
        <v>1</v>
      </c>
      <c r="B2">
        <v>1</v>
      </c>
      <c r="C2">
        <v>46184.791669999999</v>
      </c>
      <c r="D2" t="s">
        <v>5</v>
      </c>
      <c r="E2" t="s">
        <v>43</v>
      </c>
      <c r="F2" t="s">
        <v>280</v>
      </c>
      <c r="G2" t="s">
        <v>289</v>
      </c>
    </row>
    <row r="3" spans="1:7" x14ac:dyDescent="0.45">
      <c r="A3">
        <v>1</v>
      </c>
      <c r="B3">
        <v>1</v>
      </c>
      <c r="C3">
        <v>46185.083330000001</v>
      </c>
      <c r="D3" t="s">
        <v>198</v>
      </c>
      <c r="E3" t="s">
        <v>254</v>
      </c>
      <c r="F3" t="s">
        <v>281</v>
      </c>
      <c r="G3" t="s">
        <v>304</v>
      </c>
    </row>
    <row r="4" spans="1:7" x14ac:dyDescent="0.45">
      <c r="A4">
        <v>1</v>
      </c>
      <c r="B4">
        <v>1</v>
      </c>
      <c r="C4">
        <v>46185.791669999999</v>
      </c>
      <c r="D4" t="s">
        <v>7</v>
      </c>
      <c r="E4" t="s">
        <v>497</v>
      </c>
      <c r="F4" t="s">
        <v>282</v>
      </c>
      <c r="G4" t="s">
        <v>316</v>
      </c>
    </row>
    <row r="5" spans="1:7" x14ac:dyDescent="0.45">
      <c r="A5">
        <v>1</v>
      </c>
      <c r="B5">
        <v>1</v>
      </c>
      <c r="C5">
        <v>46186.041669999999</v>
      </c>
      <c r="D5" t="s">
        <v>8</v>
      </c>
      <c r="E5" t="s">
        <v>47</v>
      </c>
      <c r="F5" t="s">
        <v>8</v>
      </c>
      <c r="G5" t="s">
        <v>320</v>
      </c>
    </row>
    <row r="6" spans="1:7" x14ac:dyDescent="0.45">
      <c r="A6">
        <v>1</v>
      </c>
      <c r="B6">
        <v>1</v>
      </c>
      <c r="C6">
        <v>46186.791669999999</v>
      </c>
      <c r="D6" t="s">
        <v>9</v>
      </c>
      <c r="E6" t="s">
        <v>27</v>
      </c>
      <c r="F6" t="s">
        <v>283</v>
      </c>
      <c r="G6" t="s">
        <v>301</v>
      </c>
    </row>
    <row r="7" spans="1:7" x14ac:dyDescent="0.45">
      <c r="A7">
        <v>1</v>
      </c>
      <c r="B7">
        <v>1</v>
      </c>
      <c r="C7">
        <v>46186.916669999999</v>
      </c>
      <c r="D7" t="s">
        <v>10</v>
      </c>
      <c r="E7" t="s">
        <v>39</v>
      </c>
      <c r="F7" t="s">
        <v>284</v>
      </c>
      <c r="G7" t="s">
        <v>313</v>
      </c>
    </row>
    <row r="8" spans="1:7" x14ac:dyDescent="0.45">
      <c r="A8">
        <v>1</v>
      </c>
      <c r="B8">
        <v>1</v>
      </c>
      <c r="C8">
        <v>46187.041669999999</v>
      </c>
      <c r="D8" t="s">
        <v>11</v>
      </c>
      <c r="E8" t="s">
        <v>31</v>
      </c>
      <c r="F8" t="s">
        <v>285</v>
      </c>
      <c r="G8" t="s">
        <v>305</v>
      </c>
    </row>
    <row r="9" spans="1:7" x14ac:dyDescent="0.45">
      <c r="A9">
        <v>1</v>
      </c>
      <c r="B9">
        <v>1</v>
      </c>
      <c r="C9">
        <v>46187.166669999999</v>
      </c>
      <c r="D9" t="s">
        <v>12</v>
      </c>
      <c r="E9" t="s">
        <v>195</v>
      </c>
      <c r="F9" t="s">
        <v>286</v>
      </c>
      <c r="G9" t="s">
        <v>306</v>
      </c>
    </row>
    <row r="10" spans="1:7" x14ac:dyDescent="0.45">
      <c r="A10">
        <v>1</v>
      </c>
      <c r="B10">
        <v>1</v>
      </c>
      <c r="C10">
        <v>46187.708330000001</v>
      </c>
      <c r="D10" t="s">
        <v>13</v>
      </c>
      <c r="E10" t="s">
        <v>264</v>
      </c>
      <c r="F10" t="s">
        <v>287</v>
      </c>
      <c r="G10" t="s">
        <v>317</v>
      </c>
    </row>
    <row r="11" spans="1:7" x14ac:dyDescent="0.45">
      <c r="A11">
        <v>1</v>
      </c>
      <c r="B11">
        <v>1</v>
      </c>
      <c r="C11">
        <v>46187.833330000001</v>
      </c>
      <c r="D11" t="s">
        <v>14</v>
      </c>
      <c r="E11" t="s">
        <v>46</v>
      </c>
      <c r="F11" t="s">
        <v>288</v>
      </c>
      <c r="G11" t="s">
        <v>319</v>
      </c>
    </row>
    <row r="12" spans="1:7" x14ac:dyDescent="0.45">
      <c r="A12">
        <v>1</v>
      </c>
      <c r="B12">
        <v>1</v>
      </c>
      <c r="C12">
        <v>46187.958330000001</v>
      </c>
      <c r="D12" t="s">
        <v>224</v>
      </c>
      <c r="E12" t="s">
        <v>35</v>
      </c>
      <c r="F12" t="s">
        <v>292</v>
      </c>
      <c r="G12" t="s">
        <v>309</v>
      </c>
    </row>
    <row r="13" spans="1:7" x14ac:dyDescent="0.45">
      <c r="A13">
        <v>1</v>
      </c>
      <c r="B13">
        <v>1</v>
      </c>
      <c r="C13">
        <v>46188.083330000001</v>
      </c>
      <c r="D13" t="s">
        <v>17</v>
      </c>
      <c r="E13" t="s">
        <v>34</v>
      </c>
      <c r="F13" t="s">
        <v>291</v>
      </c>
      <c r="G13" t="s">
        <v>308</v>
      </c>
    </row>
    <row r="14" spans="1:7" x14ac:dyDescent="0.45">
      <c r="A14">
        <v>1</v>
      </c>
      <c r="B14">
        <v>1</v>
      </c>
      <c r="C14">
        <v>46188.666669999999</v>
      </c>
      <c r="D14" t="s">
        <v>19</v>
      </c>
      <c r="E14" t="s">
        <v>261</v>
      </c>
      <c r="F14" t="s">
        <v>293</v>
      </c>
      <c r="G14" t="s">
        <v>321</v>
      </c>
    </row>
    <row r="15" spans="1:7" x14ac:dyDescent="0.45">
      <c r="A15">
        <v>1</v>
      </c>
      <c r="B15">
        <v>1</v>
      </c>
      <c r="C15">
        <v>46188.791669999999</v>
      </c>
      <c r="D15" t="s">
        <v>16</v>
      </c>
      <c r="E15" t="s">
        <v>49</v>
      </c>
      <c r="F15" t="s">
        <v>290</v>
      </c>
      <c r="G15" t="s">
        <v>322</v>
      </c>
    </row>
    <row r="16" spans="1:7" x14ac:dyDescent="0.45">
      <c r="A16">
        <v>1</v>
      </c>
      <c r="B16">
        <v>1</v>
      </c>
      <c r="C16">
        <v>46188.916669999999</v>
      </c>
      <c r="D16" t="s">
        <v>15</v>
      </c>
      <c r="E16" t="s">
        <v>33</v>
      </c>
      <c r="F16" t="s">
        <v>352</v>
      </c>
      <c r="G16" t="s">
        <v>307</v>
      </c>
    </row>
    <row r="17" spans="1:7" x14ac:dyDescent="0.45">
      <c r="A17">
        <v>1</v>
      </c>
      <c r="B17">
        <v>1</v>
      </c>
      <c r="C17">
        <v>46189.041669999999</v>
      </c>
      <c r="D17" t="s">
        <v>245</v>
      </c>
      <c r="E17" t="s">
        <v>36</v>
      </c>
      <c r="F17" t="s">
        <v>294</v>
      </c>
      <c r="G17" t="s">
        <v>310</v>
      </c>
    </row>
    <row r="18" spans="1:7" x14ac:dyDescent="0.45">
      <c r="A18">
        <v>1</v>
      </c>
      <c r="B18">
        <v>1</v>
      </c>
      <c r="C18">
        <v>46189.791669999999</v>
      </c>
      <c r="D18" t="s">
        <v>21</v>
      </c>
      <c r="E18" t="s">
        <v>45</v>
      </c>
      <c r="F18" t="s">
        <v>295</v>
      </c>
      <c r="G18" t="s">
        <v>318</v>
      </c>
    </row>
    <row r="19" spans="1:7" x14ac:dyDescent="0.45">
      <c r="A19">
        <v>1</v>
      </c>
      <c r="B19">
        <v>1</v>
      </c>
      <c r="C19">
        <v>46189.916669999999</v>
      </c>
      <c r="D19" t="s">
        <v>22</v>
      </c>
      <c r="E19" t="s">
        <v>37</v>
      </c>
      <c r="F19" t="s">
        <v>296</v>
      </c>
      <c r="G19" t="s">
        <v>311</v>
      </c>
    </row>
    <row r="20" spans="1:7" x14ac:dyDescent="0.45">
      <c r="A20">
        <v>1</v>
      </c>
      <c r="B20">
        <v>1</v>
      </c>
      <c r="C20">
        <v>46190.041669999999</v>
      </c>
      <c r="D20" t="s">
        <v>23</v>
      </c>
      <c r="E20" t="s">
        <v>52</v>
      </c>
      <c r="F20" t="s">
        <v>297</v>
      </c>
      <c r="G20" t="s">
        <v>325</v>
      </c>
    </row>
    <row r="21" spans="1:7" x14ac:dyDescent="0.45">
      <c r="A21">
        <v>1</v>
      </c>
      <c r="B21">
        <v>1</v>
      </c>
      <c r="C21">
        <v>46190.166669999999</v>
      </c>
      <c r="D21" t="s">
        <v>24</v>
      </c>
      <c r="E21" t="s">
        <v>38</v>
      </c>
      <c r="F21" t="s">
        <v>298</v>
      </c>
      <c r="G21" t="s">
        <v>312</v>
      </c>
    </row>
    <row r="22" spans="1:7" x14ac:dyDescent="0.45">
      <c r="A22">
        <v>1</v>
      </c>
      <c r="B22">
        <v>1</v>
      </c>
      <c r="C22">
        <v>46190.708330000001</v>
      </c>
      <c r="D22" t="s">
        <v>25</v>
      </c>
      <c r="E22" t="s">
        <v>240</v>
      </c>
      <c r="F22" t="s">
        <v>299</v>
      </c>
      <c r="G22" t="s">
        <v>324</v>
      </c>
    </row>
    <row r="23" spans="1:7" x14ac:dyDescent="0.45">
      <c r="A23">
        <v>1</v>
      </c>
      <c r="B23">
        <v>1</v>
      </c>
      <c r="C23">
        <v>46190.833330000001</v>
      </c>
      <c r="D23" t="s">
        <v>26</v>
      </c>
      <c r="E23" t="s">
        <v>50</v>
      </c>
      <c r="F23" t="s">
        <v>300</v>
      </c>
      <c r="G23" t="s">
        <v>323</v>
      </c>
    </row>
    <row r="24" spans="1:7" x14ac:dyDescent="0.45">
      <c r="A24">
        <v>1</v>
      </c>
      <c r="B24">
        <v>1</v>
      </c>
      <c r="C24">
        <v>46190.958330000001</v>
      </c>
      <c r="D24" t="s">
        <v>29</v>
      </c>
      <c r="E24" t="s">
        <v>41</v>
      </c>
      <c r="F24" t="s">
        <v>303</v>
      </c>
      <c r="G24" t="s">
        <v>315</v>
      </c>
    </row>
    <row r="25" spans="1:7" x14ac:dyDescent="0.45">
      <c r="A25">
        <v>1</v>
      </c>
      <c r="B25">
        <v>1</v>
      </c>
      <c r="C25">
        <v>46191.083330000001</v>
      </c>
      <c r="D25" t="s">
        <v>28</v>
      </c>
      <c r="E25" t="s">
        <v>40</v>
      </c>
      <c r="F25" t="s">
        <v>302</v>
      </c>
      <c r="G25" t="s">
        <v>314</v>
      </c>
    </row>
    <row r="26" spans="1:7" x14ac:dyDescent="0.45">
      <c r="A26">
        <v>2</v>
      </c>
      <c r="B26">
        <v>2</v>
      </c>
      <c r="C26">
        <v>46191.666669999999</v>
      </c>
      <c r="D26" t="s">
        <v>254</v>
      </c>
      <c r="E26" t="s">
        <v>43</v>
      </c>
      <c r="F26" t="s">
        <v>304</v>
      </c>
      <c r="G26" t="s">
        <v>289</v>
      </c>
    </row>
    <row r="27" spans="1:7" x14ac:dyDescent="0.45">
      <c r="A27">
        <v>2</v>
      </c>
      <c r="B27">
        <v>2</v>
      </c>
      <c r="C27">
        <v>46191.791669999999</v>
      </c>
      <c r="D27" t="s">
        <v>27</v>
      </c>
      <c r="E27" t="s">
        <v>497</v>
      </c>
      <c r="F27" t="s">
        <v>301</v>
      </c>
      <c r="G27" t="s">
        <v>316</v>
      </c>
    </row>
    <row r="28" spans="1:7" x14ac:dyDescent="0.45">
      <c r="A28">
        <v>2</v>
      </c>
      <c r="B28">
        <v>2</v>
      </c>
      <c r="C28">
        <v>46191.916669999999</v>
      </c>
      <c r="D28" t="s">
        <v>7</v>
      </c>
      <c r="E28" t="s">
        <v>9</v>
      </c>
      <c r="F28" t="s">
        <v>282</v>
      </c>
      <c r="G28" t="s">
        <v>283</v>
      </c>
    </row>
    <row r="29" spans="1:7" x14ac:dyDescent="0.45">
      <c r="A29">
        <v>2</v>
      </c>
      <c r="B29">
        <v>2</v>
      </c>
      <c r="C29">
        <v>46192.041669999999</v>
      </c>
      <c r="D29" t="s">
        <v>5</v>
      </c>
      <c r="E29" t="s">
        <v>198</v>
      </c>
      <c r="F29" t="s">
        <v>280</v>
      </c>
      <c r="G29" t="s">
        <v>281</v>
      </c>
    </row>
    <row r="30" spans="1:7" x14ac:dyDescent="0.45">
      <c r="A30">
        <v>2</v>
      </c>
      <c r="B30">
        <v>2</v>
      </c>
      <c r="C30">
        <v>46192.791669999999</v>
      </c>
      <c r="D30" t="s">
        <v>8</v>
      </c>
      <c r="E30" t="s">
        <v>12</v>
      </c>
      <c r="F30" t="s">
        <v>8</v>
      </c>
      <c r="G30" t="s">
        <v>286</v>
      </c>
    </row>
    <row r="31" spans="1:7" x14ac:dyDescent="0.45">
      <c r="A31">
        <v>2</v>
      </c>
      <c r="B31">
        <v>2</v>
      </c>
      <c r="C31">
        <v>46192.916669999999</v>
      </c>
      <c r="D31" t="s">
        <v>31</v>
      </c>
      <c r="E31" t="s">
        <v>39</v>
      </c>
      <c r="F31" t="s">
        <v>305</v>
      </c>
      <c r="G31" t="s">
        <v>313</v>
      </c>
    </row>
    <row r="32" spans="1:7" x14ac:dyDescent="0.45">
      <c r="A32">
        <v>2</v>
      </c>
      <c r="B32">
        <v>2</v>
      </c>
      <c r="C32">
        <v>46193.020830000001</v>
      </c>
      <c r="D32" t="s">
        <v>10</v>
      </c>
      <c r="E32" t="s">
        <v>11</v>
      </c>
      <c r="F32" t="s">
        <v>284</v>
      </c>
      <c r="G32" t="s">
        <v>285</v>
      </c>
    </row>
    <row r="33" spans="1:7" x14ac:dyDescent="0.45">
      <c r="A33">
        <v>2</v>
      </c>
      <c r="B33">
        <v>2</v>
      </c>
      <c r="C33">
        <v>46193.125</v>
      </c>
      <c r="D33" t="s">
        <v>195</v>
      </c>
      <c r="E33" t="s">
        <v>47</v>
      </c>
      <c r="F33" t="s">
        <v>306</v>
      </c>
      <c r="G33" t="s">
        <v>320</v>
      </c>
    </row>
    <row r="34" spans="1:7" x14ac:dyDescent="0.45">
      <c r="A34">
        <v>2</v>
      </c>
      <c r="B34">
        <v>2</v>
      </c>
      <c r="C34">
        <v>46193.708330000001</v>
      </c>
      <c r="D34" t="s">
        <v>14</v>
      </c>
      <c r="E34" t="s">
        <v>17</v>
      </c>
      <c r="F34" t="s">
        <v>288</v>
      </c>
      <c r="G34" t="s">
        <v>291</v>
      </c>
    </row>
    <row r="35" spans="1:7" x14ac:dyDescent="0.45">
      <c r="A35">
        <v>2</v>
      </c>
      <c r="B35">
        <v>2</v>
      </c>
      <c r="C35">
        <v>46193.833330000001</v>
      </c>
      <c r="D35" t="s">
        <v>13</v>
      </c>
      <c r="E35" t="s">
        <v>224</v>
      </c>
      <c r="F35" t="s">
        <v>287</v>
      </c>
      <c r="G35" t="s">
        <v>292</v>
      </c>
    </row>
    <row r="36" spans="1:7" x14ac:dyDescent="0.45">
      <c r="A36">
        <v>2</v>
      </c>
      <c r="B36">
        <v>2</v>
      </c>
      <c r="C36">
        <v>46194</v>
      </c>
      <c r="D36" t="s">
        <v>35</v>
      </c>
      <c r="E36" t="s">
        <v>264</v>
      </c>
      <c r="F36" t="s">
        <v>309</v>
      </c>
      <c r="G36" t="s">
        <v>317</v>
      </c>
    </row>
    <row r="37" spans="1:7" x14ac:dyDescent="0.45">
      <c r="A37">
        <v>2</v>
      </c>
      <c r="B37">
        <v>2</v>
      </c>
      <c r="C37">
        <v>46194.166669999999</v>
      </c>
      <c r="D37" t="s">
        <v>34</v>
      </c>
      <c r="E37" t="s">
        <v>46</v>
      </c>
      <c r="F37" t="s">
        <v>308</v>
      </c>
      <c r="G37" t="s">
        <v>319</v>
      </c>
    </row>
    <row r="38" spans="1:7" x14ac:dyDescent="0.45">
      <c r="A38">
        <v>2</v>
      </c>
      <c r="B38">
        <v>2</v>
      </c>
      <c r="C38">
        <v>46194.666669999999</v>
      </c>
      <c r="D38" t="s">
        <v>19</v>
      </c>
      <c r="E38" t="s">
        <v>15</v>
      </c>
      <c r="F38" t="s">
        <v>293</v>
      </c>
      <c r="G38" t="s">
        <v>352</v>
      </c>
    </row>
    <row r="39" spans="1:7" x14ac:dyDescent="0.45">
      <c r="A39">
        <v>2</v>
      </c>
      <c r="B39">
        <v>2</v>
      </c>
      <c r="C39">
        <v>46194.791669999999</v>
      </c>
      <c r="D39" t="s">
        <v>16</v>
      </c>
      <c r="E39" t="s">
        <v>245</v>
      </c>
      <c r="F39" t="s">
        <v>290</v>
      </c>
      <c r="G39" t="s">
        <v>294</v>
      </c>
    </row>
    <row r="40" spans="1:7" x14ac:dyDescent="0.45">
      <c r="A40">
        <v>2</v>
      </c>
      <c r="B40">
        <v>2</v>
      </c>
      <c r="C40">
        <v>46194.916669999999</v>
      </c>
      <c r="D40" t="s">
        <v>33</v>
      </c>
      <c r="E40" t="s">
        <v>261</v>
      </c>
      <c r="F40" t="s">
        <v>307</v>
      </c>
      <c r="G40" t="s">
        <v>321</v>
      </c>
    </row>
    <row r="41" spans="1:7" x14ac:dyDescent="0.45">
      <c r="A41">
        <v>2</v>
      </c>
      <c r="B41">
        <v>2</v>
      </c>
      <c r="C41">
        <v>46195.041669999999</v>
      </c>
      <c r="D41" t="s">
        <v>36</v>
      </c>
      <c r="E41" t="s">
        <v>49</v>
      </c>
      <c r="F41" t="s">
        <v>310</v>
      </c>
      <c r="G41" t="s">
        <v>322</v>
      </c>
    </row>
    <row r="42" spans="1:7" x14ac:dyDescent="0.45">
      <c r="A42">
        <v>2</v>
      </c>
      <c r="B42">
        <v>2</v>
      </c>
      <c r="C42">
        <v>46195.708330000001</v>
      </c>
      <c r="D42" t="s">
        <v>23</v>
      </c>
      <c r="E42" t="s">
        <v>24</v>
      </c>
      <c r="F42" t="s">
        <v>297</v>
      </c>
      <c r="G42" t="s">
        <v>298</v>
      </c>
    </row>
    <row r="43" spans="1:7" x14ac:dyDescent="0.45">
      <c r="A43">
        <v>2</v>
      </c>
      <c r="B43">
        <v>2</v>
      </c>
      <c r="C43">
        <v>46195.875</v>
      </c>
      <c r="D43" t="s">
        <v>21</v>
      </c>
      <c r="E43" t="s">
        <v>22</v>
      </c>
      <c r="F43" t="s">
        <v>295</v>
      </c>
      <c r="G43" t="s">
        <v>296</v>
      </c>
    </row>
    <row r="44" spans="1:7" x14ac:dyDescent="0.45">
      <c r="A44">
        <v>2</v>
      </c>
      <c r="B44">
        <v>2</v>
      </c>
      <c r="C44">
        <v>46196</v>
      </c>
      <c r="D44" t="s">
        <v>37</v>
      </c>
      <c r="E44" t="s">
        <v>45</v>
      </c>
      <c r="F44" t="s">
        <v>311</v>
      </c>
      <c r="G44" t="s">
        <v>318</v>
      </c>
    </row>
    <row r="45" spans="1:7" x14ac:dyDescent="0.45">
      <c r="A45">
        <v>2</v>
      </c>
      <c r="B45">
        <v>2</v>
      </c>
      <c r="C45">
        <v>46196.125</v>
      </c>
      <c r="D45" t="s">
        <v>38</v>
      </c>
      <c r="E45" t="s">
        <v>52</v>
      </c>
      <c r="F45" t="s">
        <v>312</v>
      </c>
      <c r="G45" t="s">
        <v>325</v>
      </c>
    </row>
    <row r="46" spans="1:7" x14ac:dyDescent="0.45">
      <c r="A46">
        <v>2</v>
      </c>
      <c r="B46">
        <v>2</v>
      </c>
      <c r="C46">
        <v>46196.708330000001</v>
      </c>
      <c r="D46" t="s">
        <v>25</v>
      </c>
      <c r="E46" t="s">
        <v>28</v>
      </c>
      <c r="F46" t="s">
        <v>299</v>
      </c>
      <c r="G46" t="s">
        <v>302</v>
      </c>
    </row>
    <row r="47" spans="1:7" x14ac:dyDescent="0.45">
      <c r="A47">
        <v>2</v>
      </c>
      <c r="B47">
        <v>2</v>
      </c>
      <c r="C47">
        <v>46196.833330000001</v>
      </c>
      <c r="D47" t="s">
        <v>26</v>
      </c>
      <c r="E47" t="s">
        <v>29</v>
      </c>
      <c r="F47" t="s">
        <v>300</v>
      </c>
      <c r="G47" t="s">
        <v>303</v>
      </c>
    </row>
    <row r="48" spans="1:7" x14ac:dyDescent="0.45">
      <c r="A48">
        <v>2</v>
      </c>
      <c r="B48">
        <v>2</v>
      </c>
      <c r="C48">
        <v>46196.958330000001</v>
      </c>
      <c r="D48" t="s">
        <v>41</v>
      </c>
      <c r="E48" t="s">
        <v>50</v>
      </c>
      <c r="F48" t="s">
        <v>315</v>
      </c>
      <c r="G48" t="s">
        <v>323</v>
      </c>
    </row>
    <row r="49" spans="1:7" x14ac:dyDescent="0.45">
      <c r="A49">
        <v>2</v>
      </c>
      <c r="B49">
        <v>2</v>
      </c>
      <c r="C49">
        <v>46197.083330000001</v>
      </c>
      <c r="D49" t="s">
        <v>40</v>
      </c>
      <c r="E49" t="s">
        <v>240</v>
      </c>
      <c r="F49" t="s">
        <v>314</v>
      </c>
      <c r="G49" t="s">
        <v>324</v>
      </c>
    </row>
    <row r="50" spans="1:7" x14ac:dyDescent="0.45">
      <c r="A50">
        <v>3</v>
      </c>
      <c r="B50">
        <v>3</v>
      </c>
      <c r="C50">
        <v>46197.791669999999</v>
      </c>
      <c r="D50" t="s">
        <v>27</v>
      </c>
      <c r="E50" t="s">
        <v>7</v>
      </c>
      <c r="F50" t="s">
        <v>301</v>
      </c>
      <c r="G50" t="s">
        <v>282</v>
      </c>
    </row>
    <row r="51" spans="1:7" x14ac:dyDescent="0.45">
      <c r="A51">
        <v>3</v>
      </c>
      <c r="B51">
        <v>3</v>
      </c>
      <c r="C51">
        <v>46197.791669999999</v>
      </c>
      <c r="D51" t="s">
        <v>497</v>
      </c>
      <c r="E51" t="s">
        <v>9</v>
      </c>
      <c r="F51" t="s">
        <v>316</v>
      </c>
      <c r="G51" t="s">
        <v>283</v>
      </c>
    </row>
    <row r="52" spans="1:7" x14ac:dyDescent="0.45">
      <c r="A52">
        <v>3</v>
      </c>
      <c r="B52">
        <v>3</v>
      </c>
      <c r="C52">
        <v>46197.916669999999</v>
      </c>
      <c r="D52" t="s">
        <v>31</v>
      </c>
      <c r="E52" t="s">
        <v>10</v>
      </c>
      <c r="F52" t="s">
        <v>305</v>
      </c>
      <c r="G52" t="s">
        <v>284</v>
      </c>
    </row>
    <row r="53" spans="1:7" x14ac:dyDescent="0.45">
      <c r="A53">
        <v>3</v>
      </c>
      <c r="B53">
        <v>3</v>
      </c>
      <c r="C53">
        <v>46197.916669999999</v>
      </c>
      <c r="D53" t="s">
        <v>39</v>
      </c>
      <c r="E53" t="s">
        <v>11</v>
      </c>
      <c r="F53" t="s">
        <v>313</v>
      </c>
      <c r="G53" t="s">
        <v>285</v>
      </c>
    </row>
    <row r="54" spans="1:7" x14ac:dyDescent="0.45">
      <c r="A54">
        <v>3</v>
      </c>
      <c r="B54">
        <v>3</v>
      </c>
      <c r="C54">
        <v>46198.041669999999</v>
      </c>
      <c r="D54" t="s">
        <v>254</v>
      </c>
      <c r="E54" t="s">
        <v>5</v>
      </c>
      <c r="F54" t="s">
        <v>304</v>
      </c>
      <c r="G54" t="s">
        <v>280</v>
      </c>
    </row>
    <row r="55" spans="1:7" x14ac:dyDescent="0.45">
      <c r="A55">
        <v>3</v>
      </c>
      <c r="B55">
        <v>3</v>
      </c>
      <c r="C55">
        <v>46198.041669999999</v>
      </c>
      <c r="D55" t="s">
        <v>43</v>
      </c>
      <c r="E55" t="s">
        <v>198</v>
      </c>
      <c r="F55" t="s">
        <v>289</v>
      </c>
      <c r="G55" t="s">
        <v>281</v>
      </c>
    </row>
    <row r="56" spans="1:7" x14ac:dyDescent="0.45">
      <c r="A56">
        <v>3</v>
      </c>
      <c r="B56">
        <v>3</v>
      </c>
      <c r="C56">
        <v>46198.833330000001</v>
      </c>
      <c r="D56" t="s">
        <v>264</v>
      </c>
      <c r="E56" t="s">
        <v>224</v>
      </c>
      <c r="F56" t="s">
        <v>317</v>
      </c>
      <c r="G56" t="s">
        <v>292</v>
      </c>
    </row>
    <row r="57" spans="1:7" x14ac:dyDescent="0.45">
      <c r="A57">
        <v>3</v>
      </c>
      <c r="B57">
        <v>3</v>
      </c>
      <c r="C57">
        <v>46198.833330000001</v>
      </c>
      <c r="D57" t="s">
        <v>35</v>
      </c>
      <c r="E57" t="s">
        <v>13</v>
      </c>
      <c r="F57" t="s">
        <v>309</v>
      </c>
      <c r="G57" t="s">
        <v>287</v>
      </c>
    </row>
    <row r="58" spans="1:7" x14ac:dyDescent="0.45">
      <c r="A58">
        <v>3</v>
      </c>
      <c r="B58">
        <v>3</v>
      </c>
      <c r="C58">
        <v>46198.958330000001</v>
      </c>
      <c r="D58" t="s">
        <v>46</v>
      </c>
      <c r="E58" t="s">
        <v>17</v>
      </c>
      <c r="F58" t="s">
        <v>319</v>
      </c>
      <c r="G58" t="s">
        <v>291</v>
      </c>
    </row>
    <row r="59" spans="1:7" x14ac:dyDescent="0.45">
      <c r="A59">
        <v>3</v>
      </c>
      <c r="B59">
        <v>3</v>
      </c>
      <c r="C59">
        <v>46198.958330000001</v>
      </c>
      <c r="D59" t="s">
        <v>34</v>
      </c>
      <c r="E59" t="s">
        <v>14</v>
      </c>
      <c r="F59" t="s">
        <v>308</v>
      </c>
      <c r="G59" t="s">
        <v>288</v>
      </c>
    </row>
    <row r="60" spans="1:7" x14ac:dyDescent="0.45">
      <c r="A60">
        <v>3</v>
      </c>
      <c r="B60">
        <v>3</v>
      </c>
      <c r="C60">
        <v>46199.083330000001</v>
      </c>
      <c r="D60" t="s">
        <v>195</v>
      </c>
      <c r="E60" t="s">
        <v>8</v>
      </c>
      <c r="F60" t="s">
        <v>306</v>
      </c>
      <c r="G60" t="s">
        <v>8</v>
      </c>
    </row>
    <row r="61" spans="1:7" x14ac:dyDescent="0.45">
      <c r="A61">
        <v>3</v>
      </c>
      <c r="B61">
        <v>3</v>
      </c>
      <c r="C61">
        <v>46199.083330000001</v>
      </c>
      <c r="D61" t="s">
        <v>47</v>
      </c>
      <c r="E61" t="s">
        <v>12</v>
      </c>
      <c r="F61" t="s">
        <v>320</v>
      </c>
      <c r="G61" t="s">
        <v>286</v>
      </c>
    </row>
    <row r="62" spans="1:7" x14ac:dyDescent="0.45">
      <c r="A62">
        <v>3</v>
      </c>
      <c r="B62">
        <v>3</v>
      </c>
      <c r="C62">
        <v>46199.791669999999</v>
      </c>
      <c r="D62" t="s">
        <v>37</v>
      </c>
      <c r="E62" t="s">
        <v>21</v>
      </c>
      <c r="F62" t="s">
        <v>311</v>
      </c>
      <c r="G62" t="s">
        <v>295</v>
      </c>
    </row>
    <row r="63" spans="1:7" x14ac:dyDescent="0.45">
      <c r="A63">
        <v>3</v>
      </c>
      <c r="B63">
        <v>3</v>
      </c>
      <c r="C63">
        <v>46199.791669999999</v>
      </c>
      <c r="D63" t="s">
        <v>45</v>
      </c>
      <c r="E63" t="s">
        <v>22</v>
      </c>
      <c r="F63" t="s">
        <v>318</v>
      </c>
      <c r="G63" t="s">
        <v>296</v>
      </c>
    </row>
    <row r="64" spans="1:7" x14ac:dyDescent="0.45">
      <c r="A64">
        <v>3</v>
      </c>
      <c r="B64">
        <v>3</v>
      </c>
      <c r="C64">
        <v>46200</v>
      </c>
      <c r="D64" t="s">
        <v>261</v>
      </c>
      <c r="E64" t="s">
        <v>15</v>
      </c>
      <c r="F64" t="s">
        <v>321</v>
      </c>
      <c r="G64" t="s">
        <v>352</v>
      </c>
    </row>
    <row r="65" spans="1:7" x14ac:dyDescent="0.45">
      <c r="A65">
        <v>3</v>
      </c>
      <c r="B65">
        <v>3</v>
      </c>
      <c r="C65">
        <v>46200</v>
      </c>
      <c r="D65" t="s">
        <v>33</v>
      </c>
      <c r="E65" t="s">
        <v>19</v>
      </c>
      <c r="F65" t="s">
        <v>307</v>
      </c>
      <c r="G65" t="s">
        <v>293</v>
      </c>
    </row>
    <row r="66" spans="1:7" x14ac:dyDescent="0.45">
      <c r="A66">
        <v>3</v>
      </c>
      <c r="B66">
        <v>3</v>
      </c>
      <c r="C66">
        <v>46200.125</v>
      </c>
      <c r="D66" t="s">
        <v>49</v>
      </c>
      <c r="E66" t="s">
        <v>245</v>
      </c>
      <c r="F66" t="s">
        <v>322</v>
      </c>
      <c r="G66" t="s">
        <v>294</v>
      </c>
    </row>
    <row r="67" spans="1:7" x14ac:dyDescent="0.45">
      <c r="A67">
        <v>3</v>
      </c>
      <c r="B67">
        <v>3</v>
      </c>
      <c r="C67">
        <v>46200.125</v>
      </c>
      <c r="D67" t="s">
        <v>36</v>
      </c>
      <c r="E67" t="s">
        <v>16</v>
      </c>
      <c r="F67" t="s">
        <v>310</v>
      </c>
      <c r="G67" t="s">
        <v>290</v>
      </c>
    </row>
    <row r="68" spans="1:7" x14ac:dyDescent="0.45">
      <c r="A68">
        <v>3</v>
      </c>
      <c r="B68">
        <v>3</v>
      </c>
      <c r="C68">
        <v>46200.875</v>
      </c>
      <c r="D68" t="s">
        <v>41</v>
      </c>
      <c r="E68" t="s">
        <v>26</v>
      </c>
      <c r="F68" t="s">
        <v>315</v>
      </c>
      <c r="G68" t="s">
        <v>300</v>
      </c>
    </row>
    <row r="69" spans="1:7" x14ac:dyDescent="0.45">
      <c r="A69">
        <v>3</v>
      </c>
      <c r="B69">
        <v>3</v>
      </c>
      <c r="C69">
        <v>46200.875</v>
      </c>
      <c r="D69" t="s">
        <v>50</v>
      </c>
      <c r="E69" t="s">
        <v>29</v>
      </c>
      <c r="F69" t="s">
        <v>323</v>
      </c>
      <c r="G69" t="s">
        <v>303</v>
      </c>
    </row>
    <row r="70" spans="1:7" x14ac:dyDescent="0.45">
      <c r="A70">
        <v>3</v>
      </c>
      <c r="B70">
        <v>3</v>
      </c>
      <c r="C70">
        <v>46200.979169999999</v>
      </c>
      <c r="D70" t="s">
        <v>40</v>
      </c>
      <c r="E70" t="s">
        <v>25</v>
      </c>
      <c r="F70" t="s">
        <v>289</v>
      </c>
      <c r="G70" t="s">
        <v>282</v>
      </c>
    </row>
    <row r="71" spans="1:7" x14ac:dyDescent="0.45">
      <c r="A71">
        <v>3</v>
      </c>
      <c r="B71">
        <v>3</v>
      </c>
      <c r="C71">
        <v>46200.979169999999</v>
      </c>
      <c r="D71" t="s">
        <v>240</v>
      </c>
      <c r="E71" t="s">
        <v>28</v>
      </c>
      <c r="F71" t="s">
        <v>324</v>
      </c>
      <c r="G71" t="s">
        <v>302</v>
      </c>
    </row>
    <row r="72" spans="1:7" x14ac:dyDescent="0.45">
      <c r="A72">
        <v>3</v>
      </c>
      <c r="B72">
        <v>3</v>
      </c>
      <c r="C72">
        <v>46201.083330000001</v>
      </c>
      <c r="D72" t="s">
        <v>52</v>
      </c>
      <c r="E72" t="s">
        <v>24</v>
      </c>
      <c r="F72" t="s">
        <v>325</v>
      </c>
      <c r="G72" t="s">
        <v>298</v>
      </c>
    </row>
    <row r="73" spans="1:7" x14ac:dyDescent="0.45">
      <c r="A73">
        <v>3</v>
      </c>
      <c r="B73">
        <v>3</v>
      </c>
      <c r="C73">
        <v>46201.083330000001</v>
      </c>
      <c r="D73" t="s">
        <v>38</v>
      </c>
      <c r="E73" t="s">
        <v>23</v>
      </c>
      <c r="F73" t="s">
        <v>312</v>
      </c>
      <c r="G73" t="s">
        <v>297</v>
      </c>
    </row>
    <row r="74" spans="1:7" x14ac:dyDescent="0.45">
      <c r="A74">
        <v>4</v>
      </c>
      <c r="B74" t="s">
        <v>648</v>
      </c>
      <c r="C74">
        <v>46201.791669999999</v>
      </c>
      <c r="D74" t="s">
        <v>43</v>
      </c>
      <c r="E74" t="s">
        <v>7</v>
      </c>
      <c r="F74" t="s">
        <v>289</v>
      </c>
      <c r="G74" t="s">
        <v>282</v>
      </c>
    </row>
    <row r="75" spans="1:7" x14ac:dyDescent="0.45">
      <c r="A75">
        <v>4</v>
      </c>
      <c r="B75" t="s">
        <v>648</v>
      </c>
      <c r="C75">
        <v>46202.708330000001</v>
      </c>
      <c r="D75" t="s">
        <v>10</v>
      </c>
      <c r="E75" t="s">
        <v>46</v>
      </c>
      <c r="F75" t="s">
        <v>284</v>
      </c>
      <c r="G75" t="s">
        <v>319</v>
      </c>
    </row>
    <row r="76" spans="1:7" x14ac:dyDescent="0.45">
      <c r="A76">
        <v>4</v>
      </c>
      <c r="B76" t="s">
        <v>648</v>
      </c>
      <c r="C76">
        <v>46202.854169999999</v>
      </c>
      <c r="D76" t="s">
        <v>13</v>
      </c>
      <c r="E76" t="s">
        <v>47</v>
      </c>
      <c r="F76" t="s">
        <v>287</v>
      </c>
      <c r="G76" t="s">
        <v>320</v>
      </c>
    </row>
    <row r="77" spans="1:7" x14ac:dyDescent="0.45">
      <c r="A77">
        <v>4</v>
      </c>
      <c r="B77" t="s">
        <v>648</v>
      </c>
      <c r="C77">
        <v>46203.041669999999</v>
      </c>
      <c r="D77" t="s">
        <v>14</v>
      </c>
      <c r="E77" t="s">
        <v>39</v>
      </c>
      <c r="F77" t="s">
        <v>288</v>
      </c>
      <c r="G77" t="s">
        <v>313</v>
      </c>
    </row>
    <row r="78" spans="1:7" x14ac:dyDescent="0.45">
      <c r="A78">
        <v>4</v>
      </c>
      <c r="B78" t="s">
        <v>648</v>
      </c>
      <c r="C78">
        <v>46203.708330000001</v>
      </c>
      <c r="D78" t="s">
        <v>224</v>
      </c>
      <c r="E78" t="s">
        <v>37</v>
      </c>
      <c r="F78" t="s">
        <v>292</v>
      </c>
      <c r="G78" t="s">
        <v>311</v>
      </c>
    </row>
    <row r="79" spans="1:7" x14ac:dyDescent="0.45">
      <c r="A79">
        <v>4</v>
      </c>
      <c r="B79" t="s">
        <v>648</v>
      </c>
      <c r="C79">
        <v>46203.875</v>
      </c>
      <c r="D79" t="s">
        <v>21</v>
      </c>
      <c r="E79" t="s">
        <v>17</v>
      </c>
      <c r="F79" t="s">
        <v>295</v>
      </c>
      <c r="G79" t="s">
        <v>291</v>
      </c>
    </row>
    <row r="80" spans="1:7" x14ac:dyDescent="0.45">
      <c r="A80">
        <v>4</v>
      </c>
      <c r="B80" t="s">
        <v>648</v>
      </c>
      <c r="C80">
        <v>46204.083330000001</v>
      </c>
      <c r="D80" t="s">
        <v>5</v>
      </c>
      <c r="E80" t="s">
        <v>35</v>
      </c>
      <c r="F80" t="s">
        <v>280</v>
      </c>
      <c r="G80" t="s">
        <v>309</v>
      </c>
    </row>
    <row r="81" spans="1:7" x14ac:dyDescent="0.45">
      <c r="A81">
        <v>4</v>
      </c>
      <c r="B81" t="s">
        <v>648</v>
      </c>
      <c r="C81">
        <v>46204.666669999999</v>
      </c>
      <c r="D81" t="s">
        <v>26</v>
      </c>
      <c r="E81" t="s">
        <v>240</v>
      </c>
      <c r="F81" t="s">
        <v>300</v>
      </c>
      <c r="G81" t="s">
        <v>324</v>
      </c>
    </row>
    <row r="82" spans="1:7" x14ac:dyDescent="0.45">
      <c r="A82">
        <v>4</v>
      </c>
      <c r="B82" t="s">
        <v>648</v>
      </c>
      <c r="C82">
        <v>46204.833330000001</v>
      </c>
      <c r="D82" t="s">
        <v>16</v>
      </c>
      <c r="E82" t="s">
        <v>45</v>
      </c>
      <c r="F82" t="s">
        <v>290</v>
      </c>
      <c r="G82" t="s">
        <v>318</v>
      </c>
    </row>
    <row r="83" spans="1:7" x14ac:dyDescent="0.45">
      <c r="A83">
        <v>4</v>
      </c>
      <c r="B83" t="s">
        <v>648</v>
      </c>
      <c r="C83">
        <v>46205</v>
      </c>
      <c r="D83" t="s">
        <v>8</v>
      </c>
      <c r="E83" t="s">
        <v>497</v>
      </c>
      <c r="F83" t="s">
        <v>8</v>
      </c>
      <c r="G83" t="s">
        <v>316</v>
      </c>
    </row>
    <row r="84" spans="1:7" x14ac:dyDescent="0.45">
      <c r="A84">
        <v>4</v>
      </c>
      <c r="B84" t="s">
        <v>648</v>
      </c>
      <c r="C84">
        <v>46205.791669999999</v>
      </c>
      <c r="D84" t="s">
        <v>19</v>
      </c>
      <c r="E84" t="s">
        <v>24</v>
      </c>
      <c r="F84" t="s">
        <v>293</v>
      </c>
      <c r="G84" t="s">
        <v>298</v>
      </c>
    </row>
    <row r="85" spans="1:7" x14ac:dyDescent="0.45">
      <c r="A85">
        <v>4</v>
      </c>
      <c r="B85" t="s">
        <v>648</v>
      </c>
      <c r="C85">
        <v>46205.958330000001</v>
      </c>
      <c r="D85" t="s">
        <v>25</v>
      </c>
      <c r="E85" t="s">
        <v>50</v>
      </c>
      <c r="F85" t="s">
        <v>299</v>
      </c>
      <c r="G85" t="s">
        <v>323</v>
      </c>
    </row>
    <row r="86" spans="1:7" x14ac:dyDescent="0.45">
      <c r="A86">
        <v>4</v>
      </c>
      <c r="B86" t="s">
        <v>648</v>
      </c>
      <c r="C86">
        <v>46206.125</v>
      </c>
      <c r="D86" t="s">
        <v>27</v>
      </c>
      <c r="E86" t="s">
        <v>52</v>
      </c>
      <c r="F86" t="s">
        <v>301</v>
      </c>
      <c r="G86" t="s">
        <v>325</v>
      </c>
    </row>
    <row r="87" spans="1:7" x14ac:dyDescent="0.45">
      <c r="A87">
        <v>4</v>
      </c>
      <c r="B87" t="s">
        <v>648</v>
      </c>
      <c r="C87">
        <v>46206.75</v>
      </c>
      <c r="D87" t="s">
        <v>12</v>
      </c>
      <c r="E87" t="s">
        <v>49</v>
      </c>
      <c r="F87" t="s">
        <v>286</v>
      </c>
      <c r="G87" t="s">
        <v>322</v>
      </c>
    </row>
    <row r="88" spans="1:7" x14ac:dyDescent="0.45">
      <c r="A88">
        <v>4</v>
      </c>
      <c r="B88" t="s">
        <v>648</v>
      </c>
      <c r="C88">
        <v>46206.916669999999</v>
      </c>
      <c r="D88" t="s">
        <v>23</v>
      </c>
      <c r="E88" t="s">
        <v>261</v>
      </c>
      <c r="F88" t="s">
        <v>297</v>
      </c>
      <c r="G88" t="s">
        <v>321</v>
      </c>
    </row>
    <row r="89" spans="1:7" x14ac:dyDescent="0.45">
      <c r="A89">
        <v>4</v>
      </c>
      <c r="B89" t="s">
        <v>648</v>
      </c>
      <c r="C89">
        <v>46207.0625</v>
      </c>
      <c r="D89" t="s">
        <v>40</v>
      </c>
      <c r="E89" t="s">
        <v>29</v>
      </c>
      <c r="F89" t="s">
        <v>314</v>
      </c>
      <c r="G89" t="s">
        <v>303</v>
      </c>
    </row>
    <row r="90" spans="1:7" x14ac:dyDescent="0.45">
      <c r="A90">
        <v>5</v>
      </c>
      <c r="B90" t="s">
        <v>649</v>
      </c>
      <c r="C90">
        <v>46207.708330000001</v>
      </c>
      <c r="D90" t="s">
        <v>7</v>
      </c>
      <c r="E90" t="s">
        <v>39</v>
      </c>
      <c r="F90" t="s">
        <v>282</v>
      </c>
      <c r="G90" t="s">
        <v>313</v>
      </c>
    </row>
    <row r="91" spans="1:7" x14ac:dyDescent="0.45">
      <c r="A91">
        <v>5</v>
      </c>
      <c r="B91" t="s">
        <v>649</v>
      </c>
      <c r="C91">
        <v>46207.875</v>
      </c>
      <c r="D91" t="s">
        <v>47</v>
      </c>
      <c r="E91" t="s">
        <v>21</v>
      </c>
      <c r="F91" t="s">
        <v>320</v>
      </c>
      <c r="G91" t="s">
        <v>295</v>
      </c>
    </row>
    <row r="92" spans="1:7" x14ac:dyDescent="0.45">
      <c r="A92">
        <v>5</v>
      </c>
      <c r="B92" t="s">
        <v>649</v>
      </c>
      <c r="C92">
        <v>46208.833330000001</v>
      </c>
      <c r="D92" t="s">
        <v>10</v>
      </c>
      <c r="E92" t="s">
        <v>37</v>
      </c>
      <c r="F92" t="s">
        <v>284</v>
      </c>
      <c r="G92" t="s">
        <v>311</v>
      </c>
    </row>
    <row r="93" spans="1:7" x14ac:dyDescent="0.45">
      <c r="A93">
        <v>5</v>
      </c>
      <c r="B93" t="s">
        <v>649</v>
      </c>
      <c r="C93">
        <v>46209.041669999999</v>
      </c>
      <c r="D93" t="s">
        <v>5</v>
      </c>
      <c r="E93" t="s">
        <v>26</v>
      </c>
      <c r="F93" t="s">
        <v>280</v>
      </c>
      <c r="G93" t="s">
        <v>300</v>
      </c>
    </row>
    <row r="94" spans="1:7" x14ac:dyDescent="0.45">
      <c r="A94">
        <v>5</v>
      </c>
      <c r="B94" t="s">
        <v>649</v>
      </c>
      <c r="C94">
        <v>46209.791669999999</v>
      </c>
      <c r="D94" t="s">
        <v>25</v>
      </c>
      <c r="E94" t="s">
        <v>19</v>
      </c>
      <c r="F94" t="s">
        <v>299</v>
      </c>
      <c r="G94" t="s">
        <v>293</v>
      </c>
    </row>
    <row r="95" spans="1:7" x14ac:dyDescent="0.45">
      <c r="A95">
        <v>5</v>
      </c>
      <c r="B95" t="s">
        <v>649</v>
      </c>
      <c r="C95">
        <v>46210</v>
      </c>
      <c r="D95" t="s">
        <v>8</v>
      </c>
      <c r="E95" t="s">
        <v>16</v>
      </c>
      <c r="F95" t="s">
        <v>8</v>
      </c>
      <c r="G95" t="s">
        <v>290</v>
      </c>
    </row>
    <row r="96" spans="1:7" x14ac:dyDescent="0.45">
      <c r="A96">
        <v>5</v>
      </c>
      <c r="B96" t="s">
        <v>649</v>
      </c>
      <c r="C96">
        <v>46210.666669999999</v>
      </c>
      <c r="D96" t="s">
        <v>23</v>
      </c>
      <c r="E96" t="s">
        <v>49</v>
      </c>
      <c r="F96" t="s">
        <v>297</v>
      </c>
      <c r="G96" t="s">
        <v>322</v>
      </c>
    </row>
    <row r="97" spans="1:7" x14ac:dyDescent="0.45">
      <c r="A97">
        <v>5</v>
      </c>
      <c r="B97" t="s">
        <v>649</v>
      </c>
      <c r="C97">
        <v>46210.833330000001</v>
      </c>
      <c r="D97" t="s">
        <v>27</v>
      </c>
      <c r="E97" t="s">
        <v>40</v>
      </c>
      <c r="F97" t="s">
        <v>301</v>
      </c>
      <c r="G97" t="s">
        <v>314</v>
      </c>
    </row>
    <row r="98" spans="1:7" x14ac:dyDescent="0.45">
      <c r="A98">
        <v>6</v>
      </c>
      <c r="B98" t="s">
        <v>650</v>
      </c>
      <c r="C98">
        <v>46212.833330000001</v>
      </c>
      <c r="D98" t="s">
        <v>21</v>
      </c>
      <c r="E98" t="s">
        <v>39</v>
      </c>
      <c r="F98" t="s">
        <v>295</v>
      </c>
      <c r="G98" t="s">
        <v>313</v>
      </c>
    </row>
    <row r="99" spans="1:7" x14ac:dyDescent="0.45">
      <c r="A99">
        <v>6</v>
      </c>
      <c r="B99" t="s">
        <v>650</v>
      </c>
      <c r="C99">
        <v>46213.791669999999</v>
      </c>
      <c r="D99" t="s">
        <v>19</v>
      </c>
      <c r="E99" t="s">
        <v>16</v>
      </c>
      <c r="F99" t="s">
        <v>293</v>
      </c>
      <c r="G99" t="s">
        <v>290</v>
      </c>
    </row>
    <row r="100" spans="1:7" x14ac:dyDescent="0.45">
      <c r="A100">
        <v>6</v>
      </c>
      <c r="B100" t="s">
        <v>650</v>
      </c>
      <c r="C100">
        <v>46214.875</v>
      </c>
      <c r="D100" t="s">
        <v>37</v>
      </c>
      <c r="E100" t="s">
        <v>26</v>
      </c>
      <c r="F100" t="s">
        <v>311</v>
      </c>
      <c r="G100" t="s">
        <v>300</v>
      </c>
    </row>
    <row r="101" spans="1:7" x14ac:dyDescent="0.45">
      <c r="A101">
        <v>6</v>
      </c>
      <c r="B101" t="s">
        <v>650</v>
      </c>
      <c r="C101">
        <v>46215.041669999999</v>
      </c>
      <c r="D101" t="s">
        <v>23</v>
      </c>
      <c r="E101" t="s">
        <v>27</v>
      </c>
      <c r="F101" t="s">
        <v>297</v>
      </c>
      <c r="G101" t="s">
        <v>301</v>
      </c>
    </row>
    <row r="102" spans="1:7" x14ac:dyDescent="0.45">
      <c r="A102">
        <v>7</v>
      </c>
      <c r="B102" t="s">
        <v>651</v>
      </c>
      <c r="C102">
        <v>46217.791669999999</v>
      </c>
      <c r="D102" t="s">
        <v>21</v>
      </c>
      <c r="E102" t="s">
        <v>19</v>
      </c>
      <c r="F102" t="s">
        <v>295</v>
      </c>
      <c r="G102" t="s">
        <v>293</v>
      </c>
    </row>
    <row r="103" spans="1:7" x14ac:dyDescent="0.45">
      <c r="A103">
        <v>7</v>
      </c>
      <c r="B103" t="s">
        <v>651</v>
      </c>
      <c r="C103">
        <v>46218.791669999999</v>
      </c>
      <c r="D103" t="s">
        <v>26</v>
      </c>
      <c r="E103" t="s">
        <v>23</v>
      </c>
      <c r="F103" t="s">
        <v>300</v>
      </c>
      <c r="G103" t="s">
        <v>297</v>
      </c>
    </row>
    <row r="104" spans="1:7" x14ac:dyDescent="0.45">
      <c r="A104">
        <v>8</v>
      </c>
      <c r="B104" t="s">
        <v>652</v>
      </c>
      <c r="C104">
        <v>46221.875</v>
      </c>
      <c r="D104" t="s">
        <v>21</v>
      </c>
      <c r="E104" t="s">
        <v>26</v>
      </c>
      <c r="F104" t="s">
        <v>300</v>
      </c>
      <c r="G104" t="s">
        <v>295</v>
      </c>
    </row>
    <row r="105" spans="1:7" x14ac:dyDescent="0.45">
      <c r="A105">
        <v>8</v>
      </c>
      <c r="B105" t="s">
        <v>652</v>
      </c>
      <c r="C105">
        <v>46222.791669999999</v>
      </c>
      <c r="D105" t="s">
        <v>19</v>
      </c>
      <c r="E105" t="s">
        <v>23</v>
      </c>
      <c r="F105" t="s">
        <v>293</v>
      </c>
      <c r="G105" t="s">
        <v>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CB781-E49B-4A54-87D0-4DBBA00340BF}">
  <dimension ref="A1:E49"/>
  <sheetViews>
    <sheetView zoomScale="70" zoomScaleNormal="70" workbookViewId="0">
      <selection activeCell="E11" sqref="E11"/>
    </sheetView>
  </sheetViews>
  <sheetFormatPr defaultRowHeight="14.25" x14ac:dyDescent="0.45"/>
  <cols>
    <col min="2" max="2" width="14.1328125" customWidth="1"/>
    <col min="3" max="3" width="13.06640625" customWidth="1"/>
    <col min="5" max="5" width="23.86328125" customWidth="1"/>
    <col min="7" max="7" width="14.3984375" customWidth="1"/>
    <col min="8" max="8" width="29.59765625" customWidth="1"/>
  </cols>
  <sheetData>
    <row r="1" spans="1:5" s="1" customFormat="1" ht="7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178</v>
      </c>
      <c r="C2">
        <v>2500000</v>
      </c>
      <c r="D2">
        <v>15</v>
      </c>
      <c r="E2">
        <v>37380617</v>
      </c>
    </row>
    <row r="3" spans="1:5" x14ac:dyDescent="0.45">
      <c r="A3" t="s">
        <v>6</v>
      </c>
      <c r="B3">
        <v>103</v>
      </c>
      <c r="C3">
        <v>2160000</v>
      </c>
      <c r="D3">
        <v>25</v>
      </c>
      <c r="E3">
        <v>3823924</v>
      </c>
    </row>
    <row r="4" spans="1:5" x14ac:dyDescent="0.45">
      <c r="A4" t="s">
        <v>7</v>
      </c>
      <c r="B4">
        <v>90</v>
      </c>
      <c r="C4">
        <v>2500000</v>
      </c>
      <c r="D4">
        <v>30</v>
      </c>
      <c r="E4">
        <v>1595000</v>
      </c>
    </row>
    <row r="5" spans="1:5" x14ac:dyDescent="0.45">
      <c r="A5" t="s">
        <v>8</v>
      </c>
      <c r="B5">
        <v>287</v>
      </c>
      <c r="C5">
        <v>5200000</v>
      </c>
      <c r="D5">
        <v>16</v>
      </c>
      <c r="E5">
        <v>99305021</v>
      </c>
    </row>
    <row r="6" spans="1:5" x14ac:dyDescent="0.45">
      <c r="A6" t="s">
        <v>9</v>
      </c>
      <c r="B6">
        <v>31</v>
      </c>
      <c r="C6">
        <v>2400000</v>
      </c>
      <c r="D6">
        <v>55</v>
      </c>
      <c r="E6">
        <v>3311110</v>
      </c>
    </row>
    <row r="7" spans="1:5" x14ac:dyDescent="0.45">
      <c r="A7" t="s">
        <v>10</v>
      </c>
      <c r="B7">
        <v>660</v>
      </c>
      <c r="C7">
        <v>9500000</v>
      </c>
      <c r="D7">
        <v>6</v>
      </c>
      <c r="E7">
        <v>179848120</v>
      </c>
    </row>
    <row r="8" spans="1:5" x14ac:dyDescent="0.45">
      <c r="A8" t="s">
        <v>11</v>
      </c>
      <c r="B8">
        <v>2</v>
      </c>
      <c r="C8">
        <v>190000</v>
      </c>
      <c r="D8">
        <v>83</v>
      </c>
      <c r="E8">
        <v>0</v>
      </c>
    </row>
    <row r="9" spans="1:5" x14ac:dyDescent="0.45">
      <c r="A9" t="s">
        <v>12</v>
      </c>
      <c r="B9">
        <v>111</v>
      </c>
      <c r="C9">
        <v>605000</v>
      </c>
      <c r="D9">
        <v>27</v>
      </c>
      <c r="E9">
        <v>0</v>
      </c>
    </row>
    <row r="10" spans="1:5" x14ac:dyDescent="0.45">
      <c r="A10" t="s">
        <v>13</v>
      </c>
      <c r="B10">
        <v>262</v>
      </c>
      <c r="C10">
        <v>4800000</v>
      </c>
      <c r="D10">
        <v>10</v>
      </c>
      <c r="E10">
        <v>125798255</v>
      </c>
    </row>
    <row r="11" spans="1:5" x14ac:dyDescent="0.45">
      <c r="A11" t="s">
        <v>14</v>
      </c>
      <c r="B11">
        <v>148</v>
      </c>
      <c r="C11">
        <v>3000000</v>
      </c>
      <c r="D11">
        <v>7</v>
      </c>
      <c r="E11">
        <v>21764968</v>
      </c>
    </row>
    <row r="12" spans="1:5" x14ac:dyDescent="0.45">
      <c r="A12" t="s">
        <v>15</v>
      </c>
      <c r="B12">
        <v>146</v>
      </c>
      <c r="C12">
        <v>1040000</v>
      </c>
      <c r="D12">
        <v>61</v>
      </c>
      <c r="E12">
        <v>101089441</v>
      </c>
    </row>
    <row r="13" spans="1:5" x14ac:dyDescent="0.45">
      <c r="A13" t="s">
        <v>16</v>
      </c>
      <c r="B13">
        <v>153</v>
      </c>
      <c r="C13">
        <v>1700000</v>
      </c>
      <c r="D13">
        <v>9</v>
      </c>
      <c r="E13">
        <v>44391148</v>
      </c>
    </row>
    <row r="14" spans="1:5" x14ac:dyDescent="0.45">
      <c r="A14" t="s">
        <v>17</v>
      </c>
      <c r="B14">
        <v>151</v>
      </c>
      <c r="C14">
        <v>580000</v>
      </c>
      <c r="D14">
        <v>38</v>
      </c>
      <c r="E14">
        <v>8363960</v>
      </c>
    </row>
    <row r="15" spans="1:5" x14ac:dyDescent="0.45">
      <c r="A15" t="s">
        <v>18</v>
      </c>
      <c r="B15">
        <v>84</v>
      </c>
      <c r="C15">
        <v>820000</v>
      </c>
      <c r="D15">
        <v>34</v>
      </c>
      <c r="E15">
        <v>0</v>
      </c>
    </row>
    <row r="16" spans="1:5" x14ac:dyDescent="0.45">
      <c r="A16" t="s">
        <v>19</v>
      </c>
      <c r="B16">
        <v>421</v>
      </c>
      <c r="C16">
        <v>2000000</v>
      </c>
      <c r="D16">
        <v>2</v>
      </c>
      <c r="E16">
        <v>99095121</v>
      </c>
    </row>
    <row r="17" spans="1:5" x14ac:dyDescent="0.45">
      <c r="A17" t="s">
        <v>20</v>
      </c>
      <c r="B17">
        <v>15</v>
      </c>
      <c r="C17">
        <v>330000</v>
      </c>
      <c r="D17">
        <v>21</v>
      </c>
      <c r="E17">
        <v>669227</v>
      </c>
    </row>
    <row r="18" spans="1:5" x14ac:dyDescent="0.45">
      <c r="A18" t="s">
        <v>21</v>
      </c>
      <c r="B18">
        <v>258</v>
      </c>
      <c r="C18">
        <v>3800000</v>
      </c>
      <c r="D18">
        <v>1</v>
      </c>
      <c r="E18">
        <v>119939160</v>
      </c>
    </row>
    <row r="19" spans="1:5" x14ac:dyDescent="0.45">
      <c r="A19" t="s">
        <v>22</v>
      </c>
      <c r="B19">
        <v>116</v>
      </c>
      <c r="C19">
        <v>605000</v>
      </c>
      <c r="D19">
        <v>57</v>
      </c>
      <c r="E19">
        <v>61500</v>
      </c>
    </row>
    <row r="20" spans="1:5" x14ac:dyDescent="0.45">
      <c r="A20" t="s">
        <v>23</v>
      </c>
      <c r="B20">
        <v>465</v>
      </c>
      <c r="C20">
        <v>3000000</v>
      </c>
      <c r="D20">
        <v>3</v>
      </c>
      <c r="E20">
        <v>19903775</v>
      </c>
    </row>
    <row r="21" spans="1:5" x14ac:dyDescent="0.45">
      <c r="A21" t="s">
        <v>24</v>
      </c>
      <c r="B21">
        <v>73</v>
      </c>
      <c r="C21">
        <v>1500000</v>
      </c>
      <c r="D21">
        <v>24</v>
      </c>
      <c r="E21">
        <v>4713301</v>
      </c>
    </row>
    <row r="22" spans="1:5" x14ac:dyDescent="0.45">
      <c r="A22" t="s">
        <v>25</v>
      </c>
      <c r="B22">
        <v>315</v>
      </c>
      <c r="C22">
        <v>4000000</v>
      </c>
      <c r="D22">
        <v>5</v>
      </c>
      <c r="E22">
        <v>69792422</v>
      </c>
    </row>
    <row r="23" spans="1:5" x14ac:dyDescent="0.45">
      <c r="A23" t="s">
        <v>26</v>
      </c>
      <c r="B23">
        <v>399</v>
      </c>
      <c r="C23">
        <v>5800000</v>
      </c>
      <c r="D23">
        <v>4</v>
      </c>
      <c r="E23">
        <v>363522854</v>
      </c>
    </row>
    <row r="24" spans="1:5" x14ac:dyDescent="0.45">
      <c r="A24" t="s">
        <v>27</v>
      </c>
      <c r="B24">
        <v>84</v>
      </c>
      <c r="C24">
        <v>1600000</v>
      </c>
      <c r="D24">
        <v>19</v>
      </c>
      <c r="E24">
        <v>11128406</v>
      </c>
    </row>
    <row r="25" spans="1:5" x14ac:dyDescent="0.45">
      <c r="A25" t="s">
        <v>28</v>
      </c>
      <c r="B25">
        <v>42</v>
      </c>
      <c r="C25">
        <v>4000000</v>
      </c>
      <c r="D25">
        <v>50</v>
      </c>
      <c r="E25">
        <v>28291</v>
      </c>
    </row>
    <row r="26" spans="1:5" x14ac:dyDescent="0.45">
      <c r="A26" t="s">
        <v>29</v>
      </c>
      <c r="B26">
        <v>102</v>
      </c>
      <c r="C26">
        <v>935000</v>
      </c>
      <c r="D26">
        <v>74</v>
      </c>
      <c r="E26">
        <v>0</v>
      </c>
    </row>
    <row r="27" spans="1:5" x14ac:dyDescent="0.45">
      <c r="A27" t="s">
        <v>30</v>
      </c>
      <c r="B27">
        <v>100</v>
      </c>
      <c r="C27">
        <v>180000</v>
      </c>
      <c r="D27">
        <v>41</v>
      </c>
      <c r="E27">
        <v>40496537</v>
      </c>
    </row>
    <row r="28" spans="1:5" x14ac:dyDescent="0.45">
      <c r="A28" t="s">
        <v>31</v>
      </c>
      <c r="B28">
        <v>139</v>
      </c>
      <c r="C28">
        <v>500000</v>
      </c>
      <c r="D28">
        <v>43</v>
      </c>
      <c r="E28">
        <v>35083708</v>
      </c>
    </row>
    <row r="29" spans="1:5" x14ac:dyDescent="0.45">
      <c r="A29" t="s">
        <v>32</v>
      </c>
      <c r="B29">
        <v>146</v>
      </c>
      <c r="C29">
        <v>2200000</v>
      </c>
      <c r="D29">
        <v>22</v>
      </c>
      <c r="E29">
        <v>86639351</v>
      </c>
    </row>
    <row r="30" spans="1:5" x14ac:dyDescent="0.45">
      <c r="A30" t="s">
        <v>33</v>
      </c>
      <c r="B30">
        <v>203</v>
      </c>
      <c r="C30">
        <v>3000000</v>
      </c>
      <c r="D30">
        <v>17</v>
      </c>
      <c r="E30">
        <v>1343557</v>
      </c>
    </row>
    <row r="31" spans="1:5" x14ac:dyDescent="0.45">
      <c r="A31" t="s">
        <v>34</v>
      </c>
      <c r="B31">
        <v>109</v>
      </c>
      <c r="C31">
        <v>350000</v>
      </c>
      <c r="D31">
        <v>44</v>
      </c>
      <c r="E31">
        <v>646648</v>
      </c>
    </row>
    <row r="32" spans="1:5" x14ac:dyDescent="0.45">
      <c r="A32" t="s">
        <v>35</v>
      </c>
      <c r="B32">
        <v>124</v>
      </c>
      <c r="C32">
        <v>2000000</v>
      </c>
      <c r="D32">
        <v>23</v>
      </c>
      <c r="E32">
        <v>400750</v>
      </c>
    </row>
    <row r="33" spans="1:5" x14ac:dyDescent="0.45">
      <c r="A33" t="s">
        <v>36</v>
      </c>
      <c r="B33">
        <v>28</v>
      </c>
      <c r="C33">
        <v>130000</v>
      </c>
      <c r="D33">
        <v>85</v>
      </c>
      <c r="E33">
        <v>0</v>
      </c>
    </row>
    <row r="34" spans="1:5" x14ac:dyDescent="0.45">
      <c r="A34" t="s">
        <v>37</v>
      </c>
      <c r="B34">
        <v>111</v>
      </c>
      <c r="C34">
        <v>575000</v>
      </c>
      <c r="D34">
        <v>31</v>
      </c>
      <c r="E34">
        <v>9829932</v>
      </c>
    </row>
    <row r="35" spans="1:5" x14ac:dyDescent="0.45">
      <c r="A35" t="s">
        <v>38</v>
      </c>
      <c r="B35">
        <v>42</v>
      </c>
      <c r="C35">
        <v>300000</v>
      </c>
      <c r="D35">
        <v>63</v>
      </c>
      <c r="E35">
        <v>0</v>
      </c>
    </row>
    <row r="36" spans="1:5" x14ac:dyDescent="0.45">
      <c r="A36" t="s">
        <v>39</v>
      </c>
      <c r="B36">
        <v>127</v>
      </c>
      <c r="C36">
        <v>775000</v>
      </c>
      <c r="D36">
        <v>8</v>
      </c>
      <c r="E36">
        <v>4211747</v>
      </c>
    </row>
    <row r="37" spans="1:5" x14ac:dyDescent="0.45">
      <c r="A37" t="s">
        <v>40</v>
      </c>
      <c r="B37">
        <v>241</v>
      </c>
      <c r="C37">
        <v>2000000</v>
      </c>
      <c r="D37">
        <v>13</v>
      </c>
      <c r="E37">
        <v>2771157</v>
      </c>
    </row>
    <row r="38" spans="1:5" x14ac:dyDescent="0.45">
      <c r="A38" t="s">
        <v>41</v>
      </c>
      <c r="B38">
        <v>69</v>
      </c>
      <c r="C38">
        <v>725000</v>
      </c>
      <c r="D38">
        <v>33</v>
      </c>
      <c r="E38">
        <v>0</v>
      </c>
    </row>
    <row r="39" spans="1:5" x14ac:dyDescent="0.45">
      <c r="A39" t="s">
        <v>42</v>
      </c>
      <c r="B39">
        <v>88</v>
      </c>
      <c r="C39">
        <v>230000</v>
      </c>
      <c r="D39">
        <v>65</v>
      </c>
      <c r="E39">
        <v>106900</v>
      </c>
    </row>
    <row r="40" spans="1:5" x14ac:dyDescent="0.45">
      <c r="A40" t="s">
        <v>43</v>
      </c>
      <c r="B40">
        <v>49</v>
      </c>
      <c r="C40">
        <v>900000</v>
      </c>
      <c r="D40">
        <v>60</v>
      </c>
      <c r="E40">
        <v>3243115</v>
      </c>
    </row>
    <row r="41" spans="1:5" x14ac:dyDescent="0.45">
      <c r="A41" t="s">
        <v>44</v>
      </c>
      <c r="B41">
        <v>0</v>
      </c>
      <c r="C41">
        <v>96000</v>
      </c>
      <c r="D41">
        <v>82</v>
      </c>
      <c r="E41">
        <v>0</v>
      </c>
    </row>
    <row r="42" spans="1:5" x14ac:dyDescent="0.45">
      <c r="A42" t="s">
        <v>45</v>
      </c>
      <c r="B42">
        <v>58</v>
      </c>
      <c r="C42">
        <v>920000</v>
      </c>
      <c r="D42">
        <v>14</v>
      </c>
      <c r="E42">
        <v>0</v>
      </c>
    </row>
    <row r="43" spans="1:5" x14ac:dyDescent="0.45">
      <c r="A43" t="s">
        <v>46</v>
      </c>
      <c r="B43">
        <v>126</v>
      </c>
      <c r="C43">
        <v>865000</v>
      </c>
      <c r="D43">
        <v>18</v>
      </c>
      <c r="E43">
        <v>3544292</v>
      </c>
    </row>
    <row r="44" spans="1:5" x14ac:dyDescent="0.45">
      <c r="A44" t="s">
        <v>47</v>
      </c>
      <c r="B44">
        <v>118</v>
      </c>
      <c r="C44">
        <v>2500000</v>
      </c>
      <c r="D44">
        <v>40</v>
      </c>
      <c r="E44">
        <v>540000</v>
      </c>
    </row>
    <row r="45" spans="1:5" x14ac:dyDescent="0.45">
      <c r="A45" t="s">
        <v>48</v>
      </c>
      <c r="B45">
        <v>1</v>
      </c>
      <c r="C45">
        <v>110000</v>
      </c>
      <c r="D45">
        <v>69</v>
      </c>
      <c r="E45">
        <v>0</v>
      </c>
    </row>
    <row r="46" spans="1:5" x14ac:dyDescent="0.45">
      <c r="A46" t="s">
        <v>49</v>
      </c>
      <c r="B46">
        <v>121</v>
      </c>
      <c r="C46">
        <v>156000</v>
      </c>
      <c r="D46">
        <v>29</v>
      </c>
      <c r="E46">
        <v>1627619</v>
      </c>
    </row>
    <row r="47" spans="1:5" x14ac:dyDescent="0.45">
      <c r="A47" t="s">
        <v>50</v>
      </c>
      <c r="B47">
        <v>97</v>
      </c>
      <c r="C47">
        <v>1500000</v>
      </c>
      <c r="D47">
        <v>11</v>
      </c>
      <c r="E47">
        <v>2164384</v>
      </c>
    </row>
    <row r="48" spans="1:5" x14ac:dyDescent="0.45">
      <c r="A48" t="s">
        <v>51</v>
      </c>
      <c r="B48">
        <v>30</v>
      </c>
      <c r="C48">
        <v>430000</v>
      </c>
      <c r="D48">
        <v>46</v>
      </c>
      <c r="E48">
        <v>0</v>
      </c>
    </row>
    <row r="49" spans="1:5" x14ac:dyDescent="0.45">
      <c r="A49" t="s">
        <v>52</v>
      </c>
      <c r="B49">
        <v>51</v>
      </c>
      <c r="C49">
        <v>1380000</v>
      </c>
      <c r="D49">
        <v>28</v>
      </c>
      <c r="E49">
        <v>1785236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D90B43-01AA-431A-AA38-0FF6B90C81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Model_1_test18</vt:lpstr>
      <vt:lpstr>Final_48_team_stats</vt:lpstr>
      <vt:lpstr>UPDATEDAppend_48_ANA</vt:lpstr>
      <vt:lpstr>squad_48_teams_2</vt:lpstr>
      <vt:lpstr>Team Ranking</vt:lpstr>
      <vt:lpstr>Coach Salary</vt:lpstr>
      <vt:lpstr>208Team_match_stat</vt:lpstr>
      <vt:lpstr>Transfer report25</vt:lpstr>
      <vt:lpstr>CountryANA</vt:lpstr>
      <vt:lpstr>Round number</vt:lpstr>
      <vt:lpstr>Fifa_team_variables_ro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Roisin Prunty</dc:creator>
  <cp:lastModifiedBy>Roisin Prunty</cp:lastModifiedBy>
  <dcterms:created xsi:type="dcterms:W3CDTF">2026-10-03T07:57:10Z</dcterms:created>
  <dcterms:modified xsi:type="dcterms:W3CDTF">2026-10-14T10:49:48Z</dcterms:modified>
</cp:coreProperties>
</file>